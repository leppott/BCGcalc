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064AD13A-083C-44B0-917D-0EF6B39EA08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Rules!$A$1:$S$2453</definedName>
    <definedName name="FileName" localSheetId="2">#REF!</definedName>
    <definedName name="FileName">NOTES!$B$10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8" l="1"/>
  <c r="R1460" i="10"/>
  <c r="Q1460" i="10"/>
  <c r="R1459" i="10"/>
  <c r="Q1459" i="10"/>
  <c r="R1458" i="10"/>
  <c r="Q1458" i="10"/>
  <c r="R1457" i="10"/>
  <c r="Q1457" i="10"/>
  <c r="R1456" i="10"/>
  <c r="Q1456" i="10"/>
  <c r="R1455" i="10"/>
  <c r="Q1455" i="10"/>
  <c r="R1454" i="10"/>
  <c r="Q1454" i="10"/>
  <c r="R1453" i="10"/>
  <c r="Q1453" i="10"/>
  <c r="R1452" i="10"/>
  <c r="Q1452" i="10"/>
  <c r="R1451" i="10"/>
  <c r="Q1451" i="10"/>
  <c r="R1450" i="10"/>
  <c r="Q1450" i="10"/>
  <c r="R1449" i="10"/>
  <c r="Q1449" i="10"/>
  <c r="R1448" i="10"/>
  <c r="Q1448" i="10"/>
  <c r="R1447" i="10"/>
  <c r="Q1447" i="10"/>
  <c r="R1446" i="10"/>
  <c r="Q1446" i="10"/>
  <c r="R1445" i="10"/>
  <c r="Q1445" i="10"/>
  <c r="R1444" i="10"/>
  <c r="Q1444" i="10"/>
  <c r="R1443" i="10"/>
  <c r="Q1443" i="10"/>
  <c r="R1442" i="10"/>
  <c r="Q1442" i="10"/>
  <c r="R1441" i="10"/>
  <c r="Q1441" i="10"/>
  <c r="R1440" i="10"/>
  <c r="Q1440" i="10"/>
  <c r="R1439" i="10"/>
  <c r="Q1439" i="10"/>
  <c r="R1438" i="10"/>
  <c r="Q1438" i="10"/>
  <c r="R1437" i="10"/>
  <c r="Q1437" i="10"/>
  <c r="R1436" i="10"/>
  <c r="Q1436" i="10"/>
  <c r="R1435" i="10"/>
  <c r="Q1435" i="10"/>
  <c r="R1434" i="10"/>
  <c r="Q1434" i="10"/>
  <c r="R1433" i="10"/>
  <c r="Q1433" i="10"/>
  <c r="R1432" i="10"/>
  <c r="Q1432" i="10"/>
  <c r="R1431" i="10"/>
  <c r="Q1431" i="10"/>
  <c r="R1430" i="10"/>
  <c r="Q1430" i="10"/>
  <c r="R1429" i="10"/>
  <c r="Q1429" i="10"/>
  <c r="R1428" i="10"/>
  <c r="Q1428" i="10"/>
  <c r="R1427" i="10"/>
  <c r="Q1427" i="10"/>
  <c r="R1426" i="10"/>
  <c r="Q1426" i="10"/>
  <c r="R1425" i="10"/>
  <c r="Q1425" i="10"/>
  <c r="R1424" i="10"/>
  <c r="Q1424" i="10"/>
  <c r="R1423" i="10"/>
  <c r="Q1423" i="10"/>
  <c r="R1422" i="10"/>
  <c r="Q1422" i="10"/>
  <c r="R1421" i="10"/>
  <c r="Q1421" i="10"/>
  <c r="R1420" i="10"/>
  <c r="Q1420" i="10"/>
  <c r="R1419" i="10"/>
  <c r="Q1419" i="10"/>
  <c r="R1418" i="10"/>
  <c r="Q1418" i="10"/>
  <c r="R1417" i="10"/>
  <c r="Q1417" i="10"/>
  <c r="R1416" i="10"/>
  <c r="Q1416" i="10"/>
  <c r="R1415" i="10"/>
  <c r="Q1415" i="10"/>
  <c r="R1414" i="10"/>
  <c r="Q1414" i="10"/>
  <c r="R1413" i="10"/>
  <c r="Q1413" i="10"/>
  <c r="R1412" i="10"/>
  <c r="Q1412" i="10"/>
  <c r="R1411" i="10"/>
  <c r="Q1411" i="10"/>
  <c r="R1410" i="10"/>
  <c r="Q1410" i="10"/>
  <c r="R1409" i="10"/>
  <c r="Q1409" i="10"/>
  <c r="R1408" i="10"/>
  <c r="Q1408" i="10"/>
  <c r="R1407" i="10"/>
  <c r="Q1407" i="10"/>
  <c r="R1406" i="10"/>
  <c r="Q1406" i="10"/>
  <c r="R1405" i="10"/>
  <c r="Q1405" i="10"/>
  <c r="R1404" i="10"/>
  <c r="Q1404" i="10"/>
  <c r="R1403" i="10"/>
  <c r="Q1403" i="10"/>
  <c r="R1402" i="10"/>
  <c r="Q1402" i="10"/>
  <c r="R1401" i="10"/>
  <c r="Q1401" i="10"/>
  <c r="R1400" i="10"/>
  <c r="Q1400" i="10"/>
  <c r="R1399" i="10"/>
  <c r="Q1399" i="10"/>
  <c r="R1398" i="10"/>
  <c r="Q1398" i="10"/>
  <c r="R1397" i="10"/>
  <c r="Q1397" i="10"/>
  <c r="R1396" i="10"/>
  <c r="Q1396" i="10"/>
  <c r="R1395" i="10"/>
  <c r="Q1395" i="10"/>
  <c r="R1394" i="10"/>
  <c r="Q1394" i="10"/>
  <c r="R1393" i="10"/>
  <c r="Q1393" i="10"/>
  <c r="R1392" i="10"/>
  <c r="Q1392" i="10"/>
  <c r="R1391" i="10"/>
  <c r="Q1391" i="10"/>
  <c r="R1390" i="10"/>
  <c r="Q1390" i="10"/>
  <c r="R1389" i="10"/>
  <c r="Q1389" i="10"/>
  <c r="R1388" i="10"/>
  <c r="Q1388" i="10"/>
  <c r="R1387" i="10"/>
  <c r="Q1387" i="10"/>
  <c r="R1386" i="10"/>
  <c r="Q1386" i="10"/>
  <c r="R1385" i="10"/>
  <c r="Q1385" i="10"/>
  <c r="R1384" i="10"/>
  <c r="Q1384" i="10"/>
  <c r="R1383" i="10"/>
  <c r="Q1383" i="10"/>
  <c r="R1382" i="10"/>
  <c r="Q1382" i="10"/>
  <c r="R1381" i="10"/>
  <c r="Q1381" i="10"/>
  <c r="R1380" i="10"/>
  <c r="Q1380" i="10"/>
  <c r="R1379" i="10"/>
  <c r="Q1379" i="10"/>
  <c r="R1378" i="10"/>
  <c r="Q1378" i="10"/>
  <c r="R1377" i="10"/>
  <c r="Q1377" i="10"/>
  <c r="R1376" i="10"/>
  <c r="Q1376" i="10"/>
  <c r="R1375" i="10"/>
  <c r="Q1375" i="10"/>
  <c r="R1374" i="10"/>
  <c r="Q1374" i="10"/>
  <c r="R1373" i="10"/>
  <c r="Q1373" i="10"/>
  <c r="R1372" i="10"/>
  <c r="Q1372" i="10"/>
  <c r="R1371" i="10"/>
  <c r="Q1371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1" i="8" l="1"/>
  <c r="B10" i="8"/>
  <c r="B9" i="8"/>
  <c r="C19" i="8" l="1"/>
  <c r="C21" i="8"/>
  <c r="C20" i="8"/>
  <c r="C18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9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<sst xmlns="http://schemas.openxmlformats.org/spreadsheetml/2006/main" count="23237" uniqueCount="1445">
  <si>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</si>
  <si>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</si>
  <si>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</si>
  <si>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</si>
  <si>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</si>
  <si>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</si>
  <si>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</si>
  <si>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</si>
  <si>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</si>
  <si>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</si>
  <si>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</si>
  <si>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</si>
  <si>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</si>
  <si>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</si>
  <si>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</si>
  <si>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</si>
  <si>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</si>
  <si>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</si>
  <si>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</si>
  <si>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</si>
  <si>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</si>
  <si>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</si>
  <si>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</si>
  <si>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</si>
  <si>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</si>
  <si>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</si>
  <si>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</si>
  <si>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</si>
  <si>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</si>
  <si>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</si>
  <si>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</si>
  <si>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</si>
  <si>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</si>
  <si>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</si>
  <si>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</si>
  <si>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</si>
  <si>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</si>
  <si>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</si>
  <si>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</si>
  <si>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</si>
  <si>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</si>
  <si>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</si>
  <si>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</si>
  <si>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</si>
  <si>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</si>
  <si>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</si>
  <si>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</si>
  <si>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</si>
  <si>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</si>
  <si>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</si>
  <si>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</si>
  <si>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</si>
  <si>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</si>
  <si>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</si>
  <si>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</si>
  <si>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</si>
  <si>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</si>
  <si>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</si>
  <si>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</si>
  <si>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</si>
  <si>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</si>
  <si>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</si>
  <si>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</si>
  <si>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</si>
  <si>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</si>
  <si>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</si>
  <si>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</si>
  <si>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</si>
  <si>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</si>
  <si>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</si>
  <si>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</si>
  <si>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</si>
  <si>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</si>
  <si>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</si>
  <si>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</si>
  <si>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</si>
  <si>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</si>
  <si>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</si>
  <si>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</si>
  <si>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</si>
  <si>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</si>
  <si>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</si>
  <si>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</si>
  <si>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</si>
  <si>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</si>
  <si>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</si>
  <si>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</si>
  <si>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</si>
  <si>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</si>
  <si>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</si>
  <si>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</si>
  <si>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</si>
  <si>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</si>
  <si>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</si>
  <si>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</si>
  <si>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</si>
  <si>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</si>
  <si>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</si>
  <si>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</si>
  <si>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</si>
  <si>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</si>
  <si>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</si>
  <si>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</si>
  <si>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</si>
  <si>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</si>
  <si>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</si>
  <si>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</si>
  <si>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</si>
  <si>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</si>
  <si>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</si>
  <si>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</si>
  <si>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</si>
  <si>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</si>
  <si>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</si>
  <si>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</si>
  <si>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</si>
  <si>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</si>
  <si>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</si>
  <si>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</si>
  <si>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</si>
  <si>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</si>
  <si>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</si>
  <si>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</si>
  <si>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</si>
  <si>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</si>
  <si>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</si>
  <si>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</si>
  <si>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</si>
  <si>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</si>
  <si>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</si>
  <si>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</si>
  <si>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</si>
  <si>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</si>
  <si>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</si>
  <si>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</si>
  <si>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</si>
  <si>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</si>
  <si>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</si>
  <si>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</si>
  <si>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</si>
  <si>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</si>
  <si>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</si>
  <si>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</si>
  <si>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</si>
  <si>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</si>
  <si>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</si>
  <si>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</si>
  <si>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</si>
  <si>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</si>
  <si>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</si>
  <si>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</si>
  <si>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</si>
  <si>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</si>
  <si>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</si>
  <si>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</si>
  <si>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</si>
  <si>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</si>
  <si>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</si>
  <si>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</si>
  <si>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</si>
  <si>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</si>
  <si>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</si>
  <si>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</si>
  <si>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</si>
  <si>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</si>
  <si>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</si>
  <si>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</si>
  <si>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</si>
  <si>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</si>
  <si>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</si>
  <si>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</si>
  <si>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</si>
  <si>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</si>
  <si>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</si>
  <si>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</si>
  <si>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</si>
  <si>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</si>
  <si>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</si>
  <si>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</si>
  <si>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</si>
  <si>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</si>
  <si>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</si>
  <si>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</si>
  <si>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</si>
  <si>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</si>
  <si>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</si>
  <si>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</si>
  <si>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</si>
  <si>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</si>
  <si>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</si>
  <si>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</si>
  <si>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</si>
  <si>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</si>
  <si>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</si>
  <si>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</si>
  <si>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</si>
  <si>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</si>
  <si>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</si>
  <si>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</si>
  <si>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</si>
  <si>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</si>
  <si>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</si>
  <si>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</si>
  <si>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</si>
  <si>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</si>
  <si>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</si>
  <si>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</si>
  <si>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</si>
  <si>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</si>
  <si>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</si>
  <si>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</si>
  <si>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</si>
  <si>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</si>
  <si>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</si>
  <si>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</si>
  <si>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</si>
  <si>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</si>
  <si>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</si>
  <si>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</si>
  <si>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</si>
  <si>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</si>
  <si>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</si>
  <si>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</si>
  <si>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</si>
  <si>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</si>
  <si>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</si>
  <si>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</si>
  <si>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</si>
  <si>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</si>
  <si>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</si>
  <si>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</si>
  <si>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</si>
  <si>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</si>
  <si>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</si>
  <si>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</si>
  <si>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</si>
  <si>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</si>
  <si>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</si>
  <si>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</si>
  <si>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</si>
  <si>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</si>
  <si>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</si>
  <si>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</si>
  <si>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</si>
  <si>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</si>
  <si>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</si>
  <si>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</si>
  <si>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</si>
  <si>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</si>
  <si>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</si>
  <si>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</si>
  <si>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</si>
  <si>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</si>
  <si>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</si>
  <si>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</si>
  <si>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</si>
  <si>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</si>
  <si>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</si>
  <si>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</si>
  <si>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</si>
  <si>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</si>
  <si>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</si>
  <si>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</si>
  <si>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</si>
  <si>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</si>
  <si>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</si>
  <si>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</si>
  <si>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</si>
  <si>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</si>
  <si>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</si>
  <si>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</si>
  <si>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</si>
  <si>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</si>
  <si>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</si>
  <si>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</si>
  <si>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</si>
  <si>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</si>
  <si>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</si>
  <si>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</si>
  <si>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</si>
  <si>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</si>
  <si>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</si>
  <si>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</si>
  <si>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</si>
  <si>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</si>
  <si>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</si>
  <si>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</si>
  <si>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</si>
  <si>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</si>
  <si>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</si>
  <si>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</si>
  <si>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</si>
  <si>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</si>
  <si>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</si>
  <si>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</si>
  <si>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</si>
  <si>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</si>
  <si>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</si>
  <si>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</si>
  <si>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</si>
  <si>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</si>
  <si>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</si>
  <si>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</si>
  <si>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</si>
  <si>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</si>
  <si>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</si>
  <si>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</si>
  <si>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</si>
  <si>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</si>
  <si>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</si>
  <si>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</si>
  <si>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</si>
  <si>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</si>
  <si>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</si>
  <si>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</si>
  <si>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</si>
  <si>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</si>
  <si>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</si>
  <si>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</si>
  <si>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</si>
  <si>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</si>
  <si>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</si>
  <si>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</si>
  <si>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</si>
  <si>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</si>
  <si>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</si>
  <si>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</si>
  <si>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</si>
  <si>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</si>
  <si>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</si>
  <si>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</si>
  <si>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</si>
  <si>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</si>
  <si>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</si>
  <si>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</si>
  <si>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</si>
  <si>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</si>
  <si>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</si>
  <si>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</si>
  <si>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</si>
  <si>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</si>
  <si>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</si>
  <si>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</si>
  <si>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</si>
  <si>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</si>
  <si>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</si>
  <si>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</si>
  <si>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</si>
  <si>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</si>
  <si>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</si>
  <si>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</si>
  <si>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</si>
  <si>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</si>
  <si>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</si>
  <si>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</si>
  <si>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</si>
  <si>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</si>
  <si>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</si>
  <si>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</si>
  <si>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</si>
  <si>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</si>
  <si>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</si>
  <si>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</si>
  <si>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</si>
  <si>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</si>
  <si>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</si>
  <si>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</si>
  <si>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</si>
  <si>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</si>
  <si>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</si>
  <si>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</si>
  <si>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</si>
  <si>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</si>
  <si>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</si>
  <si>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</si>
  <si>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</si>
  <si>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</si>
  <si>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</si>
  <si>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</si>
  <si>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</si>
  <si>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</si>
  <si>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</si>
  <si>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</si>
  <si>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</si>
  <si>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</si>
  <si>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</si>
  <si>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</si>
  <si>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</si>
  <si>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</si>
  <si>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</si>
  <si>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</si>
  <si>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</si>
  <si>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</si>
  <si>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</si>
  <si>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</si>
  <si>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</si>
  <si>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</si>
  <si>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</si>
  <si>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</si>
  <si>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</si>
  <si>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</si>
  <si>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</si>
  <si>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</si>
  <si>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</si>
  <si>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</si>
  <si>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</si>
  <si>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</si>
  <si>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</si>
  <si>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</si>
  <si>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</si>
  <si>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</si>
  <si>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</si>
  <si>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</si>
  <si>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</si>
  <si>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</si>
  <si>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</si>
  <si>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</si>
  <si>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</si>
  <si>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</si>
  <si>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</si>
  <si>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</si>
  <si>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</si>
  <si>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</si>
  <si>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</si>
  <si>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</si>
  <si>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</si>
  <si>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</si>
  <si>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</si>
  <si>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</si>
  <si>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</si>
  <si>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</si>
  <si>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</si>
  <si>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</si>
  <si>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</si>
  <si>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</si>
  <si>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</si>
  <si>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</si>
  <si>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</si>
  <si>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</si>
  <si>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</si>
  <si>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</si>
  <si>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</si>
  <si>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</si>
  <si>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</si>
  <si>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</si>
  <si>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</si>
  <si>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</si>
  <si>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</si>
  <si>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</si>
  <si>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</si>
  <si>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</si>
  <si>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</si>
  <si>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</si>
  <si>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</si>
  <si>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</si>
  <si>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</si>
  <si>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</si>
  <si>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</si>
  <si>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</si>
  <si>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</si>
  <si>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</si>
  <si>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</si>
  <si>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</si>
  <si>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</si>
  <si>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</si>
  <si>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</si>
  <si>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</si>
  <si>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</si>
  <si>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</si>
  <si>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</si>
  <si>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</si>
  <si>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</si>
  <si>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</si>
  <si>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</si>
  <si>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</si>
  <si>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</si>
  <si>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</si>
  <si>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</si>
  <si>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</si>
  <si>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</si>
  <si>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</si>
  <si>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</si>
  <si>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</si>
  <si>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</si>
  <si>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</si>
  <si>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</si>
  <si>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</si>
  <si>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</si>
  <si>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</si>
  <si>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</si>
  <si>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</si>
  <si>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</si>
  <si>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</si>
  <si>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</si>
  <si>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</si>
  <si>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</si>
  <si>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</si>
  <si>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</si>
  <si>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</si>
  <si>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</si>
  <si>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</si>
  <si>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</si>
  <si>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</si>
  <si>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</si>
  <si>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</si>
  <si>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</si>
  <si>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</si>
  <si>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</si>
  <si>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</si>
  <si>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</si>
  <si>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</si>
  <si>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</si>
  <si>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</si>
  <si>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</si>
  <si>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</si>
  <si>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</si>
  <si>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</si>
  <si>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</si>
  <si>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</si>
  <si>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</si>
  <si>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</si>
  <si>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</si>
  <si>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</si>
  <si>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</si>
  <si>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</si>
  <si>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</si>
  <si>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</si>
  <si>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</si>
  <si>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</si>
  <si>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</si>
  <si>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</si>
  <si>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</si>
  <si>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</si>
  <si>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</si>
  <si>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</si>
  <si>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</si>
  <si>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</si>
  <si>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</si>
  <si>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</si>
  <si>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</si>
  <si>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</si>
  <si>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</si>
  <si>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</si>
  <si>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</si>
  <si>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</si>
  <si>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</si>
  <si>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</si>
  <si>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</si>
  <si>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</si>
  <si>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</si>
  <si>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</si>
  <si>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</si>
  <si>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</si>
  <si>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</si>
  <si>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</si>
  <si>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</si>
  <si>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</si>
  <si>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</si>
  <si>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</si>
  <si>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</si>
  <si>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</si>
  <si>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</si>
  <si>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</si>
  <si>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</si>
  <si>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</si>
  <si>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</si>
  <si>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</si>
  <si>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</si>
  <si>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</si>
  <si>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</si>
  <si>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</si>
  <si>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</si>
  <si>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</si>
  <si>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</si>
  <si>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</si>
  <si>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</si>
  <si>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</si>
  <si>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</si>
  <si>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</si>
  <si>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</si>
  <si>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</si>
  <si>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</si>
  <si>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</si>
  <si>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</si>
  <si>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</si>
  <si>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</si>
  <si>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</si>
  <si>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</si>
  <si>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</si>
  <si>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</si>
  <si>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</si>
  <si>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</si>
  <si>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</si>
  <si>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</si>
  <si>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</si>
  <si>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</si>
  <si>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</si>
  <si>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</si>
  <si>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</si>
  <si>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</si>
  <si>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</si>
  <si>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</si>
  <si>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</si>
  <si>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</si>
  <si>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</si>
  <si>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</si>
  <si>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</si>
  <si>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</si>
  <si>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</si>
  <si>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</si>
  <si>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</si>
  <si>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</si>
  <si>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</si>
  <si>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</si>
  <si>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</si>
  <si>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</si>
  <si>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</si>
  <si>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</si>
  <si>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</si>
  <si>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</si>
  <si>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</si>
  <si>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</si>
  <si>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</si>
  <si>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</si>
  <si>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</si>
  <si>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</si>
  <si>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</si>
  <si>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</si>
  <si>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</si>
  <si>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</si>
  <si>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</si>
  <si>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</si>
  <si>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</si>
  <si>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</si>
  <si>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</si>
  <si>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</si>
  <si>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</si>
  <si>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</si>
  <si>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</si>
  <si>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</si>
  <si>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</si>
  <si>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</si>
  <si>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</si>
  <si>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</si>
  <si>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</si>
  <si>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</si>
  <si>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</si>
  <si>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</si>
  <si>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</si>
  <si>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</si>
  <si>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</si>
  <si>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</si>
  <si>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</si>
  <si>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</si>
  <si>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</si>
  <si>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</si>
  <si>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</si>
  <si>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</si>
  <si>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</si>
  <si>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</si>
  <si>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</si>
  <si>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</si>
  <si>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</si>
  <si>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</si>
  <si>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</si>
  <si>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</si>
  <si>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</si>
  <si>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</si>
  <si>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</si>
  <si>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</si>
  <si>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</si>
  <si>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</si>
  <si>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</si>
  <si>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</si>
  <si>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</si>
  <si>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</si>
  <si>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</si>
  <si>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</si>
  <si>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</si>
  <si>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</si>
  <si>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</si>
  <si>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</si>
  <si>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</si>
  <si>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</si>
  <si>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</si>
  <si>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</si>
  <si>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</si>
  <si>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</si>
  <si>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</si>
  <si>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</si>
  <si>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</si>
  <si>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</si>
  <si>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</si>
  <si>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</si>
  <si>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</si>
  <si>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</si>
  <si>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</si>
  <si>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</si>
  <si>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</si>
  <si>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</si>
  <si>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</si>
  <si>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</si>
  <si>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</si>
  <si>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</si>
  <si>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</si>
  <si>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</si>
  <si>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</si>
  <si>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</si>
  <si>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</si>
  <si>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</si>
  <si>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</si>
  <si>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</si>
  <si>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</si>
  <si>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</si>
  <si>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</si>
  <si>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</si>
  <si>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</si>
  <si>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</si>
  <si>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</si>
  <si>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</si>
  <si>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</si>
  <si>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</si>
  <si>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</si>
  <si>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</si>
  <si>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</si>
  <si>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</si>
  <si>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</si>
  <si>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</si>
  <si>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</si>
  <si>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</si>
  <si>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</si>
  <si>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</si>
  <si>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</si>
  <si>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</si>
  <si>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</si>
  <si>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</si>
  <si>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</si>
  <si>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</si>
  <si>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</si>
  <si>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</si>
  <si>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</si>
  <si>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</si>
  <si>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</si>
  <si>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</si>
  <si>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</si>
  <si>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</si>
  <si>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</si>
  <si>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</si>
  <si>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</si>
  <si>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</si>
  <si>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</si>
  <si>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</si>
  <si>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</si>
  <si>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</si>
  <si>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</si>
  <si>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</si>
  <si>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</si>
  <si>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</si>
  <si>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</si>
  <si>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</si>
  <si>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</si>
  <si>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</si>
  <si>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</si>
  <si>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</si>
  <si>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</si>
  <si>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</si>
  <si>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</si>
  <si>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</si>
  <si>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</si>
  <si>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</si>
  <si>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</si>
  <si>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</si>
  <si>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</si>
  <si>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</si>
  <si>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</si>
  <si>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</si>
  <si>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</si>
  <si>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</si>
  <si>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</si>
  <si>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</si>
  <si>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</si>
  <si>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</si>
  <si>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</si>
  <si>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</si>
  <si>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</si>
  <si>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</si>
  <si>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</si>
  <si>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</si>
  <si>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</si>
  <si>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</si>
  <si>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</si>
  <si>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</si>
  <si>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</si>
  <si>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</si>
  <si>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</si>
  <si>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</si>
  <si>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</si>
  <si>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</si>
  <si>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</si>
  <si>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</si>
  <si>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</si>
  <si>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</si>
  <si>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</si>
  <si>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</si>
  <si>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</si>
  <si>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</si>
  <si>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</si>
  <si>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</si>
  <si>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</si>
  <si>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</si>
  <si>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</si>
  <si>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</si>
  <si>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</si>
  <si>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</si>
  <si>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</si>
  <si>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</si>
  <si>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</si>
  <si>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</si>
  <si>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</si>
  <si>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</si>
  <si>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</si>
  <si>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</si>
  <si>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</si>
  <si>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</si>
  <si>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</si>
  <si>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</si>
  <si>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</si>
  <si>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</si>
  <si>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</si>
  <si>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</si>
  <si>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</si>
  <si>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</si>
  <si>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</si>
  <si>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</si>
  <si>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</si>
  <si>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</si>
  <si>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</si>
  <si>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</si>
  <si>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</si>
  <si>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</si>
  <si>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</si>
  <si>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</si>
  <si>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</si>
  <si>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</si>
  <si>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</si>
  <si>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</si>
  <si>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</si>
  <si>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</si>
  <si>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</si>
  <si>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</si>
  <si>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</si>
  <si>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</si>
  <si>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</si>
  <si>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</si>
  <si>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</si>
  <si>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</si>
  <si>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</si>
  <si>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</si>
  <si>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</si>
  <si>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</si>
  <si>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</si>
  <si>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</si>
  <si>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</si>
  <si>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</si>
  <si>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</si>
  <si>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</si>
  <si>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</si>
  <si>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</si>
  <si>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</si>
  <si>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</si>
  <si>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</si>
  <si>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</si>
  <si>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</si>
  <si>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</si>
  <si>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</si>
  <si>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</si>
  <si>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</si>
  <si>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</si>
  <si>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</si>
  <si>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</si>
  <si>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</si>
  <si>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</si>
  <si>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</si>
  <si>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</si>
  <si>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</si>
  <si>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</si>
  <si>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</si>
  <si>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</si>
  <si>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</si>
  <si>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</si>
  <si>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</si>
  <si>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</si>
  <si>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</si>
  <si>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</si>
  <si>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</si>
  <si>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</si>
  <si>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</si>
  <si>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</si>
  <si>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</si>
  <si>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</si>
  <si>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</si>
  <si>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</si>
  <si>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</si>
  <si>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</si>
  <si>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</si>
  <si>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</si>
  <si>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</si>
  <si>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</si>
  <si>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</si>
  <si>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</si>
  <si>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</si>
  <si>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</si>
  <si>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</si>
  <si>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</si>
  <si>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</si>
  <si>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</si>
  <si>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</si>
  <si>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</si>
  <si>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</si>
  <si>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</si>
  <si>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</si>
  <si>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</si>
  <si>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</si>
  <si>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</si>
  <si>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</si>
  <si>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</si>
  <si>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</si>
  <si>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</si>
  <si>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</si>
  <si>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</si>
  <si>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</si>
  <si>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</si>
  <si>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</si>
  <si>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</si>
  <si>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</si>
  <si>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</si>
  <si>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</si>
  <si>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</si>
  <si>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</si>
  <si>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</si>
  <si>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</si>
  <si>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</si>
  <si>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</si>
  <si>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</si>
  <si>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</si>
  <si>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</si>
  <si>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</si>
  <si>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</si>
  <si>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</si>
  <si>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</si>
  <si>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</si>
  <si>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</si>
  <si>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</si>
  <si>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</si>
  <si>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</si>
  <si>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</si>
  <si>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</si>
  <si>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</si>
  <si>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</si>
  <si>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</si>
  <si>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</si>
  <si>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</si>
  <si>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</si>
  <si>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</si>
  <si>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</si>
  <si>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</si>
  <si>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</si>
  <si>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</si>
  <si>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</si>
  <si>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</si>
  <si>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</si>
  <si>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</si>
  <si>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</si>
  <si>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</si>
  <si>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</si>
  <si>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</si>
  <si>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</si>
  <si>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</si>
  <si>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</si>
  <si>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</si>
  <si>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</si>
  <si>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</si>
  <si>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&gt;6 (5-8)</t>
  </si>
  <si>
    <t>pi_BCG_att1i234b</t>
  </si>
  <si>
    <t>&gt;6 (3-10)</t>
  </si>
  <si>
    <t>percent (0-100) individuals - BCG Attribute Ii + II + III + IV_better</t>
  </si>
  <si>
    <t>&lt;2 (1-2)</t>
  </si>
  <si>
    <t>&lt;=30 (25-35)</t>
  </si>
  <si>
    <t>&gt;=50 (45-55)</t>
  </si>
  <si>
    <t>&gt;=1 (0-2)</t>
  </si>
  <si>
    <t>&lt;8 (5-10)</t>
  </si>
  <si>
    <t>&gt;2 (2-3)</t>
  </si>
  <si>
    <t>&lt;=15 (10-20)</t>
  </si>
  <si>
    <t>&gt;32 (30-35)</t>
  </si>
  <si>
    <t>&gt;=12 (9-15)</t>
  </si>
  <si>
    <t>&lt;43 (40-45)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</si>
  <si>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</si>
  <si>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</si>
  <si>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</si>
  <si>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</si>
  <si>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</si>
  <si>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</si>
  <si>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</si>
  <si>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</si>
  <si>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</si>
  <si>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</si>
  <si>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</si>
  <si>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</si>
  <si>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</si>
  <si>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</si>
  <si>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</si>
  <si>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</si>
  <si>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</si>
  <si>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</si>
  <si>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</si>
  <si>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</si>
  <si>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</si>
  <si>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</si>
  <si>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number taxa - Odonata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</si>
  <si>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</si>
  <si>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</si>
  <si>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</si>
  <si>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</si>
  <si>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</si>
  <si>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</si>
  <si>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</si>
  <si>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</si>
  <si>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</si>
  <si>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</si>
  <si>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</si>
  <si>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</si>
  <si>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</si>
  <si>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</si>
  <si>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</si>
  <si>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</si>
  <si>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</si>
  <si>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</si>
  <si>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</si>
  <si>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</si>
  <si>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</si>
  <si>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</si>
  <si>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</si>
  <si>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</si>
  <si>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</si>
  <si>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</si>
  <si>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</si>
  <si>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</si>
  <si>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</si>
  <si>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</si>
  <si>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</si>
  <si>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</si>
  <si>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</si>
  <si>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</si>
  <si>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</si>
  <si>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</si>
  <si>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</si>
  <si>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</si>
  <si>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</si>
  <si>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</si>
  <si>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</si>
  <si>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</si>
  <si>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</si>
  <si>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</si>
  <si>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</si>
  <si>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</si>
  <si>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</si>
  <si>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</si>
  <si>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</si>
  <si>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</si>
  <si>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</si>
  <si>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</si>
  <si>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</si>
  <si>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</si>
  <si>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</si>
  <si>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</si>
  <si>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</si>
  <si>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</si>
  <si>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</si>
  <si>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</si>
  <si>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</si>
  <si>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</si>
  <si>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</si>
  <si>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</si>
  <si>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</si>
  <si>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</si>
  <si>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</si>
  <si>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</si>
  <si>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</si>
  <si>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</si>
  <si>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</si>
  <si>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</si>
  <si>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</si>
  <si>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</si>
  <si>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</si>
  <si>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</si>
  <si>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</si>
  <si>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</si>
  <si>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</si>
  <si>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</si>
  <si>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</si>
  <si>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</si>
  <si>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pt_COET</t>
  </si>
  <si>
    <t>&gt;37% (35-40)</t>
  </si>
  <si>
    <t>percent (0-100) taxa - Orders Coleoptera, Odonata, Ephemeroptera, and Trichoptera (COET)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</si>
  <si>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</si>
  <si>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</si>
  <si>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</si>
  <si>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</si>
  <si>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</si>
  <si>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</si>
  <si>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percent (0-100) taxa - Orders Coleoptera, Odonata, Ephemertopera, and Trichoptera (COET)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</si>
  <si>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</si>
  <si>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</si>
  <si>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</si>
  <si>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</si>
  <si>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</si>
  <si>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</si>
  <si>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</si>
  <si>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Number of Ephemertopera and Trichoptera (ET) Orders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</si>
  <si>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</si>
  <si>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</si>
  <si>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</si>
  <si>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</si>
  <si>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</si>
  <si>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</si>
  <si>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</si>
  <si>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</si>
  <si>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</si>
  <si>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</si>
  <si>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</si>
  <si>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</si>
  <si>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</si>
  <si>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</si>
  <si>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</si>
  <si>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</si>
  <si>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</si>
  <si>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</si>
  <si>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</si>
  <si>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</si>
  <si>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</si>
  <si>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</si>
  <si>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</si>
  <si>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Main_Eckert</t>
  </si>
  <si>
    <t>&gt; 0 (0-1)</t>
  </si>
  <si>
    <t>&gt; 2 (1-4)</t>
  </si>
  <si>
    <t>&gt; 1 (0-3)</t>
  </si>
  <si>
    <t>LBR_Bugs_BCG_v1</t>
  </si>
  <si>
    <t>Main_BarberPool</t>
  </si>
  <si>
    <t>UpperLBR</t>
  </si>
  <si>
    <t>&gt; 18 (16-21)</t>
  </si>
  <si>
    <t>pi_dom01_BCG_att456t</t>
  </si>
  <si>
    <t>Percent individuals - most dominant Attr IV, V or VIt taxon</t>
  </si>
  <si>
    <t>&gt; 6 (4-9)</t>
  </si>
  <si>
    <t>Number of sensitive (Attr Ii+II+III) EPT taxa</t>
  </si>
  <si>
    <t>pi_EPT_BCG_att1i23</t>
  </si>
  <si>
    <t>&gt; 7 (5-10)</t>
  </si>
  <si>
    <t>Percent of sensitive (Attr Ii+II+III) EPT individuals</t>
  </si>
  <si>
    <t>pi_BCG_att56t</t>
  </si>
  <si>
    <t>Percent very tolerant (Attr V+VIt) individuals</t>
  </si>
  <si>
    <t>&gt; 4 (3-6)</t>
  </si>
  <si>
    <t>Number of Plecoptera taxa</t>
  </si>
  <si>
    <t>pt_NonIns_BCG_att456t</t>
  </si>
  <si>
    <t>&lt; 8 (5-10)</t>
  </si>
  <si>
    <t>Percent non-insect, BCG Attr IV + V + VIt taxa</t>
  </si>
  <si>
    <t>Percent non-insect individuals</t>
  </si>
  <si>
    <t>&gt; 32 (30-35)</t>
  </si>
  <si>
    <t>&gt; 13 (11-16)</t>
  </si>
  <si>
    <t>&lt; 43 (40-45)</t>
  </si>
  <si>
    <t>&gt; 22 (20-25)</t>
  </si>
  <si>
    <t>&gt; 8 (6-11)</t>
  </si>
  <si>
    <t>second worst</t>
  </si>
  <si>
    <t>&gt; 2 (0-5)</t>
  </si>
  <si>
    <t>&lt; 38 (35-40)</t>
  </si>
  <si>
    <t>Main_VetGlen</t>
  </si>
  <si>
    <t>Main_SoChannel</t>
  </si>
  <si>
    <t>Main_Middleton</t>
  </si>
  <si>
    <t>&gt; 42 (40-45)</t>
  </si>
  <si>
    <t>LowerLBR</t>
  </si>
  <si>
    <t>&gt; 20 (18-23)</t>
  </si>
  <si>
    <t>&gt; 15 (13-18)</t>
  </si>
  <si>
    <t>&gt; 9 (6-13)</t>
  </si>
  <si>
    <t>Main_NotusParma</t>
  </si>
  <si>
    <t>Add rules for City of Boise BCG, Fish, Main_Eckert</t>
  </si>
  <si>
    <t>LBR_Fish_BCG_v1</t>
  </si>
  <si>
    <t>nt_native</t>
  </si>
  <si>
    <t>&gt; 8 (7-10)</t>
  </si>
  <si>
    <t>number of native taxa</t>
  </si>
  <si>
    <t>pi_Cott</t>
  </si>
  <si>
    <t>nt_repro_lithophil</t>
  </si>
  <si>
    <t>n_ac_Cott</t>
  </si>
  <si>
    <t>n_ac_rbt</t>
  </si>
  <si>
    <t>d_ac_yoy_Cott</t>
  </si>
  <si>
    <t>d_ac_yoy_rbt</t>
  </si>
  <si>
    <t>nt_BCG_att6t</t>
  </si>
  <si>
    <t>pi_nonnative</t>
  </si>
  <si>
    <t>&gt; 1 (1-2)</t>
  </si>
  <si>
    <t>&gt; 3 (2-5)</t>
  </si>
  <si>
    <t>Add rules for City of Boise BCG, Bugs</t>
  </si>
  <si>
    <t>Add rules for City of Boise BCG, Fish</t>
  </si>
  <si>
    <t>&gt; 12 (11-14)</t>
  </si>
  <si>
    <t>&gt; 6 (5-8)</t>
  </si>
  <si>
    <t>number of taxa - BCG Attribute I + II + III + IV_better</t>
  </si>
  <si>
    <t>&lt; 0.1 (0-0.1)</t>
  </si>
  <si>
    <t>percent (0-100) individuals - non-native</t>
  </si>
  <si>
    <t>&gt; 7 (6-9)</t>
  </si>
  <si>
    <t>number of taxa - LITHOPHIL (requires clean, coarse substrate)</t>
  </si>
  <si>
    <t>percent (0-100) individuals - Family COTTIDAE</t>
  </si>
  <si>
    <t>&gt; 4 (3.5-5)</t>
  </si>
  <si>
    <t>number of age classes - Family COTTIDAE</t>
  </si>
  <si>
    <t>detection - young of year (age class 1 or 2) - Family COTTIDAE</t>
  </si>
  <si>
    <t>&gt; 5 (4.5-6)</t>
  </si>
  <si>
    <t>number of age classes - Rainbow Trout</t>
  </si>
  <si>
    <t>detection - young of year (age class 1 or 2) - Rainbow Trout</t>
  </si>
  <si>
    <t>pi_ti_cold</t>
  </si>
  <si>
    <t>percent (0-100) individuals - cold</t>
  </si>
  <si>
    <t>x_Obs_CatoRhin</t>
  </si>
  <si>
    <t>presence of suckers and/or dace (2=both present)</t>
  </si>
  <si>
    <t>pi_BCG_att6t</t>
  </si>
  <si>
    <t>percent (0-100) individuals - BCG Attribute VI t (very tolerant non-native)</t>
  </si>
  <si>
    <t>&gt; 2 (1.5-3.5)</t>
  </si>
  <si>
    <t>&gt; 3 (2.5-4)</t>
  </si>
  <si>
    <t>&gt; 1 (0.5-2)</t>
  </si>
  <si>
    <t>&lt; 3 (.1-5)</t>
  </si>
  <si>
    <t>&gt; 5 (1-10)</t>
  </si>
  <si>
    <t>&gt; 5 (4-7)</t>
  </si>
  <si>
    <t>&lt; 9 (7-10)</t>
  </si>
  <si>
    <t>&gt; 3 (1-4)</t>
  </si>
  <si>
    <t>&gt; 2 (2-3.5)</t>
  </si>
  <si>
    <t>&gt; 3 (2.5-4.5)</t>
  </si>
  <si>
    <t>&lt; 0 (0-0.1)</t>
  </si>
  <si>
    <t xml:space="preserve">n_ac_mwf </t>
  </si>
  <si>
    <t>number of age classes - Mountain Whitefish</t>
  </si>
  <si>
    <t>&lt; 3 (0-5)</t>
  </si>
  <si>
    <t>number of taxa - BCG Attribute VI t (very tolerant non-native)</t>
  </si>
  <si>
    <t>&lt; 3 (1-4)</t>
  </si>
  <si>
    <t>&gt; 10 (9-12)</t>
  </si>
  <si>
    <t>&lt; 5 (1-10)</t>
  </si>
  <si>
    <t>&gt; 0 (0-1.5)</t>
  </si>
  <si>
    <t>&lt; 2 (0.1-3)</t>
  </si>
  <si>
    <t>&lt; 5 (3-6)</t>
  </si>
  <si>
    <t>Remove 2025-12-26 Boise BCG Fish Main_Eckert rules</t>
  </si>
  <si>
    <t>Add "sort" column for within index_name sorting</t>
  </si>
  <si>
    <t>Only LBR Bugs and Fish</t>
  </si>
  <si>
    <t>&lt;= 35 (30-40)</t>
  </si>
  <si>
    <t>&lt;= 2 (0-4)</t>
  </si>
  <si>
    <t>&lt;= 15 (10-20)</t>
  </si>
  <si>
    <t>&lt;= 7 (4-10)</t>
  </si>
  <si>
    <t>&lt;= 25 (20-30)</t>
  </si>
  <si>
    <t>&lt;= 20 (15-25)</t>
  </si>
  <si>
    <t>&lt;= 50 (45-55)</t>
  </si>
  <si>
    <t>&lt;= 30 (25-35)</t>
  </si>
  <si>
    <t>&gt;= 7 (5-9)</t>
  </si>
  <si>
    <t>&lt;= 40 (35-45)</t>
  </si>
  <si>
    <t>&gt;= 55 (50-60)</t>
  </si>
  <si>
    <t>&gt;= 80 (75-85)</t>
  </si>
  <si>
    <t>&gt;= 70 (65-75)</t>
  </si>
  <si>
    <t>&lt;= 3 (1-5)</t>
  </si>
  <si>
    <t>&lt;= 10 (5-15)</t>
  </si>
  <si>
    <t>Metric_Sort</t>
  </si>
  <si>
    <t>Xeric_Multihab</t>
  </si>
  <si>
    <t>nord_EPT</t>
  </si>
  <si>
    <t>Number of EPT Orders</t>
  </si>
  <si>
    <t>&gt;=23 (18-28)</t>
  </si>
  <si>
    <t>nt_EPT_BCG_att1i2</t>
  </si>
  <si>
    <t>Number of highly sensitive (Attr Ii+II) EPT taxa</t>
  </si>
  <si>
    <t>&gt;=12 (7-17)</t>
  </si>
  <si>
    <t>&lt;48 (45-50)</t>
  </si>
  <si>
    <t>Percent individuals - most dominant two taxa</t>
  </si>
  <si>
    <t>&lt;4 (2-5)</t>
  </si>
  <si>
    <t>Percent of very tolerant (Attr V+VIt) individuals</t>
  </si>
  <si>
    <t>Percent non-insect, non-sensitive individuals, excluding Juga and mites</t>
  </si>
  <si>
    <t>&lt;1 (0-1)</t>
  </si>
  <si>
    <t>Number of non-native taxa</t>
  </si>
  <si>
    <t>&gt;14 (11-18)</t>
  </si>
  <si>
    <t>&lt;53 (50-55)</t>
  </si>
  <si>
    <t>&gt;1 (-0.5-2)</t>
  </si>
  <si>
    <t>&lt;58 (55-60)</t>
  </si>
  <si>
    <t>Xeric_Riffle</t>
  </si>
  <si>
    <t>&gt;9 (7-12)</t>
  </si>
  <si>
    <t>&lt;33 (30-35)</t>
  </si>
  <si>
    <t>&lt;6 (4-7)</t>
  </si>
  <si>
    <t>&lt;10 (7-12)</t>
  </si>
  <si>
    <t>&gt;8 (6-11)</t>
  </si>
  <si>
    <t>&lt;15 (12-17)</t>
  </si>
  <si>
    <t>NBR_Riffle</t>
  </si>
  <si>
    <t>&gt;=17 (12-22)</t>
  </si>
  <si>
    <t>nt_BCG_att56t</t>
  </si>
  <si>
    <t>&lt;2 (0-3)</t>
  </si>
  <si>
    <t>Number of very tolerant (Attr V+VIt) taxa</t>
  </si>
  <si>
    <t>&lt;3 (0-5)</t>
  </si>
  <si>
    <t>Percent individuals - most dominant taxon</t>
  </si>
  <si>
    <t>&gt;=13 (8-18)</t>
  </si>
  <si>
    <t>&gt;8 (5-12)</t>
  </si>
  <si>
    <t>&lt;=4 (3-5)</t>
  </si>
  <si>
    <t>&lt;38 (35-40)</t>
  </si>
  <si>
    <t>&lt;9 (5-12)</t>
  </si>
  <si>
    <t>MountainCold_Multihab</t>
  </si>
  <si>
    <t>Number of cold stenotherm + cold taxa</t>
  </si>
  <si>
    <t>Percent individuals - Family Simuliidae and Baetis tricaudatus complex</t>
  </si>
  <si>
    <t>&gt;=10 (5-15)</t>
  </si>
  <si>
    <t>&gt;=8 (3-13)</t>
  </si>
  <si>
    <t>MountainCold_Riffle</t>
  </si>
  <si>
    <t>&gt;10 (6-15)</t>
  </si>
  <si>
    <t>&gt;7 (4-11)</t>
  </si>
  <si>
    <t>&gt;4 (0-9)</t>
  </si>
  <si>
    <t>&gt;3 (1-6)</t>
  </si>
  <si>
    <t>BCG_ORWA_v1_Bugs500ct, partial</t>
  </si>
  <si>
    <t>Remove older ORWA rules (hi/lo-elev/grad)</t>
  </si>
  <si>
    <t>Add ORWA Foothills (Multihab &amp; Riffle)</t>
  </si>
  <si>
    <t>Foothills_Multihab</t>
  </si>
  <si>
    <t>&gt;52 (50-55)</t>
  </si>
  <si>
    <t>nt_ti_stenocold_cold_cool</t>
  </si>
  <si>
    <t>Number of cold stenotherm + cold + cool taxa</t>
  </si>
  <si>
    <t>&lt;=22 (19-25)</t>
  </si>
  <si>
    <t>&lt;18 (15-20)</t>
  </si>
  <si>
    <t>pt_Chiro</t>
  </si>
  <si>
    <t>Percent Chironomidae taxa</t>
  </si>
  <si>
    <t>&gt;15 (12-19)</t>
  </si>
  <si>
    <t>&lt;=5 (3-7)</t>
  </si>
  <si>
    <t>&gt;1 (0-1)</t>
  </si>
  <si>
    <t>&gt;23 (20-25)</t>
  </si>
  <si>
    <t>Foothills_Riffle</t>
  </si>
  <si>
    <t>&gt;=21 (16-26)</t>
  </si>
  <si>
    <t>Percent of sensitive (Attr Ii+II+III) individuals</t>
  </si>
  <si>
    <t>&gt;4.2 (4-4.5)</t>
  </si>
  <si>
    <t>&lt;=3 (1-5)</t>
  </si>
  <si>
    <t>&lt;13 (10-15)</t>
  </si>
  <si>
    <t>&gt;=3.7 (3.4-4)</t>
  </si>
  <si>
    <t>&lt;7 (5-8)</t>
  </si>
  <si>
    <t>&lt;11 (8-13)</t>
  </si>
  <si>
    <t>&gt;=3 (0-6)</t>
  </si>
  <si>
    <t>Remove older ORWA rules, replace with new ones</t>
  </si>
  <si>
    <t>Lowlands_Riffle</t>
  </si>
  <si>
    <t>&gt;12 (9-16)</t>
  </si>
  <si>
    <t>&gt;=4.2 (4-4.4)</t>
  </si>
  <si>
    <t>&lt;=2 (1-3)</t>
  </si>
  <si>
    <t>&lt;6 (3-8)</t>
  </si>
  <si>
    <t>&gt;3.6 (3.5-3.8)</t>
  </si>
  <si>
    <t>&gt;=2.65 (2.3-3)</t>
  </si>
  <si>
    <t>&gt;=1.9 (1.5-2.3)</t>
  </si>
  <si>
    <t>&lt;9 (7-10)</t>
  </si>
  <si>
    <t>Lowlands_Multihab_LoGrad</t>
  </si>
  <si>
    <t>&gt;20 (18-23)</t>
  </si>
  <si>
    <t>&gt;=17 (14-20)</t>
  </si>
  <si>
    <t>&lt;=5 (0-10)</t>
  </si>
  <si>
    <t>&lt;28 (25-30)</t>
  </si>
  <si>
    <t>&gt;=10 (6-14)</t>
  </si>
  <si>
    <t>&gt;2 (0-5)</t>
  </si>
  <si>
    <t>&gt;26 (23-30)</t>
  </si>
  <si>
    <t>Lowlands_Multihab_HiGrad</t>
  </si>
  <si>
    <t>&lt;=1 (0-1)</t>
  </si>
  <si>
    <t>&lt;12 (8-15)</t>
  </si>
  <si>
    <t>&lt;5 (3-6)</t>
  </si>
  <si>
    <t>Large</t>
  </si>
  <si>
    <t>&gt;=195 (190-200)</t>
  </si>
  <si>
    <t>Number of Ephemeroptera, Plecoptera and Trichoptera (EPT) Orders</t>
  </si>
  <si>
    <t>Number of Ephemeroptera, Plecoptera and Trichoptera (EPT) taxa</t>
  </si>
  <si>
    <t>Number of sensitive (Attr II+III+IV_better) taxa</t>
  </si>
  <si>
    <t>&gt;=3 (2-4)</t>
  </si>
  <si>
    <t>Percent of sensitive (Attr II+III+IV_better) individuals</t>
  </si>
  <si>
    <t>&gt;7 (6-9)</t>
  </si>
  <si>
    <t>Number of Ephemeroptera Attr III+IV_better+IV_middle taxa</t>
  </si>
  <si>
    <t>Number of Trichoptera Attr III+IV_better+IV_middle taxa</t>
  </si>
  <si>
    <t>Percent tolerant individuals - Attribute IV_worse + V</t>
  </si>
  <si>
    <t>&lt;=1 (0-2)</t>
  </si>
  <si>
    <t>Percent very tolerant (Attr V) individuals</t>
  </si>
  <si>
    <t>Number of climber + clinger taxa</t>
  </si>
  <si>
    <t>nt_BCG_att6m</t>
  </si>
  <si>
    <t>Number of non-native (Attr VI) taxa</t>
  </si>
  <si>
    <t>&gt;=170 (150-190)</t>
  </si>
  <si>
    <t>&gt;15 (13-18)</t>
  </si>
  <si>
    <t>&gt;=125 (100-150)</t>
  </si>
  <si>
    <t>CGP_Medium</t>
  </si>
  <si>
    <t>nt_COEPT</t>
  </si>
  <si>
    <t>Number of Coleoptera, Odonata, Ephemeroptera, Plecoptera and Trichoptera (COEPT) taxa</t>
  </si>
  <si>
    <t>Number of Coleoptera Attr III+IV_better+IV_middle taxa</t>
  </si>
  <si>
    <t>Number of Odonata Attr III+IV_better+IV_middle taxa</t>
  </si>
  <si>
    <t>&gt;24 (22-27)</t>
  </si>
  <si>
    <t>Percent tolerant taxa - Attribute IV_worse + V</t>
  </si>
  <si>
    <t>&gt;1 (0.5-2)</t>
  </si>
  <si>
    <t>&lt;=10 (5-15)</t>
  </si>
  <si>
    <t>nord_COEPT</t>
  </si>
  <si>
    <t>&gt;2 (1.5-3)</t>
  </si>
  <si>
    <t>Number of Coleoptera, Odonata, Ephemeroptera, Plecoptera and Trichoptera (COEPT) Orders</t>
  </si>
  <si>
    <t>Number of Trichoptera taxa</t>
  </si>
  <si>
    <t>CIP_Medium</t>
  </si>
  <si>
    <t>&gt;25 (23-28)</t>
  </si>
  <si>
    <t>&gt;30 (25-36)</t>
  </si>
  <si>
    <t>&gt;=1 (0.5-1.5)</t>
  </si>
  <si>
    <t>&gt;19 (16-23)</t>
  </si>
  <si>
    <t>&gt;5 (1-10)</t>
  </si>
  <si>
    <t>WCBP_SmallMedium</t>
  </si>
  <si>
    <t>&gt;1 (1.5-3)</t>
  </si>
  <si>
    <t>&gt;3 (0-7)</t>
  </si>
  <si>
    <t>Updated ORWA rules mistake. Removed old KS Bugs BCG rules and replaced with four new index classes</t>
  </si>
  <si>
    <t>OK_Bugs_BCG</t>
  </si>
  <si>
    <t>Riffle100_ChiroC_CGP</t>
  </si>
  <si>
    <t>&gt;16 (15-18)</t>
  </si>
  <si>
    <t/>
  </si>
  <si>
    <t>&gt;12 (11-14)</t>
  </si>
  <si>
    <t>&gt;3 (2.9-3.2)</t>
  </si>
  <si>
    <t>Shannon-Wiener Diversity Index</t>
  </si>
  <si>
    <t>&gt;=2.7 (2.5-2.9)</t>
  </si>
  <si>
    <t>&gt;1.8 (1.5-2.2)</t>
  </si>
  <si>
    <t>&gt;=0.75 (0.5-1)</t>
  </si>
  <si>
    <t>&gt;9 (8-11)</t>
  </si>
  <si>
    <t>Number of sensitive (Attr II+III) taxa</t>
  </si>
  <si>
    <t>&gt;0 (-0.5-1)</t>
  </si>
  <si>
    <t>Lower limit is negative to allow for partial membership in Level 3 (4+) if the sensitive taxa metrics are the only L3 rules not being met</t>
  </si>
  <si>
    <t>Percent sensitive (Attr II+III) individuals</t>
  </si>
  <si>
    <t>&gt;2 (-1-5)</t>
  </si>
  <si>
    <t>pi_BCG_att6m</t>
  </si>
  <si>
    <t>&lt;0.01 (0-0.01)</t>
  </si>
  <si>
    <t>Percent non-native (Attr VI) individuals</t>
  </si>
  <si>
    <t>Number of Odonata taxa</t>
  </si>
  <si>
    <t>&gt;0 (-1-0.5)</t>
  </si>
  <si>
    <t>Lower limit is negative to allow for partial membership in Level 3 (4+) if the Odonate metric is the only L3 rule not being met (Odonates are less likely to be captured in riffle samples than riffle beetles and ET taxa)</t>
  </si>
  <si>
    <t>&gt;0 (0.5-2)</t>
  </si>
  <si>
    <t>Number of Ephemeroptera and Trichoptera (ET) Orders</t>
  </si>
  <si>
    <t>nt_ET</t>
  </si>
  <si>
    <t>Number of Ephemeroptera and Trichoptera (ET) taxa</t>
  </si>
  <si>
    <t>Lower limit is negative to allow for partial membership in Level 5 (6+) if 1 ET taxon is present</t>
  </si>
  <si>
    <t>Riffle100_ChiroC_CIP</t>
  </si>
  <si>
    <t>&gt;13 (12-15)</t>
  </si>
  <si>
    <t>&gt;10 (9-12)</t>
  </si>
  <si>
    <t>&gt;=9 (8-10)</t>
  </si>
  <si>
    <t>pi_COEPT_BCG_att1i234b4m</t>
  </si>
  <si>
    <t>Percent COEPT Attr Ii + II+III+IV_better+IV_middle individuals</t>
  </si>
  <si>
    <t>Replace pi_COEPT_BCG_att234b4m with pi_COEPT_BCG_att1i234b4m</t>
  </si>
  <si>
    <t>Updated KS GP BCG rules mistake.</t>
  </si>
  <si>
    <t>&lt;45 (40-50)</t>
  </si>
  <si>
    <t>&lt;10 (7-14)</t>
  </si>
  <si>
    <t>number of total taxa</t>
  </si>
  <si>
    <t>&gt; 9 (8-11)</t>
  </si>
  <si>
    <t>&lt; 0 (0-1)</t>
  </si>
  <si>
    <t>&lt;= 2 (1-3)</t>
  </si>
  <si>
    <t>&gt;= 1 (0-2)</t>
  </si>
  <si>
    <t>&gt; 1 (-1-4)</t>
  </si>
  <si>
    <t>Update Lower Boise Fish NotuseParma rules (replace all)</t>
  </si>
  <si>
    <t>Update ORWA 456 to 456m6t</t>
  </si>
  <si>
    <t>Percent individuals - most dominant, non-sensitive (Attr 4, 5, 6m, 6t) taxon</t>
  </si>
  <si>
    <t>Percent individuals - two most dominant, non-sensitive (Attr 4, 5, 6m, 6t) taxa</t>
  </si>
  <si>
    <t>pi_dom01_BCG_att456m6t</t>
  </si>
  <si>
    <t>pi_dom02_BCG_att456m6t</t>
  </si>
  <si>
    <t>pi_NonInsTrombJuga_BCG_att456m6t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</si>
</sst>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111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0" fillId="17" borderId="0" xfId="0" applyFill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2" borderId="0" xfId="0" applyFont="1" applyFill="1"/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7:C21" totalsRowShown="0">
  <autoFilter ref="A17:C21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0">
      <calculatedColumnFormula>HYPERLINK(FileName&amp;A18&amp;"!A1",A18)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70"/>
  <sheetViews>
    <sheetView zoomScaleNormal="100" workbookViewId="0">
      <pane ySplit="7" topLeftCell="A55" activePane="bottomLeft" state="frozen"/>
      <selection pane="bottomLeft" activeCell="A70" sqref="A70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2" ht="23.25" x14ac:dyDescent="0.35">
      <c r="A1" s="13" t="s">
        <v>58</v>
      </c>
    </row>
    <row r="2" spans="1:2" ht="20.25" thickBot="1" x14ac:dyDescent="0.35">
      <c r="A2" s="14" t="s">
        <v>59</v>
      </c>
    </row>
    <row r="3" spans="1:2" ht="15.75" thickTop="1" x14ac:dyDescent="0.25"/>
    <row r="4" spans="1:2" x14ac:dyDescent="0.25">
      <c r="A4" s="21" t="s">
        <v>60</v>
      </c>
    </row>
    <row r="5" spans="1:2" x14ac:dyDescent="0.25">
      <c r="A5" s="74" t="s">
        <v>680</v>
      </c>
    </row>
    <row r="6" spans="1:2" x14ac:dyDescent="0.25">
      <c r="A6" s="74" t="s">
        <v>808</v>
      </c>
      <c r="B6" s="74"/>
    </row>
    <row r="7" spans="1:2" x14ac:dyDescent="0.25">
      <c r="A7" s="60">
        <f>MAX(A23:A562)</f>
        <v>46210</v>
      </c>
    </row>
    <row r="9" spans="1:2" x14ac:dyDescent="0.25">
      <c r="A9" s="15" t="s">
        <v>49</v>
      </c>
      <c r="B9" s="16" t="str">
        <f ca="1">LEFT(CELL("filename",B9),FIND("]",CELL("filename",B9)))</f>
        <v>C:\Users\Erik.Leppo\Documents\GitHub\BCGcalc\inst\extdata\[Rules.xlsx]</v>
      </c>
    </row>
    <row r="10" spans="1:2" x14ac:dyDescent="0.25">
      <c r="A10" s="15" t="s">
        <v>50</v>
      </c>
      <c r="B10" s="16" t="str">
        <f ca="1">MID(CELL("filename",B10),FIND("[",CELL("filename",B10)),(FIND("]",CELL("filename",B10))-FIND("[",CELL("filename",B10)))+1)</f>
        <v>[Rules.xlsx]</v>
      </c>
    </row>
    <row r="11" spans="1:2" x14ac:dyDescent="0.25">
      <c r="A11" s="15" t="s">
        <v>51</v>
      </c>
      <c r="B11" s="17" t="str">
        <f ca="1">MID(CELL("filename",B11),FIND("]",CELL("filename",B11))+1,LEN(CELL("filename",B11))-FIND("]",CELL("filename",B11)))</f>
        <v>NOTES</v>
      </c>
    </row>
    <row r="13" spans="1:2" ht="18" thickBot="1" x14ac:dyDescent="0.35">
      <c r="A13" s="18" t="s">
        <v>52</v>
      </c>
    </row>
    <row r="14" spans="1:2" ht="15.75" thickTop="1" x14ac:dyDescent="0.25">
      <c r="A14" t="s">
        <v>61</v>
      </c>
    </row>
    <row r="15" spans="1:2" x14ac:dyDescent="0.25">
      <c r="A15" t="s">
        <v>62</v>
      </c>
    </row>
    <row r="17" spans="1:3" x14ac:dyDescent="0.25">
      <c r="A17" t="s">
        <v>53</v>
      </c>
      <c r="B17" t="s">
        <v>54</v>
      </c>
      <c r="C17" s="19" t="s">
        <v>55</v>
      </c>
    </row>
    <row r="18" spans="1:3" x14ac:dyDescent="0.25">
      <c r="A18" t="s">
        <v>56</v>
      </c>
      <c r="B18" t="s">
        <v>57</v>
      </c>
      <c r="C18" s="20" t="str">
        <f t="shared" ref="C18:C20" ca="1" si="0">HYPERLINK(FileName&amp;A18&amp;"!A1",A18)</f>
        <v>NOTES</v>
      </c>
    </row>
    <row r="19" spans="1:3" x14ac:dyDescent="0.25">
      <c r="A19" t="s">
        <v>450</v>
      </c>
      <c r="B19" t="s">
        <v>451</v>
      </c>
      <c r="C19" s="53" t="str">
        <f t="shared" ca="1" si="0"/>
        <v>Rules</v>
      </c>
    </row>
    <row r="20" spans="1:3" x14ac:dyDescent="0.25">
      <c r="A20" t="s">
        <v>443</v>
      </c>
      <c r="B20" t="s">
        <v>444</v>
      </c>
      <c r="C20" s="43" t="str">
        <f t="shared" ca="1" si="0"/>
        <v>MetricMetadata</v>
      </c>
    </row>
    <row r="21" spans="1:3" x14ac:dyDescent="0.25">
      <c r="A21" t="s">
        <v>1092</v>
      </c>
      <c r="B21" t="s">
        <v>1093</v>
      </c>
      <c r="C21" s="43" t="str">
        <f ca="1">HYPERLINK(FileName&amp;A21&amp;"!A1",A21)</f>
        <v>EXC_RULES_Metadata</v>
      </c>
    </row>
    <row r="23" spans="1:3" x14ac:dyDescent="0.25">
      <c r="A23" s="60">
        <v>44531</v>
      </c>
      <c r="B23" t="s">
        <v>483</v>
      </c>
    </row>
    <row r="24" spans="1:3" x14ac:dyDescent="0.25">
      <c r="A24" s="60">
        <v>44603</v>
      </c>
      <c r="B24" t="s">
        <v>486</v>
      </c>
    </row>
    <row r="25" spans="1:3" x14ac:dyDescent="0.25">
      <c r="A25" s="60">
        <v>44606</v>
      </c>
      <c r="B25" t="s">
        <v>491</v>
      </c>
    </row>
    <row r="26" spans="1:3" x14ac:dyDescent="0.25">
      <c r="A26" s="60">
        <v>44845</v>
      </c>
      <c r="B26" t="s">
        <v>492</v>
      </c>
    </row>
    <row r="27" spans="1:3" x14ac:dyDescent="0.25">
      <c r="A27" s="60">
        <v>44855</v>
      </c>
      <c r="B27" t="s">
        <v>512</v>
      </c>
    </row>
    <row r="28" spans="1:3" x14ac:dyDescent="0.25">
      <c r="A28" s="60">
        <v>44866</v>
      </c>
      <c r="B28" t="s">
        <v>515</v>
      </c>
    </row>
    <row r="29" spans="1:3" x14ac:dyDescent="0.25">
      <c r="A29" s="60">
        <v>44881</v>
      </c>
      <c r="B29" t="s">
        <v>517</v>
      </c>
    </row>
    <row r="30" spans="1:3" x14ac:dyDescent="0.25">
      <c r="B30" t="s">
        <v>520</v>
      </c>
    </row>
    <row r="31" spans="1:3" x14ac:dyDescent="0.25">
      <c r="A31" s="60">
        <v>44882</v>
      </c>
      <c r="B31" t="s">
        <v>630</v>
      </c>
    </row>
    <row r="32" spans="1:3" x14ac:dyDescent="0.25">
      <c r="A32" s="60">
        <v>45118</v>
      </c>
      <c r="B32" t="s">
        <v>678</v>
      </c>
    </row>
    <row r="33" spans="1:2" x14ac:dyDescent="0.25">
      <c r="B33" t="s">
        <v>664</v>
      </c>
    </row>
    <row r="34" spans="1:2" x14ac:dyDescent="0.25">
      <c r="A34" s="60">
        <v>45120</v>
      </c>
      <c r="B34" t="s">
        <v>679</v>
      </c>
    </row>
    <row r="35" spans="1:2" x14ac:dyDescent="0.25">
      <c r="A35" s="60">
        <v>45250</v>
      </c>
      <c r="B35" t="s">
        <v>677</v>
      </c>
    </row>
    <row r="36" spans="1:2" x14ac:dyDescent="0.25">
      <c r="A36" s="60">
        <v>45264</v>
      </c>
      <c r="B36" t="s">
        <v>712</v>
      </c>
    </row>
    <row r="37" spans="1:2" x14ac:dyDescent="0.25">
      <c r="A37" s="60">
        <v>45266</v>
      </c>
      <c r="B37" t="s">
        <v>706</v>
      </c>
    </row>
    <row r="38" spans="1:2" x14ac:dyDescent="0.25">
      <c r="B38" t="s">
        <v>709</v>
      </c>
    </row>
    <row r="39" spans="1:2" x14ac:dyDescent="0.25">
      <c r="A39" s="60">
        <v>45272</v>
      </c>
      <c r="B39" t="s">
        <v>710</v>
      </c>
    </row>
    <row r="40" spans="1:2" x14ac:dyDescent="0.25">
      <c r="A40" s="60">
        <v>45294</v>
      </c>
      <c r="B40" t="s">
        <v>711</v>
      </c>
    </row>
    <row r="41" spans="1:2" x14ac:dyDescent="0.25">
      <c r="A41" s="60">
        <v>45302</v>
      </c>
      <c r="B41" t="s">
        <v>807</v>
      </c>
    </row>
    <row r="42" spans="1:2" x14ac:dyDescent="0.25">
      <c r="A42" s="60">
        <v>45302</v>
      </c>
      <c r="B42" t="s">
        <v>809</v>
      </c>
    </row>
    <row r="43" spans="1:2" x14ac:dyDescent="0.25">
      <c r="A43" s="60">
        <v>45379</v>
      </c>
      <c r="B43" t="s">
        <v>810</v>
      </c>
    </row>
    <row r="44" spans="1:2" x14ac:dyDescent="0.25">
      <c r="A44" s="60">
        <v>45380</v>
      </c>
      <c r="B44" t="s">
        <v>827</v>
      </c>
    </row>
    <row r="45" spans="1:2" x14ac:dyDescent="0.25">
      <c r="A45" s="60">
        <v>45419</v>
      </c>
      <c r="B45" t="s">
        <v>1025</v>
      </c>
    </row>
    <row r="46" spans="1:2" x14ac:dyDescent="0.25">
      <c r="A46" s="60">
        <v>45426</v>
      </c>
      <c r="B46" t="s">
        <v>1026</v>
      </c>
    </row>
    <row r="47" spans="1:2" x14ac:dyDescent="0.25">
      <c r="A47" s="60">
        <v>45449</v>
      </c>
      <c r="B47" t="s">
        <v>1028</v>
      </c>
    </row>
    <row r="48" spans="1:2" x14ac:dyDescent="0.25">
      <c r="A48" s="60">
        <v>45497</v>
      </c>
      <c r="B48" t="s">
        <v>1036</v>
      </c>
    </row>
    <row r="49" spans="1:2" x14ac:dyDescent="0.25">
      <c r="B49" t="s">
        <v>1039</v>
      </c>
    </row>
    <row r="50" spans="1:2" x14ac:dyDescent="0.25">
      <c r="A50" s="60">
        <v>45573</v>
      </c>
      <c r="B50" t="s">
        <v>1084</v>
      </c>
    </row>
    <row r="51" spans="1:2" x14ac:dyDescent="0.25">
      <c r="B51" t="s">
        <v>1085</v>
      </c>
    </row>
    <row r="52" spans="1:2" x14ac:dyDescent="0.25">
      <c r="B52" t="s">
        <v>1086</v>
      </c>
    </row>
    <row r="53" spans="1:2" x14ac:dyDescent="0.25">
      <c r="B53" t="s">
        <v>1096</v>
      </c>
    </row>
    <row r="54" spans="1:2" x14ac:dyDescent="0.25">
      <c r="A54" s="60">
        <v>45695</v>
      </c>
      <c r="B54" t="s">
        <v>1097</v>
      </c>
    </row>
    <row r="55" spans="1:2" x14ac:dyDescent="0.25">
      <c r="A55" s="60">
        <v>45820</v>
      </c>
      <c r="B55" t="s">
        <v>1141</v>
      </c>
    </row>
    <row r="56" spans="1:2" x14ac:dyDescent="0.25">
      <c r="A56" s="60">
        <v>46017</v>
      </c>
      <c r="B56" t="s">
        <v>1182</v>
      </c>
    </row>
    <row r="57" spans="1:2" x14ac:dyDescent="0.25">
      <c r="A57" s="60">
        <v>46160</v>
      </c>
      <c r="B57" t="s">
        <v>1197</v>
      </c>
    </row>
    <row r="58" spans="1:2" x14ac:dyDescent="0.25">
      <c r="A58" s="60">
        <v>46161</v>
      </c>
      <c r="B58" t="s">
        <v>1198</v>
      </c>
    </row>
    <row r="59" spans="1:2" x14ac:dyDescent="0.25">
      <c r="A59" s="60">
        <v>46162</v>
      </c>
      <c r="B59" t="s">
        <v>1240</v>
      </c>
    </row>
    <row r="60" spans="1:2" x14ac:dyDescent="0.25">
      <c r="A60" s="60">
        <v>46168</v>
      </c>
      <c r="B60" t="s">
        <v>1241</v>
      </c>
    </row>
    <row r="61" spans="1:2" x14ac:dyDescent="0.25">
      <c r="B61" t="s">
        <v>1242</v>
      </c>
    </row>
    <row r="62" spans="1:2" x14ac:dyDescent="0.25">
      <c r="A62" s="60">
        <v>46177</v>
      </c>
      <c r="B62" t="s">
        <v>1306</v>
      </c>
    </row>
    <row r="63" spans="1:2" x14ac:dyDescent="0.25">
      <c r="A63" s="60">
        <v>46182</v>
      </c>
      <c r="B63" t="s">
        <v>1307</v>
      </c>
    </row>
    <row r="64" spans="1:2" x14ac:dyDescent="0.25">
      <c r="B64" t="s">
        <v>1308</v>
      </c>
    </row>
    <row r="65" spans="1:2" x14ac:dyDescent="0.25">
      <c r="A65" s="60">
        <v>46196</v>
      </c>
      <c r="B65" t="s">
        <v>1331</v>
      </c>
    </row>
    <row r="66" spans="1:2" x14ac:dyDescent="0.25">
      <c r="A66" s="60">
        <v>46197</v>
      </c>
      <c r="B66" t="s">
        <v>1394</v>
      </c>
    </row>
    <row r="67" spans="1:2" x14ac:dyDescent="0.25">
      <c r="A67" s="60"/>
      <c r="B67" t="s">
        <v>1428</v>
      </c>
    </row>
    <row r="68" spans="1:2" x14ac:dyDescent="0.25">
      <c r="A68" s="60">
        <v>46198</v>
      </c>
      <c r="B68" t="s">
        <v>1429</v>
      </c>
    </row>
    <row r="69" spans="1:2" x14ac:dyDescent="0.25">
      <c r="A69" s="60">
        <v>46210</v>
      </c>
      <c r="B69" t="s">
        <v>1438</v>
      </c>
    </row>
    <row r="70" spans="1:2" x14ac:dyDescent="0.25">
      <c r="A70" s="60">
        <v>46210</v>
      </c>
      <c r="B70" t="s">
        <v>1439</v>
      </c>
    </row>
  </sheetData>
  <dataValidations count="1">
    <dataValidation type="custom" allowBlank="1" showInputMessage="1" showErrorMessage="1" sqref="B9:B10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A6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 filterMode="1">
    <tabColor rgb="FF00B050"/>
  </sheetPr>
  <dimension ref="A1:S2453"/>
  <sheetViews>
    <sheetView tabSelected="1" zoomScale="80" zoomScaleNormal="80" workbookViewId="0">
      <pane xSplit="3" ySplit="1" topLeftCell="D1377" activePane="bottomRight" state="frozen"/>
      <selection pane="topRight" activeCell="E1" sqref="E1"/>
      <selection pane="bottomLeft" activeCell="A2" sqref="A2"/>
      <selection pane="bottomRight" activeCell="D2080" sqref="D2080:D2224"/>
    </sheetView>
  </sheetViews>
  <sheetFormatPr defaultRowHeight="15" x14ac:dyDescent="0.25"/>
  <cols>
    <col min="1" max="1" width="28.140625" bestFit="1" customWidth="1"/>
    <col min="2" max="2" width="25.5703125" bestFit="1" customWidth="1"/>
    <col min="3" max="3" width="8.7109375" bestFit="1" customWidth="1"/>
    <col min="4" max="4" width="38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82.1406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  <col min="19" max="19" width="13.85546875" bestFit="1" customWidth="1"/>
  </cols>
  <sheetData>
    <row r="1" spans="1:19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8" t="s">
        <v>1030</v>
      </c>
      <c r="O1" s="78" t="s">
        <v>1032</v>
      </c>
      <c r="P1" s="78" t="s">
        <v>1031</v>
      </c>
      <c r="Q1" s="67" t="s">
        <v>518</v>
      </c>
      <c r="R1" s="67" t="s">
        <v>519</v>
      </c>
      <c r="S1" s="110" t="s">
        <v>1258</v>
      </c>
    </row>
    <row r="2" spans="1:19" hidden="1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9" hidden="1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9" hidden="1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9" hidden="1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9" hidden="1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9" hidden="1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9" hidden="1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9" hidden="1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9" hidden="1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9" hidden="1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9" hidden="1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9" hidden="1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9" hidden="1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9" hidden="1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9" hidden="1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hidden="1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hidden="1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hidden="1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hidden="1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hidden="1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hidden="1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hidden="1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hidden="1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hidden="1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hidden="1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hidden="1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hidden="1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hidden="1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hidden="1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hidden="1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hidden="1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hidden="1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hidden="1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hidden="1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hidden="1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hidden="1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hidden="1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hidden="1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hidden="1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hidden="1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hidden="1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hidden="1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hidden="1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hidden="1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hidden="1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hidden="1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hidden="1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hidden="1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hidden="1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hidden="1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hidden="1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hidden="1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hidden="1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hidden="1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hidden="1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hidden="1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hidden="1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hidden="1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hidden="1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hidden="1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hidden="1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hidden="1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hidden="1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hidden="1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hidden="1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hidden="1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hidden="1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hidden="1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hidden="1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hidden="1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hidden="1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hidden="1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hidden="1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hidden="1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hidden="1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hidden="1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hidden="1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hidden="1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hidden="1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hidden="1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hidden="1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hidden="1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hidden="1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hidden="1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hidden="1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hidden="1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hidden="1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hidden="1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hidden="1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hidden="1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hidden="1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hidden="1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hidden="1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hidden="1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hidden="1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hidden="1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hidden="1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hidden="1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hidden="1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hidden="1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hidden="1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hidden="1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hidden="1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hidden="1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hidden="1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hidden="1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hidden="1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hidden="1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hidden="1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hidden="1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hidden="1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hidden="1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hidden="1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hidden="1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hidden="1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hidden="1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hidden="1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hidden="1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hidden="1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hidden="1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hidden="1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hidden="1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hidden="1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hidden="1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hidden="1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hidden="1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hidden="1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hidden="1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hidden="1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hidden="1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hidden="1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hidden="1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hidden="1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hidden="1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hidden="1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hidden="1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hidden="1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hidden="1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hidden="1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hidden="1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hidden="1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hidden="1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hidden="1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hidden="1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hidden="1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hidden="1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hidden="1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hidden="1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hidden="1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hidden="1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hidden="1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hidden="1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hidden="1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hidden="1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hidden="1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hidden="1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hidden="1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hidden="1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hidden="1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hidden="1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hidden="1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hidden="1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hidden="1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hidden="1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hidden="1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hidden="1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hidden="1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hidden="1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hidden="1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hidden="1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hidden="1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hidden="1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hidden="1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hidden="1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hidden="1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hidden="1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hidden="1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hidden="1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hidden="1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hidden="1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hidden="1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hidden="1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hidden="1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hidden="1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hidden="1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hidden="1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hidden="1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hidden="1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hidden="1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hidden="1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hidden="1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hidden="1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hidden="1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hidden="1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hidden="1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hidden="1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hidden="1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hidden="1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hidden="1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hidden="1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hidden="1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hidden="1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hidden="1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hidden="1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hidden="1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hidden="1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hidden="1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hidden="1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hidden="1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hidden="1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hidden="1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hidden="1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hidden="1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hidden="1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hidden="1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hidden="1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hidden="1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hidden="1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hidden="1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hidden="1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hidden="1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hidden="1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hidden="1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hidden="1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hidden="1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hidden="1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hidden="1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hidden="1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hidden="1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hidden="1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hidden="1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hidden="1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hidden="1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hidden="1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hidden="1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hidden="1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hidden="1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hidden="1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hidden="1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hidden="1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hidden="1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hidden="1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hidden="1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hidden="1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hidden="1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t="30" hidden="1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hidden="1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hidden="1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hidden="1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hidden="1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hidden="1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hidden="1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hidden="1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hidden="1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hidden="1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hidden="1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hidden="1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hidden="1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hidden="1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hidden="1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hidden="1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hidden="1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hidden="1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hidden="1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hidden="1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hidden="1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hidden="1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hidden="1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hidden="1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hidden="1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hidden="1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hidden="1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hidden="1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hidden="1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hidden="1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hidden="1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hidden="1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hidden="1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hidden="1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hidden="1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hidden="1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hidden="1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hidden="1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hidden="1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hidden="1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hidden="1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hidden="1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hidden="1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hidden="1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hidden="1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hidden="1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hidden="1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hidden="1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hidden="1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hidden="1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hidden="1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hidden="1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hidden="1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hidden="1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hidden="1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hidden="1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hidden="1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hidden="1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hidden="1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hidden="1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hidden="1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hidden="1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hidden="1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hidden="1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hidden="1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hidden="1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hidden="1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hidden="1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hidden="1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hidden="1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hidden="1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hidden="1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hidden="1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hidden="1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hidden="1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hidden="1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hidden="1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hidden="1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hidden="1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hidden="1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hidden="1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hidden="1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hidden="1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1040</v>
      </c>
    </row>
    <row r="330" spans="1:18" hidden="1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1059</v>
      </c>
      <c r="K330" s="68" t="s">
        <v>32</v>
      </c>
      <c r="Q330" t="s">
        <v>632</v>
      </c>
      <c r="R330" t="s">
        <v>1040</v>
      </c>
    </row>
    <row r="331" spans="1:18" hidden="1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1077</v>
      </c>
      <c r="K331" s="68" t="s">
        <v>32</v>
      </c>
      <c r="Q331" t="s">
        <v>632</v>
      </c>
      <c r="R331" t="s">
        <v>1040</v>
      </c>
    </row>
    <row r="332" spans="1:18" hidden="1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1040</v>
      </c>
    </row>
    <row r="333" spans="1:18" hidden="1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1040</v>
      </c>
    </row>
    <row r="334" spans="1:18" hidden="1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1060</v>
      </c>
      <c r="K334" s="68" t="s">
        <v>32</v>
      </c>
      <c r="Q334" t="s">
        <v>632</v>
      </c>
      <c r="R334" t="s">
        <v>1040</v>
      </c>
    </row>
    <row r="335" spans="1:18" hidden="1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1094</v>
      </c>
      <c r="Q335" t="s">
        <v>632</v>
      </c>
      <c r="R335" t="s">
        <v>1040</v>
      </c>
    </row>
    <row r="336" spans="1:18" hidden="1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1077</v>
      </c>
      <c r="K336" s="68" t="s">
        <v>32</v>
      </c>
      <c r="L336" t="s">
        <v>1094</v>
      </c>
      <c r="Q336" t="s">
        <v>632</v>
      </c>
      <c r="R336" t="s">
        <v>1040</v>
      </c>
    </row>
    <row r="337" spans="1:18" hidden="1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1094</v>
      </c>
      <c r="Q337" t="s">
        <v>632</v>
      </c>
      <c r="R337" t="s">
        <v>1040</v>
      </c>
    </row>
    <row r="338" spans="1:18" hidden="1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1094</v>
      </c>
      <c r="Q338" t="s">
        <v>632</v>
      </c>
      <c r="R338" t="s">
        <v>1040</v>
      </c>
    </row>
    <row r="339" spans="1:18" hidden="1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1072</v>
      </c>
      <c r="K339" s="68" t="s">
        <v>32</v>
      </c>
      <c r="L339" t="s">
        <v>1094</v>
      </c>
      <c r="Q339" t="s">
        <v>632</v>
      </c>
      <c r="R339" t="s">
        <v>1040</v>
      </c>
    </row>
    <row r="340" spans="1:18" hidden="1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1060</v>
      </c>
      <c r="K340" s="68" t="s">
        <v>32</v>
      </c>
      <c r="L340" t="s">
        <v>1094</v>
      </c>
      <c r="Q340" t="s">
        <v>632</v>
      </c>
      <c r="R340" t="s">
        <v>1040</v>
      </c>
    </row>
    <row r="341" spans="1:18" hidden="1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1040</v>
      </c>
    </row>
    <row r="342" spans="1:18" hidden="1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1077</v>
      </c>
      <c r="K342" s="68" t="s">
        <v>32</v>
      </c>
      <c r="Q342" t="s">
        <v>632</v>
      </c>
      <c r="R342" t="s">
        <v>1040</v>
      </c>
    </row>
    <row r="343" spans="1:18" hidden="1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1040</v>
      </c>
    </row>
    <row r="344" spans="1:18" hidden="1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1040</v>
      </c>
    </row>
    <row r="345" spans="1:18" hidden="1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1072</v>
      </c>
      <c r="K345" s="68" t="s">
        <v>32</v>
      </c>
      <c r="Q345" t="s">
        <v>632</v>
      </c>
      <c r="R345" t="s">
        <v>1040</v>
      </c>
    </row>
    <row r="346" spans="1:18" hidden="1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1060</v>
      </c>
      <c r="K346" s="68" t="s">
        <v>32</v>
      </c>
      <c r="Q346" t="s">
        <v>632</v>
      </c>
      <c r="R346" t="s">
        <v>1040</v>
      </c>
    </row>
    <row r="347" spans="1:18" hidden="1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1040</v>
      </c>
    </row>
    <row r="348" spans="1:18" hidden="1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1040</v>
      </c>
    </row>
    <row r="349" spans="1:18" hidden="1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1072</v>
      </c>
      <c r="K349" s="68" t="s">
        <v>32</v>
      </c>
      <c r="Q349" t="s">
        <v>632</v>
      </c>
      <c r="R349" t="s">
        <v>1040</v>
      </c>
    </row>
    <row r="350" spans="1:18" hidden="1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1041</v>
      </c>
    </row>
    <row r="351" spans="1:18" hidden="1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1059</v>
      </c>
      <c r="K351" s="68" t="s">
        <v>32</v>
      </c>
      <c r="Q351" t="s">
        <v>639</v>
      </c>
      <c r="R351" t="s">
        <v>1041</v>
      </c>
    </row>
    <row r="352" spans="1:18" hidden="1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1077</v>
      </c>
      <c r="K352" s="68" t="s">
        <v>32</v>
      </c>
      <c r="Q352" t="s">
        <v>639</v>
      </c>
      <c r="R352" t="s">
        <v>1041</v>
      </c>
    </row>
    <row r="353" spans="1:18" hidden="1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1041</v>
      </c>
    </row>
    <row r="354" spans="1:18" hidden="1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1041</v>
      </c>
    </row>
    <row r="355" spans="1:18" hidden="1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1060</v>
      </c>
      <c r="K355" s="68" t="s">
        <v>32</v>
      </c>
      <c r="Q355" t="s">
        <v>639</v>
      </c>
      <c r="R355" t="s">
        <v>1041</v>
      </c>
    </row>
    <row r="356" spans="1:18" hidden="1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1041</v>
      </c>
    </row>
    <row r="357" spans="1:18" hidden="1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1077</v>
      </c>
      <c r="K357" s="68" t="s">
        <v>32</v>
      </c>
      <c r="Q357" t="s">
        <v>639</v>
      </c>
      <c r="R357" t="s">
        <v>1041</v>
      </c>
    </row>
    <row r="358" spans="1:18" hidden="1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1041</v>
      </c>
    </row>
    <row r="359" spans="1:18" hidden="1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1041</v>
      </c>
    </row>
    <row r="360" spans="1:18" hidden="1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1072</v>
      </c>
      <c r="K360" s="68" t="s">
        <v>32</v>
      </c>
      <c r="Q360" t="s">
        <v>639</v>
      </c>
      <c r="R360" t="s">
        <v>1041</v>
      </c>
    </row>
    <row r="361" spans="1:18" hidden="1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1060</v>
      </c>
      <c r="K361" s="68" t="s">
        <v>32</v>
      </c>
      <c r="Q361" t="s">
        <v>639</v>
      </c>
      <c r="R361" t="s">
        <v>1041</v>
      </c>
    </row>
    <row r="362" spans="1:18" hidden="1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1041</v>
      </c>
    </row>
    <row r="363" spans="1:18" hidden="1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1077</v>
      </c>
      <c r="K363" s="68" t="s">
        <v>32</v>
      </c>
      <c r="Q363" t="s">
        <v>639</v>
      </c>
      <c r="R363" t="s">
        <v>1041</v>
      </c>
    </row>
    <row r="364" spans="1:18" hidden="1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1041</v>
      </c>
    </row>
    <row r="365" spans="1:18" hidden="1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1041</v>
      </c>
    </row>
    <row r="366" spans="1:18" hidden="1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1072</v>
      </c>
      <c r="K366" s="68" t="s">
        <v>32</v>
      </c>
      <c r="Q366" t="s">
        <v>639</v>
      </c>
      <c r="R366" t="s">
        <v>1041</v>
      </c>
    </row>
    <row r="367" spans="1:18" hidden="1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1060</v>
      </c>
      <c r="K367" s="68" t="s">
        <v>32</v>
      </c>
      <c r="Q367" t="s">
        <v>639</v>
      </c>
      <c r="R367" t="s">
        <v>1041</v>
      </c>
    </row>
    <row r="368" spans="1:18" hidden="1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1041</v>
      </c>
    </row>
    <row r="369" spans="1:18" hidden="1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1041</v>
      </c>
    </row>
    <row r="370" spans="1:18" hidden="1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1072</v>
      </c>
      <c r="K370" s="68" t="s">
        <v>32</v>
      </c>
      <c r="Q370" t="s">
        <v>639</v>
      </c>
      <c r="R370" t="s">
        <v>1041</v>
      </c>
    </row>
    <row r="371" spans="1:18" hidden="1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1042</v>
      </c>
    </row>
    <row r="372" spans="1:18" hidden="1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1059</v>
      </c>
      <c r="K372" s="68" t="s">
        <v>32</v>
      </c>
      <c r="Q372" t="s">
        <v>643</v>
      </c>
      <c r="R372" t="s">
        <v>1042</v>
      </c>
    </row>
    <row r="373" spans="1:18" hidden="1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1077</v>
      </c>
      <c r="K373" s="68" t="s">
        <v>32</v>
      </c>
      <c r="Q373" t="s">
        <v>643</v>
      </c>
      <c r="R373" t="s">
        <v>1042</v>
      </c>
    </row>
    <row r="374" spans="1:18" hidden="1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1042</v>
      </c>
    </row>
    <row r="375" spans="1:18" hidden="1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1042</v>
      </c>
    </row>
    <row r="376" spans="1:18" hidden="1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1060</v>
      </c>
      <c r="K376" s="68" t="s">
        <v>32</v>
      </c>
      <c r="Q376" t="s">
        <v>643</v>
      </c>
      <c r="R376" t="s">
        <v>1042</v>
      </c>
    </row>
    <row r="377" spans="1:18" hidden="1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1094</v>
      </c>
      <c r="Q377" t="s">
        <v>643</v>
      </c>
      <c r="R377" t="s">
        <v>1042</v>
      </c>
    </row>
    <row r="378" spans="1:18" hidden="1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1077</v>
      </c>
      <c r="K378" s="68" t="s">
        <v>32</v>
      </c>
      <c r="L378" t="s">
        <v>1094</v>
      </c>
      <c r="Q378" t="s">
        <v>643</v>
      </c>
      <c r="R378" t="s">
        <v>1042</v>
      </c>
    </row>
    <row r="379" spans="1:18" hidden="1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1094</v>
      </c>
      <c r="Q379" t="s">
        <v>643</v>
      </c>
      <c r="R379" t="s">
        <v>1042</v>
      </c>
    </row>
    <row r="380" spans="1:18" hidden="1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1071</v>
      </c>
      <c r="K380" s="68" t="s">
        <v>32</v>
      </c>
      <c r="L380" t="s">
        <v>1094</v>
      </c>
      <c r="Q380" t="s">
        <v>643</v>
      </c>
      <c r="R380" t="s">
        <v>1042</v>
      </c>
    </row>
    <row r="381" spans="1:18" hidden="1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1072</v>
      </c>
      <c r="K381" s="68" t="s">
        <v>32</v>
      </c>
      <c r="L381" t="s">
        <v>1094</v>
      </c>
      <c r="Q381" t="s">
        <v>643</v>
      </c>
      <c r="R381" t="s">
        <v>1042</v>
      </c>
    </row>
    <row r="382" spans="1:18" hidden="1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1060</v>
      </c>
      <c r="K382" s="68" t="s">
        <v>32</v>
      </c>
      <c r="L382" t="s">
        <v>1094</v>
      </c>
      <c r="Q382" t="s">
        <v>643</v>
      </c>
      <c r="R382" t="s">
        <v>1042</v>
      </c>
    </row>
    <row r="383" spans="1:18" hidden="1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1042</v>
      </c>
    </row>
    <row r="384" spans="1:18" hidden="1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1077</v>
      </c>
      <c r="K384" s="68" t="s">
        <v>32</v>
      </c>
      <c r="Q384" t="s">
        <v>643</v>
      </c>
      <c r="R384" t="s">
        <v>1042</v>
      </c>
    </row>
    <row r="385" spans="1:18" hidden="1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1042</v>
      </c>
    </row>
    <row r="386" spans="1:18" hidden="1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1042</v>
      </c>
    </row>
    <row r="387" spans="1:18" hidden="1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1072</v>
      </c>
      <c r="K387" s="68" t="s">
        <v>32</v>
      </c>
      <c r="Q387" t="s">
        <v>643</v>
      </c>
      <c r="R387" t="s">
        <v>1042</v>
      </c>
    </row>
    <row r="388" spans="1:18" hidden="1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1060</v>
      </c>
      <c r="K388" s="68" t="s">
        <v>32</v>
      </c>
      <c r="Q388" t="s">
        <v>643</v>
      </c>
      <c r="R388" t="s">
        <v>1042</v>
      </c>
    </row>
    <row r="389" spans="1:18" hidden="1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1094</v>
      </c>
      <c r="Q389" t="s">
        <v>643</v>
      </c>
      <c r="R389" t="s">
        <v>1042</v>
      </c>
    </row>
    <row r="390" spans="1:18" hidden="1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1094</v>
      </c>
      <c r="Q390" t="s">
        <v>643</v>
      </c>
      <c r="R390" t="s">
        <v>1042</v>
      </c>
    </row>
    <row r="391" spans="1:18" hidden="1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1072</v>
      </c>
      <c r="K391" s="68" t="s">
        <v>32</v>
      </c>
      <c r="L391" t="s">
        <v>1094</v>
      </c>
      <c r="Q391" t="s">
        <v>643</v>
      </c>
      <c r="R391" t="s">
        <v>1042</v>
      </c>
    </row>
    <row r="392" spans="1:18" hidden="1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1043</v>
      </c>
    </row>
    <row r="393" spans="1:18" hidden="1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1059</v>
      </c>
      <c r="K393" s="68" t="s">
        <v>32</v>
      </c>
      <c r="Q393" t="s">
        <v>649</v>
      </c>
      <c r="R393" t="s">
        <v>1043</v>
      </c>
    </row>
    <row r="394" spans="1:18" hidden="1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1077</v>
      </c>
      <c r="K394" s="68" t="s">
        <v>32</v>
      </c>
      <c r="Q394" t="s">
        <v>649</v>
      </c>
      <c r="R394" t="s">
        <v>1043</v>
      </c>
    </row>
    <row r="395" spans="1:18" hidden="1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1043</v>
      </c>
    </row>
    <row r="396" spans="1:18" hidden="1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1071</v>
      </c>
      <c r="K396" s="68" t="s">
        <v>32</v>
      </c>
      <c r="Q396" t="s">
        <v>649</v>
      </c>
      <c r="R396" t="s">
        <v>1043</v>
      </c>
    </row>
    <row r="397" spans="1:18" hidden="1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1043</v>
      </c>
    </row>
    <row r="398" spans="1:18" hidden="1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1060</v>
      </c>
      <c r="K398" s="68" t="s">
        <v>32</v>
      </c>
      <c r="Q398" t="s">
        <v>649</v>
      </c>
      <c r="R398" t="s">
        <v>1043</v>
      </c>
    </row>
    <row r="399" spans="1:18" hidden="1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1094</v>
      </c>
      <c r="Q399" t="s">
        <v>649</v>
      </c>
      <c r="R399" t="s">
        <v>1043</v>
      </c>
    </row>
    <row r="400" spans="1:18" hidden="1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1077</v>
      </c>
      <c r="K400" s="68" t="s">
        <v>32</v>
      </c>
      <c r="L400" t="s">
        <v>1094</v>
      </c>
      <c r="Q400" t="s">
        <v>649</v>
      </c>
      <c r="R400" t="s">
        <v>1043</v>
      </c>
    </row>
    <row r="401" spans="1:18" hidden="1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1094</v>
      </c>
      <c r="Q401" t="s">
        <v>649</v>
      </c>
      <c r="R401" t="s">
        <v>1043</v>
      </c>
    </row>
    <row r="402" spans="1:18" hidden="1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1094</v>
      </c>
      <c r="Q402" t="s">
        <v>649</v>
      </c>
      <c r="R402" t="s">
        <v>1043</v>
      </c>
    </row>
    <row r="403" spans="1:18" hidden="1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1072</v>
      </c>
      <c r="K403" s="68" t="s">
        <v>32</v>
      </c>
      <c r="L403" t="s">
        <v>1094</v>
      </c>
      <c r="Q403" t="s">
        <v>649</v>
      </c>
      <c r="R403" t="s">
        <v>1043</v>
      </c>
    </row>
    <row r="404" spans="1:18" hidden="1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1060</v>
      </c>
      <c r="K404" s="68" t="s">
        <v>32</v>
      </c>
      <c r="L404" t="s">
        <v>1094</v>
      </c>
      <c r="Q404" t="s">
        <v>649</v>
      </c>
      <c r="R404" t="s">
        <v>1043</v>
      </c>
    </row>
    <row r="405" spans="1:18" hidden="1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1043</v>
      </c>
    </row>
    <row r="406" spans="1:18" hidden="1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1077</v>
      </c>
      <c r="K406" s="68" t="s">
        <v>32</v>
      </c>
      <c r="Q406" t="s">
        <v>649</v>
      </c>
      <c r="R406" t="s">
        <v>1043</v>
      </c>
    </row>
    <row r="407" spans="1:18" hidden="1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1043</v>
      </c>
    </row>
    <row r="408" spans="1:18" hidden="1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1043</v>
      </c>
    </row>
    <row r="409" spans="1:18" hidden="1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1072</v>
      </c>
      <c r="K409" s="68" t="s">
        <v>32</v>
      </c>
      <c r="Q409" t="s">
        <v>649</v>
      </c>
      <c r="R409" t="s">
        <v>1043</v>
      </c>
    </row>
    <row r="410" spans="1:18" hidden="1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1043</v>
      </c>
    </row>
    <row r="411" spans="1:18" hidden="1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1043</v>
      </c>
    </row>
    <row r="412" spans="1:18" hidden="1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1072</v>
      </c>
      <c r="K412" s="68" t="s">
        <v>32</v>
      </c>
      <c r="Q412" t="s">
        <v>649</v>
      </c>
      <c r="R412" t="s">
        <v>1043</v>
      </c>
    </row>
    <row r="413" spans="1:18" hidden="1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1044</v>
      </c>
    </row>
    <row r="414" spans="1:18" hidden="1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1059</v>
      </c>
      <c r="K414" s="68" t="s">
        <v>32</v>
      </c>
      <c r="Q414" t="s">
        <v>650</v>
      </c>
      <c r="R414" t="s">
        <v>1044</v>
      </c>
    </row>
    <row r="415" spans="1:18" hidden="1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1077</v>
      </c>
      <c r="K415" s="68" t="s">
        <v>32</v>
      </c>
      <c r="Q415" t="s">
        <v>650</v>
      </c>
      <c r="R415" t="s">
        <v>1044</v>
      </c>
    </row>
    <row r="416" spans="1:18" hidden="1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1044</v>
      </c>
    </row>
    <row r="417" spans="1:18" hidden="1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1044</v>
      </c>
    </row>
    <row r="418" spans="1:18" hidden="1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1060</v>
      </c>
      <c r="K418" s="68" t="s">
        <v>32</v>
      </c>
      <c r="Q418" t="s">
        <v>650</v>
      </c>
      <c r="R418" t="s">
        <v>1044</v>
      </c>
    </row>
    <row r="419" spans="1:18" hidden="1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1094</v>
      </c>
      <c r="Q419" t="s">
        <v>650</v>
      </c>
      <c r="R419" t="s">
        <v>1044</v>
      </c>
    </row>
    <row r="420" spans="1:18" hidden="1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1077</v>
      </c>
      <c r="K420" s="68" t="s">
        <v>32</v>
      </c>
      <c r="L420" t="s">
        <v>1094</v>
      </c>
      <c r="Q420" t="s">
        <v>650</v>
      </c>
      <c r="R420" t="s">
        <v>1044</v>
      </c>
    </row>
    <row r="421" spans="1:18" hidden="1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1094</v>
      </c>
      <c r="Q421" t="s">
        <v>650</v>
      </c>
      <c r="R421" t="s">
        <v>1044</v>
      </c>
    </row>
    <row r="422" spans="1:18" hidden="1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1094</v>
      </c>
      <c r="Q422" t="s">
        <v>650</v>
      </c>
      <c r="R422" t="s">
        <v>1044</v>
      </c>
    </row>
    <row r="423" spans="1:18" hidden="1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1072</v>
      </c>
      <c r="K423" s="68" t="s">
        <v>32</v>
      </c>
      <c r="L423" t="s">
        <v>1094</v>
      </c>
      <c r="Q423" t="s">
        <v>650</v>
      </c>
      <c r="R423" t="s">
        <v>1044</v>
      </c>
    </row>
    <row r="424" spans="1:18" hidden="1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1060</v>
      </c>
      <c r="K424" s="68" t="s">
        <v>32</v>
      </c>
      <c r="L424" t="s">
        <v>1094</v>
      </c>
      <c r="Q424" t="s">
        <v>650</v>
      </c>
      <c r="R424" t="s">
        <v>1044</v>
      </c>
    </row>
    <row r="425" spans="1:18" hidden="1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1094</v>
      </c>
      <c r="Q425" t="s">
        <v>650</v>
      </c>
      <c r="R425" t="s">
        <v>1044</v>
      </c>
    </row>
    <row r="426" spans="1:18" hidden="1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1077</v>
      </c>
      <c r="K426" s="68" t="s">
        <v>32</v>
      </c>
      <c r="L426" t="s">
        <v>1094</v>
      </c>
      <c r="Q426" t="s">
        <v>650</v>
      </c>
      <c r="R426" t="s">
        <v>1044</v>
      </c>
    </row>
    <row r="427" spans="1:18" hidden="1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1094</v>
      </c>
      <c r="Q427" t="s">
        <v>650</v>
      </c>
      <c r="R427" t="s">
        <v>1044</v>
      </c>
    </row>
    <row r="428" spans="1:18" hidden="1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1094</v>
      </c>
      <c r="Q428" t="s">
        <v>650</v>
      </c>
      <c r="R428" t="s">
        <v>1044</v>
      </c>
    </row>
    <row r="429" spans="1:18" hidden="1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1072</v>
      </c>
      <c r="K429" s="68" t="s">
        <v>32</v>
      </c>
      <c r="L429" t="s">
        <v>1094</v>
      </c>
      <c r="Q429" t="s">
        <v>650</v>
      </c>
      <c r="R429" t="s">
        <v>1044</v>
      </c>
    </row>
    <row r="430" spans="1:18" hidden="1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1060</v>
      </c>
      <c r="K430" s="68" t="s">
        <v>32</v>
      </c>
      <c r="L430" t="s">
        <v>1094</v>
      </c>
      <c r="Q430" t="s">
        <v>650</v>
      </c>
      <c r="R430" t="s">
        <v>1044</v>
      </c>
    </row>
    <row r="431" spans="1:18" hidden="1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1094</v>
      </c>
      <c r="Q431" t="s">
        <v>650</v>
      </c>
      <c r="R431" t="s">
        <v>1044</v>
      </c>
    </row>
    <row r="432" spans="1:18" hidden="1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1094</v>
      </c>
      <c r="Q432" t="s">
        <v>650</v>
      </c>
      <c r="R432" t="s">
        <v>1044</v>
      </c>
    </row>
    <row r="433" spans="1:18" hidden="1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1072</v>
      </c>
      <c r="K433" s="68" t="s">
        <v>32</v>
      </c>
      <c r="L433" t="s">
        <v>1094</v>
      </c>
      <c r="Q433" t="s">
        <v>650</v>
      </c>
      <c r="R433" t="s">
        <v>1044</v>
      </c>
    </row>
    <row r="434" spans="1:18" hidden="1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1045</v>
      </c>
    </row>
    <row r="435" spans="1:18" hidden="1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1059</v>
      </c>
      <c r="K435" s="68" t="s">
        <v>32</v>
      </c>
      <c r="Q435" t="s">
        <v>651</v>
      </c>
      <c r="R435" t="s">
        <v>1045</v>
      </c>
    </row>
    <row r="436" spans="1:18" hidden="1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1077</v>
      </c>
      <c r="K436" s="68" t="s">
        <v>32</v>
      </c>
      <c r="Q436" t="s">
        <v>651</v>
      </c>
      <c r="R436" t="s">
        <v>1045</v>
      </c>
    </row>
    <row r="437" spans="1:18" hidden="1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1045</v>
      </c>
    </row>
    <row r="438" spans="1:18" hidden="1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1071</v>
      </c>
      <c r="K438" s="68" t="s">
        <v>32</v>
      </c>
      <c r="Q438" t="s">
        <v>651</v>
      </c>
      <c r="R438" t="s">
        <v>1045</v>
      </c>
    </row>
    <row r="439" spans="1:18" hidden="1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1045</v>
      </c>
    </row>
    <row r="440" spans="1:18" hidden="1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1060</v>
      </c>
      <c r="K440" s="68" t="s">
        <v>32</v>
      </c>
      <c r="Q440" t="s">
        <v>651</v>
      </c>
      <c r="R440" t="s">
        <v>1045</v>
      </c>
    </row>
    <row r="441" spans="1:18" hidden="1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1094</v>
      </c>
      <c r="Q441" t="s">
        <v>651</v>
      </c>
      <c r="R441" t="s">
        <v>1045</v>
      </c>
    </row>
    <row r="442" spans="1:18" hidden="1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1077</v>
      </c>
      <c r="K442" s="68" t="s">
        <v>32</v>
      </c>
      <c r="L442" t="s">
        <v>1094</v>
      </c>
      <c r="Q442" t="s">
        <v>651</v>
      </c>
      <c r="R442" t="s">
        <v>1045</v>
      </c>
    </row>
    <row r="443" spans="1:18" hidden="1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1094</v>
      </c>
      <c r="Q443" t="s">
        <v>651</v>
      </c>
      <c r="R443" t="s">
        <v>1045</v>
      </c>
    </row>
    <row r="444" spans="1:18" hidden="1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1071</v>
      </c>
      <c r="K444" s="68" t="s">
        <v>32</v>
      </c>
      <c r="L444" t="s">
        <v>1094</v>
      </c>
      <c r="Q444" t="s">
        <v>651</v>
      </c>
      <c r="R444" t="s">
        <v>1045</v>
      </c>
    </row>
    <row r="445" spans="1:18" hidden="1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1094</v>
      </c>
      <c r="Q445" t="s">
        <v>651</v>
      </c>
      <c r="R445" t="s">
        <v>1045</v>
      </c>
    </row>
    <row r="446" spans="1:18" hidden="1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1072</v>
      </c>
      <c r="K446" s="68" t="s">
        <v>32</v>
      </c>
      <c r="L446" t="s">
        <v>1094</v>
      </c>
      <c r="Q446" t="s">
        <v>651</v>
      </c>
      <c r="R446" t="s">
        <v>1045</v>
      </c>
    </row>
    <row r="447" spans="1:18" hidden="1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1060</v>
      </c>
      <c r="K447" s="68" t="s">
        <v>32</v>
      </c>
      <c r="L447" t="s">
        <v>1094</v>
      </c>
      <c r="Q447" t="s">
        <v>651</v>
      </c>
      <c r="R447" t="s">
        <v>1045</v>
      </c>
    </row>
    <row r="448" spans="1:18" hidden="1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1045</v>
      </c>
    </row>
    <row r="449" spans="1:18" hidden="1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1077</v>
      </c>
      <c r="K449" s="68" t="s">
        <v>32</v>
      </c>
      <c r="Q449" t="s">
        <v>651</v>
      </c>
      <c r="R449" t="s">
        <v>1045</v>
      </c>
    </row>
    <row r="450" spans="1:18" hidden="1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1045</v>
      </c>
    </row>
    <row r="451" spans="1:18" hidden="1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1045</v>
      </c>
    </row>
    <row r="452" spans="1:18" hidden="1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1045</v>
      </c>
    </row>
    <row r="453" spans="1:18" hidden="1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1072</v>
      </c>
      <c r="K453" s="68" t="s">
        <v>32</v>
      </c>
      <c r="Q453" t="s">
        <v>651</v>
      </c>
      <c r="R453" t="s">
        <v>1045</v>
      </c>
    </row>
    <row r="454" spans="1:18" hidden="1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1045</v>
      </c>
    </row>
    <row r="455" spans="1:18" hidden="1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1045</v>
      </c>
    </row>
    <row r="456" spans="1:18" hidden="1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1072</v>
      </c>
      <c r="K456" s="68" t="s">
        <v>32</v>
      </c>
      <c r="Q456" t="s">
        <v>651</v>
      </c>
      <c r="R456" t="s">
        <v>1045</v>
      </c>
    </row>
    <row r="457" spans="1:18" hidden="1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1046</v>
      </c>
    </row>
    <row r="458" spans="1:18" hidden="1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1059</v>
      </c>
      <c r="K458" s="68" t="s">
        <v>32</v>
      </c>
      <c r="Q458" t="s">
        <v>655</v>
      </c>
      <c r="R458" t="s">
        <v>1046</v>
      </c>
    </row>
    <row r="459" spans="1:18" hidden="1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1077</v>
      </c>
      <c r="K459" s="68" t="s">
        <v>32</v>
      </c>
      <c r="Q459" t="s">
        <v>655</v>
      </c>
      <c r="R459" t="s">
        <v>1046</v>
      </c>
    </row>
    <row r="460" spans="1:18" hidden="1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1046</v>
      </c>
    </row>
    <row r="461" spans="1:18" hidden="1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1071</v>
      </c>
      <c r="K461" s="68" t="s">
        <v>32</v>
      </c>
      <c r="Q461" t="s">
        <v>655</v>
      </c>
      <c r="R461" t="s">
        <v>1046</v>
      </c>
    </row>
    <row r="462" spans="1:18" hidden="1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1046</v>
      </c>
    </row>
    <row r="463" spans="1:18" hidden="1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1060</v>
      </c>
      <c r="K463" s="68" t="s">
        <v>32</v>
      </c>
      <c r="Q463" t="s">
        <v>655</v>
      </c>
      <c r="R463" t="s">
        <v>1046</v>
      </c>
    </row>
    <row r="464" spans="1:18" hidden="1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1094</v>
      </c>
      <c r="Q464" t="s">
        <v>655</v>
      </c>
      <c r="R464" t="s">
        <v>1046</v>
      </c>
    </row>
    <row r="465" spans="1:18" hidden="1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1077</v>
      </c>
      <c r="K465" s="68" t="s">
        <v>32</v>
      </c>
      <c r="L465" t="s">
        <v>1094</v>
      </c>
      <c r="Q465" t="s">
        <v>655</v>
      </c>
      <c r="R465" t="s">
        <v>1046</v>
      </c>
    </row>
    <row r="466" spans="1:18" hidden="1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1094</v>
      </c>
      <c r="Q466" t="s">
        <v>655</v>
      </c>
      <c r="R466" t="s">
        <v>1046</v>
      </c>
    </row>
    <row r="467" spans="1:18" hidden="1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1094</v>
      </c>
      <c r="Q467" t="s">
        <v>655</v>
      </c>
      <c r="R467" t="s">
        <v>1046</v>
      </c>
    </row>
    <row r="468" spans="1:18" hidden="1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1072</v>
      </c>
      <c r="K468" s="68" t="s">
        <v>32</v>
      </c>
      <c r="L468" t="s">
        <v>1094</v>
      </c>
      <c r="Q468" t="s">
        <v>655</v>
      </c>
      <c r="R468" t="s">
        <v>1046</v>
      </c>
    </row>
    <row r="469" spans="1:18" hidden="1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1060</v>
      </c>
      <c r="K469" s="68" t="s">
        <v>32</v>
      </c>
      <c r="L469" t="s">
        <v>1094</v>
      </c>
      <c r="Q469" t="s">
        <v>655</v>
      </c>
      <c r="R469" t="s">
        <v>1046</v>
      </c>
    </row>
    <row r="470" spans="1:18" hidden="1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1046</v>
      </c>
    </row>
    <row r="471" spans="1:18" hidden="1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1077</v>
      </c>
      <c r="K471" s="68" t="s">
        <v>32</v>
      </c>
      <c r="Q471" t="s">
        <v>655</v>
      </c>
      <c r="R471" t="s">
        <v>1046</v>
      </c>
    </row>
    <row r="472" spans="1:18" hidden="1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1046</v>
      </c>
    </row>
    <row r="473" spans="1:18" hidden="1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1046</v>
      </c>
    </row>
    <row r="474" spans="1:18" hidden="1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1072</v>
      </c>
      <c r="K474" s="68" t="s">
        <v>32</v>
      </c>
      <c r="Q474" t="s">
        <v>655</v>
      </c>
      <c r="R474" t="s">
        <v>1046</v>
      </c>
    </row>
    <row r="475" spans="1:18" hidden="1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1046</v>
      </c>
    </row>
    <row r="476" spans="1:18" hidden="1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1046</v>
      </c>
    </row>
    <row r="477" spans="1:18" hidden="1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1072</v>
      </c>
      <c r="K477" s="68" t="s">
        <v>32</v>
      </c>
      <c r="Q477" t="s">
        <v>655</v>
      </c>
      <c r="R477" t="s">
        <v>1046</v>
      </c>
    </row>
    <row r="478" spans="1:18" hidden="1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1047</v>
      </c>
    </row>
    <row r="479" spans="1:18" hidden="1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1059</v>
      </c>
      <c r="K479" s="68" t="s">
        <v>32</v>
      </c>
      <c r="Q479" t="s">
        <v>658</v>
      </c>
      <c r="R479" t="s">
        <v>1047</v>
      </c>
    </row>
    <row r="480" spans="1:18" hidden="1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1061</v>
      </c>
      <c r="K480" s="68" t="s">
        <v>32</v>
      </c>
      <c r="Q480" t="s">
        <v>658</v>
      </c>
      <c r="R480" t="s">
        <v>1047</v>
      </c>
    </row>
    <row r="481" spans="1:18" hidden="1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1077</v>
      </c>
      <c r="K481" s="68" t="s">
        <v>32</v>
      </c>
      <c r="Q481" t="s">
        <v>658</v>
      </c>
      <c r="R481" t="s">
        <v>1047</v>
      </c>
    </row>
    <row r="482" spans="1:18" hidden="1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1047</v>
      </c>
    </row>
    <row r="483" spans="1:18" hidden="1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1060</v>
      </c>
      <c r="K483" s="68" t="s">
        <v>32</v>
      </c>
      <c r="Q483" t="s">
        <v>658</v>
      </c>
      <c r="R483" t="s">
        <v>1047</v>
      </c>
    </row>
    <row r="484" spans="1:18" hidden="1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1094</v>
      </c>
      <c r="Q484" t="s">
        <v>658</v>
      </c>
      <c r="R484" t="s">
        <v>1047</v>
      </c>
    </row>
    <row r="485" spans="1:18" hidden="1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1059</v>
      </c>
      <c r="K485" s="68" t="s">
        <v>32</v>
      </c>
      <c r="L485" t="s">
        <v>1094</v>
      </c>
      <c r="Q485" t="s">
        <v>658</v>
      </c>
      <c r="R485" t="s">
        <v>1047</v>
      </c>
    </row>
    <row r="486" spans="1:18" hidden="1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1077</v>
      </c>
      <c r="K486" s="68" t="s">
        <v>32</v>
      </c>
      <c r="L486" t="s">
        <v>1094</v>
      </c>
      <c r="Q486" t="s">
        <v>658</v>
      </c>
      <c r="R486" t="s">
        <v>1047</v>
      </c>
    </row>
    <row r="487" spans="1:18" hidden="1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1094</v>
      </c>
      <c r="Q487" t="s">
        <v>658</v>
      </c>
      <c r="R487" t="s">
        <v>1047</v>
      </c>
    </row>
    <row r="488" spans="1:18" hidden="1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1072</v>
      </c>
      <c r="K488" s="68" t="s">
        <v>32</v>
      </c>
      <c r="L488" t="s">
        <v>1094</v>
      </c>
      <c r="Q488" t="s">
        <v>658</v>
      </c>
      <c r="R488" t="s">
        <v>1047</v>
      </c>
    </row>
    <row r="489" spans="1:18" hidden="1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1082</v>
      </c>
      <c r="K489" s="68" t="s">
        <v>32</v>
      </c>
      <c r="L489" t="s">
        <v>1094</v>
      </c>
      <c r="Q489" t="s">
        <v>658</v>
      </c>
      <c r="R489" t="s">
        <v>1047</v>
      </c>
    </row>
    <row r="490" spans="1:18" hidden="1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1047</v>
      </c>
    </row>
    <row r="491" spans="1:18" hidden="1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1077</v>
      </c>
      <c r="K491" s="68" t="s">
        <v>32</v>
      </c>
      <c r="Q491" t="s">
        <v>658</v>
      </c>
      <c r="R491" t="s">
        <v>1047</v>
      </c>
    </row>
    <row r="492" spans="1:18" hidden="1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1047</v>
      </c>
    </row>
    <row r="493" spans="1:18" hidden="1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1047</v>
      </c>
    </row>
    <row r="494" spans="1:18" hidden="1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1060</v>
      </c>
      <c r="K494" s="68" t="s">
        <v>32</v>
      </c>
      <c r="Q494" t="s">
        <v>658</v>
      </c>
      <c r="R494" t="s">
        <v>1047</v>
      </c>
    </row>
    <row r="495" spans="1:18" hidden="1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1047</v>
      </c>
    </row>
    <row r="496" spans="1:18" hidden="1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1072</v>
      </c>
      <c r="K496" s="68" t="s">
        <v>32</v>
      </c>
      <c r="Q496" t="s">
        <v>658</v>
      </c>
      <c r="R496" t="s">
        <v>1047</v>
      </c>
    </row>
    <row r="497" spans="1:18" hidden="1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1048</v>
      </c>
    </row>
    <row r="498" spans="1:18" hidden="1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1076</v>
      </c>
      <c r="K498" s="68" t="s">
        <v>32</v>
      </c>
      <c r="Q498" t="s">
        <v>660</v>
      </c>
      <c r="R498" t="s">
        <v>1048</v>
      </c>
    </row>
    <row r="499" spans="1:18" hidden="1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1077</v>
      </c>
      <c r="K499" s="68" t="s">
        <v>32</v>
      </c>
      <c r="Q499" t="s">
        <v>660</v>
      </c>
      <c r="R499" t="s">
        <v>1048</v>
      </c>
    </row>
    <row r="500" spans="1:18" hidden="1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1048</v>
      </c>
    </row>
    <row r="501" spans="1:18" hidden="1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1072</v>
      </c>
      <c r="K501" s="68" t="s">
        <v>32</v>
      </c>
      <c r="Q501" t="s">
        <v>660</v>
      </c>
      <c r="R501" t="s">
        <v>1048</v>
      </c>
    </row>
    <row r="502" spans="1:18" hidden="1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1060</v>
      </c>
      <c r="K502" s="68" t="s">
        <v>32</v>
      </c>
      <c r="Q502" t="s">
        <v>660</v>
      </c>
      <c r="R502" t="s">
        <v>1048</v>
      </c>
    </row>
    <row r="503" spans="1:18" hidden="1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1094</v>
      </c>
      <c r="Q503" t="s">
        <v>660</v>
      </c>
      <c r="R503" t="s">
        <v>1048</v>
      </c>
    </row>
    <row r="504" spans="1:18" hidden="1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1077</v>
      </c>
      <c r="K504" s="68" t="s">
        <v>32</v>
      </c>
      <c r="L504" t="s">
        <v>1094</v>
      </c>
      <c r="Q504" t="s">
        <v>660</v>
      </c>
      <c r="R504" t="s">
        <v>1048</v>
      </c>
    </row>
    <row r="505" spans="1:18" hidden="1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1094</v>
      </c>
      <c r="Q505" t="s">
        <v>660</v>
      </c>
      <c r="R505" t="s">
        <v>1048</v>
      </c>
    </row>
    <row r="506" spans="1:18" hidden="1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1071</v>
      </c>
      <c r="K506" s="68" t="s">
        <v>32</v>
      </c>
      <c r="L506" t="s">
        <v>1094</v>
      </c>
      <c r="Q506" t="s">
        <v>660</v>
      </c>
      <c r="R506" t="s">
        <v>1048</v>
      </c>
    </row>
    <row r="507" spans="1:18" hidden="1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1094</v>
      </c>
      <c r="Q507" t="s">
        <v>660</v>
      </c>
      <c r="R507" t="s">
        <v>1048</v>
      </c>
    </row>
    <row r="508" spans="1:18" hidden="1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1082</v>
      </c>
      <c r="K508" s="68" t="s">
        <v>32</v>
      </c>
      <c r="L508" t="s">
        <v>1094</v>
      </c>
      <c r="Q508" t="s">
        <v>660</v>
      </c>
      <c r="R508" t="s">
        <v>1048</v>
      </c>
    </row>
    <row r="509" spans="1:18" hidden="1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1048</v>
      </c>
    </row>
    <row r="510" spans="1:18" hidden="1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1077</v>
      </c>
      <c r="K510" s="68" t="s">
        <v>32</v>
      </c>
      <c r="Q510" t="s">
        <v>660</v>
      </c>
      <c r="R510" t="s">
        <v>1048</v>
      </c>
    </row>
    <row r="511" spans="1:18" hidden="1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1048</v>
      </c>
    </row>
    <row r="512" spans="1:18" hidden="1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1048</v>
      </c>
    </row>
    <row r="513" spans="1:18" hidden="1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1060</v>
      </c>
      <c r="K513" s="68" t="s">
        <v>32</v>
      </c>
      <c r="Q513" t="s">
        <v>660</v>
      </c>
      <c r="R513" t="s">
        <v>1048</v>
      </c>
    </row>
    <row r="514" spans="1:18" hidden="1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1048</v>
      </c>
    </row>
    <row r="515" spans="1:18" hidden="1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1048</v>
      </c>
    </row>
    <row r="516" spans="1:18" hidden="1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1094</v>
      </c>
      <c r="Q516" t="s">
        <v>632</v>
      </c>
      <c r="R516" t="s">
        <v>1040</v>
      </c>
    </row>
    <row r="517" spans="1:18" hidden="1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1077</v>
      </c>
      <c r="K517" s="69" t="s">
        <v>447</v>
      </c>
      <c r="L517" t="s">
        <v>1094</v>
      </c>
      <c r="Q517" t="s">
        <v>632</v>
      </c>
      <c r="R517" t="s">
        <v>1040</v>
      </c>
    </row>
    <row r="518" spans="1:18" hidden="1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1094</v>
      </c>
      <c r="Q518" t="s">
        <v>632</v>
      </c>
      <c r="R518" t="s">
        <v>1040</v>
      </c>
    </row>
    <row r="519" spans="1:18" hidden="1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1094</v>
      </c>
      <c r="Q519" t="s">
        <v>632</v>
      </c>
      <c r="R519" t="s">
        <v>1040</v>
      </c>
    </row>
    <row r="520" spans="1:18" hidden="1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1072</v>
      </c>
      <c r="K520" s="69" t="s">
        <v>447</v>
      </c>
      <c r="L520" t="s">
        <v>1094</v>
      </c>
      <c r="Q520" t="s">
        <v>632</v>
      </c>
      <c r="R520" t="s">
        <v>1040</v>
      </c>
    </row>
    <row r="521" spans="1:18" hidden="1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1060</v>
      </c>
      <c r="K521" s="69" t="s">
        <v>447</v>
      </c>
      <c r="L521" t="s">
        <v>1094</v>
      </c>
      <c r="Q521" t="s">
        <v>632</v>
      </c>
      <c r="R521" t="s">
        <v>1040</v>
      </c>
    </row>
    <row r="522" spans="1:18" hidden="1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1094</v>
      </c>
      <c r="Q522" t="s">
        <v>643</v>
      </c>
      <c r="R522" t="s">
        <v>1042</v>
      </c>
    </row>
    <row r="523" spans="1:18" hidden="1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1077</v>
      </c>
      <c r="K523" s="69" t="s">
        <v>447</v>
      </c>
      <c r="L523" t="s">
        <v>1094</v>
      </c>
      <c r="Q523" t="s">
        <v>643</v>
      </c>
      <c r="R523" t="s">
        <v>1042</v>
      </c>
    </row>
    <row r="524" spans="1:18" hidden="1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1094</v>
      </c>
      <c r="Q524" t="s">
        <v>643</v>
      </c>
      <c r="R524" t="s">
        <v>1042</v>
      </c>
    </row>
    <row r="525" spans="1:18" hidden="1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1071</v>
      </c>
      <c r="K525" s="69" t="s">
        <v>447</v>
      </c>
      <c r="L525" t="s">
        <v>1094</v>
      </c>
      <c r="Q525" t="s">
        <v>643</v>
      </c>
      <c r="R525" t="s">
        <v>1042</v>
      </c>
    </row>
    <row r="526" spans="1:18" hidden="1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1072</v>
      </c>
      <c r="K526" s="69" t="s">
        <v>447</v>
      </c>
      <c r="L526" t="s">
        <v>1094</v>
      </c>
      <c r="Q526" t="s">
        <v>643</v>
      </c>
      <c r="R526" t="s">
        <v>1042</v>
      </c>
    </row>
    <row r="527" spans="1:18" hidden="1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1060</v>
      </c>
      <c r="K527" s="69" t="s">
        <v>447</v>
      </c>
      <c r="L527" t="s">
        <v>1094</v>
      </c>
      <c r="Q527" t="s">
        <v>643</v>
      </c>
      <c r="R527" t="s">
        <v>1042</v>
      </c>
    </row>
    <row r="528" spans="1:18" hidden="1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1094</v>
      </c>
      <c r="Q528" t="s">
        <v>643</v>
      </c>
      <c r="R528" t="s">
        <v>1042</v>
      </c>
    </row>
    <row r="529" spans="1:18" hidden="1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1094</v>
      </c>
      <c r="Q529" t="s">
        <v>643</v>
      </c>
      <c r="R529" t="s">
        <v>1042</v>
      </c>
    </row>
    <row r="530" spans="1:18" hidden="1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1072</v>
      </c>
      <c r="K530" s="69" t="s">
        <v>447</v>
      </c>
      <c r="L530" t="s">
        <v>1094</v>
      </c>
      <c r="Q530" t="s">
        <v>643</v>
      </c>
      <c r="R530" t="s">
        <v>1042</v>
      </c>
    </row>
    <row r="531" spans="1:18" hidden="1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1094</v>
      </c>
      <c r="Q531" t="s">
        <v>649</v>
      </c>
      <c r="R531" t="s">
        <v>1043</v>
      </c>
    </row>
    <row r="532" spans="1:18" hidden="1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1059</v>
      </c>
      <c r="K532" s="69" t="s">
        <v>447</v>
      </c>
      <c r="L532" t="s">
        <v>1094</v>
      </c>
      <c r="Q532" t="s">
        <v>649</v>
      </c>
      <c r="R532" t="s">
        <v>1043</v>
      </c>
    </row>
    <row r="533" spans="1:18" hidden="1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1077</v>
      </c>
      <c r="K533" s="69" t="s">
        <v>447</v>
      </c>
      <c r="L533" t="s">
        <v>1094</v>
      </c>
      <c r="Q533" t="s">
        <v>649</v>
      </c>
      <c r="R533" t="s">
        <v>1043</v>
      </c>
    </row>
    <row r="534" spans="1:18" hidden="1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1094</v>
      </c>
      <c r="Q534" t="s">
        <v>649</v>
      </c>
      <c r="R534" t="s">
        <v>1043</v>
      </c>
    </row>
    <row r="535" spans="1:18" hidden="1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1094</v>
      </c>
      <c r="Q535" t="s">
        <v>649</v>
      </c>
      <c r="R535" t="s">
        <v>1043</v>
      </c>
    </row>
    <row r="536" spans="1:18" hidden="1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1072</v>
      </c>
      <c r="K536" s="69" t="s">
        <v>447</v>
      </c>
      <c r="L536" t="s">
        <v>1094</v>
      </c>
      <c r="Q536" t="s">
        <v>649</v>
      </c>
      <c r="R536" t="s">
        <v>1043</v>
      </c>
    </row>
    <row r="537" spans="1:18" hidden="1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1094</v>
      </c>
      <c r="Q537" t="s">
        <v>650</v>
      </c>
      <c r="R537" t="s">
        <v>1043</v>
      </c>
    </row>
    <row r="538" spans="1:18" hidden="1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1077</v>
      </c>
      <c r="K538" s="69" t="s">
        <v>447</v>
      </c>
      <c r="L538" t="s">
        <v>1094</v>
      </c>
      <c r="Q538" t="s">
        <v>650</v>
      </c>
      <c r="R538" t="s">
        <v>1043</v>
      </c>
    </row>
    <row r="539" spans="1:18" hidden="1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1094</v>
      </c>
      <c r="Q539" t="s">
        <v>650</v>
      </c>
      <c r="R539" t="s">
        <v>1043</v>
      </c>
    </row>
    <row r="540" spans="1:18" hidden="1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1094</v>
      </c>
      <c r="Q540" t="s">
        <v>650</v>
      </c>
      <c r="R540" t="s">
        <v>1043</v>
      </c>
    </row>
    <row r="541" spans="1:18" hidden="1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1072</v>
      </c>
      <c r="K541" s="69" t="s">
        <v>447</v>
      </c>
      <c r="L541" t="s">
        <v>1094</v>
      </c>
      <c r="Q541" t="s">
        <v>650</v>
      </c>
      <c r="R541" t="s">
        <v>1043</v>
      </c>
    </row>
    <row r="542" spans="1:18" hidden="1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1060</v>
      </c>
      <c r="K542" s="69" t="s">
        <v>447</v>
      </c>
      <c r="L542" t="s">
        <v>1094</v>
      </c>
      <c r="Q542" t="s">
        <v>650</v>
      </c>
      <c r="R542" t="s">
        <v>1043</v>
      </c>
    </row>
    <row r="543" spans="1:18" hidden="1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1094</v>
      </c>
      <c r="Q543" t="s">
        <v>650</v>
      </c>
      <c r="R543" t="s">
        <v>1043</v>
      </c>
    </row>
    <row r="544" spans="1:18" hidden="1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1077</v>
      </c>
      <c r="K544" s="69" t="s">
        <v>447</v>
      </c>
      <c r="L544" t="s">
        <v>1094</v>
      </c>
      <c r="Q544" t="s">
        <v>650</v>
      </c>
      <c r="R544" t="s">
        <v>1043</v>
      </c>
    </row>
    <row r="545" spans="1:18" hidden="1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1094</v>
      </c>
      <c r="Q545" t="s">
        <v>650</v>
      </c>
      <c r="R545" t="s">
        <v>1043</v>
      </c>
    </row>
    <row r="546" spans="1:18" hidden="1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1094</v>
      </c>
      <c r="Q546" t="s">
        <v>650</v>
      </c>
      <c r="R546" t="s">
        <v>1043</v>
      </c>
    </row>
    <row r="547" spans="1:18" hidden="1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1072</v>
      </c>
      <c r="K547" s="69" t="s">
        <v>447</v>
      </c>
      <c r="L547" t="s">
        <v>1094</v>
      </c>
      <c r="Q547" t="s">
        <v>650</v>
      </c>
      <c r="R547" t="s">
        <v>1043</v>
      </c>
    </row>
    <row r="548" spans="1:18" hidden="1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1060</v>
      </c>
      <c r="K548" s="69" t="s">
        <v>447</v>
      </c>
      <c r="L548" t="s">
        <v>1094</v>
      </c>
      <c r="Q548" t="s">
        <v>650</v>
      </c>
      <c r="R548" t="s">
        <v>1043</v>
      </c>
    </row>
    <row r="549" spans="1:18" hidden="1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1094</v>
      </c>
      <c r="Q549" t="s">
        <v>650</v>
      </c>
      <c r="R549" t="s">
        <v>1043</v>
      </c>
    </row>
    <row r="550" spans="1:18" hidden="1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1078</v>
      </c>
      <c r="K550" s="69" t="s">
        <v>447</v>
      </c>
      <c r="L550" t="s">
        <v>1094</v>
      </c>
      <c r="Q550" t="s">
        <v>650</v>
      </c>
      <c r="R550" t="s">
        <v>1043</v>
      </c>
    </row>
    <row r="551" spans="1:18" hidden="1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1094</v>
      </c>
      <c r="Q551" t="s">
        <v>651</v>
      </c>
      <c r="R551" t="s">
        <v>1045</v>
      </c>
    </row>
    <row r="552" spans="1:18" hidden="1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1077</v>
      </c>
      <c r="K552" s="69" t="s">
        <v>447</v>
      </c>
      <c r="L552" t="s">
        <v>1094</v>
      </c>
      <c r="Q552" t="s">
        <v>651</v>
      </c>
      <c r="R552" t="s">
        <v>1045</v>
      </c>
    </row>
    <row r="553" spans="1:18" hidden="1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1094</v>
      </c>
      <c r="Q553" t="s">
        <v>651</v>
      </c>
      <c r="R553" t="s">
        <v>1045</v>
      </c>
    </row>
    <row r="554" spans="1:18" hidden="1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1071</v>
      </c>
      <c r="K554" s="69" t="s">
        <v>447</v>
      </c>
      <c r="L554" t="s">
        <v>1094</v>
      </c>
      <c r="Q554" t="s">
        <v>651</v>
      </c>
      <c r="R554" t="s">
        <v>1045</v>
      </c>
    </row>
    <row r="555" spans="1:18" hidden="1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1094</v>
      </c>
      <c r="Q555" t="s">
        <v>651</v>
      </c>
      <c r="R555" t="s">
        <v>1045</v>
      </c>
    </row>
    <row r="556" spans="1:18" hidden="1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1072</v>
      </c>
      <c r="K556" s="69" t="s">
        <v>447</v>
      </c>
      <c r="L556" t="s">
        <v>1094</v>
      </c>
      <c r="Q556" t="s">
        <v>651</v>
      </c>
      <c r="R556" t="s">
        <v>1045</v>
      </c>
    </row>
    <row r="557" spans="1:18" hidden="1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1060</v>
      </c>
      <c r="K557" s="69" t="s">
        <v>447</v>
      </c>
      <c r="L557" t="s">
        <v>1094</v>
      </c>
      <c r="Q557" t="s">
        <v>651</v>
      </c>
      <c r="R557" t="s">
        <v>1045</v>
      </c>
    </row>
    <row r="558" spans="1:18" hidden="1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1094</v>
      </c>
      <c r="Q558" t="s">
        <v>655</v>
      </c>
      <c r="R558" t="s">
        <v>1046</v>
      </c>
    </row>
    <row r="559" spans="1:18" hidden="1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1077</v>
      </c>
      <c r="K559" s="69" t="s">
        <v>447</v>
      </c>
      <c r="L559" t="s">
        <v>1094</v>
      </c>
      <c r="Q559" t="s">
        <v>655</v>
      </c>
      <c r="R559" t="s">
        <v>1046</v>
      </c>
    </row>
    <row r="560" spans="1:18" hidden="1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1094</v>
      </c>
      <c r="Q560" t="s">
        <v>655</v>
      </c>
      <c r="R560" t="s">
        <v>1046</v>
      </c>
    </row>
    <row r="561" spans="1:18" hidden="1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1094</v>
      </c>
      <c r="Q561" t="s">
        <v>655</v>
      </c>
      <c r="R561" t="s">
        <v>1046</v>
      </c>
    </row>
    <row r="562" spans="1:18" hidden="1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1072</v>
      </c>
      <c r="K562" s="69" t="s">
        <v>447</v>
      </c>
      <c r="L562" t="s">
        <v>1094</v>
      </c>
      <c r="Q562" t="s">
        <v>655</v>
      </c>
      <c r="R562" t="s">
        <v>1046</v>
      </c>
    </row>
    <row r="563" spans="1:18" hidden="1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1060</v>
      </c>
      <c r="K563" s="69" t="s">
        <v>447</v>
      </c>
      <c r="L563" t="s">
        <v>1094</v>
      </c>
      <c r="Q563" t="s">
        <v>655</v>
      </c>
      <c r="R563" t="s">
        <v>1046</v>
      </c>
    </row>
    <row r="564" spans="1:18" hidden="1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1094</v>
      </c>
      <c r="Q564" t="s">
        <v>658</v>
      </c>
      <c r="R564" t="s">
        <v>1047</v>
      </c>
    </row>
    <row r="565" spans="1:18" hidden="1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1077</v>
      </c>
      <c r="K565" s="69" t="s">
        <v>447</v>
      </c>
      <c r="L565" t="s">
        <v>1094</v>
      </c>
      <c r="Q565" t="s">
        <v>658</v>
      </c>
      <c r="R565" t="s">
        <v>1047</v>
      </c>
    </row>
    <row r="566" spans="1:18" hidden="1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1094</v>
      </c>
      <c r="Q566" t="s">
        <v>658</v>
      </c>
      <c r="R566" t="s">
        <v>1047</v>
      </c>
    </row>
    <row r="567" spans="1:18" hidden="1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1072</v>
      </c>
      <c r="K567" s="69" t="s">
        <v>447</v>
      </c>
      <c r="L567" t="s">
        <v>1094</v>
      </c>
      <c r="Q567" t="s">
        <v>658</v>
      </c>
      <c r="R567" t="s">
        <v>1047</v>
      </c>
    </row>
    <row r="568" spans="1:18" hidden="1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1082</v>
      </c>
      <c r="K568" s="69" t="s">
        <v>447</v>
      </c>
      <c r="L568" t="s">
        <v>1094</v>
      </c>
      <c r="Q568" t="s">
        <v>658</v>
      </c>
      <c r="R568" t="s">
        <v>1047</v>
      </c>
    </row>
    <row r="569" spans="1:18" hidden="1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1094</v>
      </c>
      <c r="Q569" t="s">
        <v>660</v>
      </c>
      <c r="R569" t="s">
        <v>1048</v>
      </c>
    </row>
    <row r="570" spans="1:18" hidden="1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1077</v>
      </c>
      <c r="K570" s="69" t="s">
        <v>447</v>
      </c>
      <c r="L570" t="s">
        <v>1094</v>
      </c>
      <c r="Q570" t="s">
        <v>660</v>
      </c>
      <c r="R570" t="s">
        <v>1048</v>
      </c>
    </row>
    <row r="571" spans="1:18" hidden="1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1094</v>
      </c>
      <c r="Q571" t="s">
        <v>660</v>
      </c>
      <c r="R571" t="s">
        <v>1048</v>
      </c>
    </row>
    <row r="572" spans="1:18" hidden="1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1071</v>
      </c>
      <c r="K572" s="69" t="s">
        <v>447</v>
      </c>
      <c r="L572" t="s">
        <v>1094</v>
      </c>
      <c r="Q572" t="s">
        <v>660</v>
      </c>
      <c r="R572" t="s">
        <v>1048</v>
      </c>
    </row>
    <row r="573" spans="1:18" hidden="1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1094</v>
      </c>
      <c r="Q573" t="s">
        <v>660</v>
      </c>
      <c r="R573" t="s">
        <v>1048</v>
      </c>
    </row>
    <row r="574" spans="1:18" hidden="1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1082</v>
      </c>
      <c r="K574" s="69" t="s">
        <v>447</v>
      </c>
      <c r="L574" t="s">
        <v>1094</v>
      </c>
      <c r="Q574" t="s">
        <v>660</v>
      </c>
      <c r="R574" t="s">
        <v>1048</v>
      </c>
    </row>
    <row r="575" spans="1:18" hidden="1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1041</v>
      </c>
    </row>
    <row r="576" spans="1:18" hidden="1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1058</v>
      </c>
      <c r="K576" s="68" t="s">
        <v>32</v>
      </c>
      <c r="Q576" t="s">
        <v>666</v>
      </c>
      <c r="R576" t="s">
        <v>1041</v>
      </c>
    </row>
    <row r="577" spans="1:18" hidden="1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1059</v>
      </c>
      <c r="K577" s="68" t="s">
        <v>32</v>
      </c>
      <c r="Q577" t="s">
        <v>666</v>
      </c>
      <c r="R577" t="s">
        <v>1041</v>
      </c>
    </row>
    <row r="578" spans="1:18" hidden="1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1077</v>
      </c>
      <c r="K578" s="68" t="s">
        <v>32</v>
      </c>
      <c r="Q578" t="s">
        <v>666</v>
      </c>
      <c r="R578" t="s">
        <v>1041</v>
      </c>
    </row>
    <row r="579" spans="1:18" hidden="1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1041</v>
      </c>
    </row>
    <row r="580" spans="1:18" hidden="1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1065</v>
      </c>
      <c r="K580" s="68" t="s">
        <v>32</v>
      </c>
      <c r="Q580" t="s">
        <v>666</v>
      </c>
      <c r="R580" t="s">
        <v>1041</v>
      </c>
    </row>
    <row r="581" spans="1:18" hidden="1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1041</v>
      </c>
    </row>
    <row r="582" spans="1:18" hidden="1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1059</v>
      </c>
      <c r="K582" s="68" t="s">
        <v>32</v>
      </c>
      <c r="Q582" t="s">
        <v>666</v>
      </c>
      <c r="R582" t="s">
        <v>1041</v>
      </c>
    </row>
    <row r="583" spans="1:18" hidden="1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1077</v>
      </c>
      <c r="K583" s="68" t="s">
        <v>32</v>
      </c>
      <c r="Q583" t="s">
        <v>666</v>
      </c>
      <c r="R583" t="s">
        <v>1041</v>
      </c>
    </row>
    <row r="584" spans="1:18" hidden="1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1041</v>
      </c>
    </row>
    <row r="585" spans="1:18" hidden="1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1066</v>
      </c>
      <c r="K585" s="68" t="s">
        <v>32</v>
      </c>
      <c r="Q585" t="s">
        <v>666</v>
      </c>
      <c r="R585" t="s">
        <v>1041</v>
      </c>
    </row>
    <row r="586" spans="1:18" hidden="1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1041</v>
      </c>
    </row>
    <row r="587" spans="1:18" hidden="1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1077</v>
      </c>
      <c r="K587" s="68" t="s">
        <v>32</v>
      </c>
      <c r="Q587" t="s">
        <v>666</v>
      </c>
      <c r="R587" t="s">
        <v>1041</v>
      </c>
    </row>
    <row r="588" spans="1:18" hidden="1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1041</v>
      </c>
    </row>
    <row r="589" spans="1:18" hidden="1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1075</v>
      </c>
      <c r="K589" s="68" t="s">
        <v>32</v>
      </c>
      <c r="Q589" t="s">
        <v>666</v>
      </c>
      <c r="R589" t="s">
        <v>1041</v>
      </c>
    </row>
    <row r="590" spans="1:18" hidden="1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1066</v>
      </c>
      <c r="K590" s="68" t="s">
        <v>32</v>
      </c>
      <c r="Q590" t="s">
        <v>666</v>
      </c>
      <c r="R590" t="s">
        <v>1041</v>
      </c>
    </row>
    <row r="591" spans="1:18" hidden="1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1041</v>
      </c>
    </row>
    <row r="592" spans="1:18" hidden="1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1077</v>
      </c>
      <c r="K592" s="68" t="s">
        <v>32</v>
      </c>
      <c r="Q592" t="s">
        <v>666</v>
      </c>
      <c r="R592" t="s">
        <v>1041</v>
      </c>
    </row>
    <row r="593" spans="1:18" hidden="1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1041</v>
      </c>
    </row>
    <row r="594" spans="1:18" hidden="1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1075</v>
      </c>
      <c r="K594" s="68" t="s">
        <v>32</v>
      </c>
      <c r="Q594" t="s">
        <v>666</v>
      </c>
      <c r="R594" t="s">
        <v>1041</v>
      </c>
    </row>
    <row r="595" spans="1:18" hidden="1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1066</v>
      </c>
      <c r="K595" s="68" t="s">
        <v>32</v>
      </c>
      <c r="Q595" t="s">
        <v>666</v>
      </c>
      <c r="R595" t="s">
        <v>1041</v>
      </c>
    </row>
    <row r="596" spans="1:18" hidden="1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1041</v>
      </c>
    </row>
    <row r="597" spans="1:18" hidden="1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1075</v>
      </c>
      <c r="K597" s="68" t="s">
        <v>32</v>
      </c>
      <c r="Q597" t="s">
        <v>666</v>
      </c>
      <c r="R597" t="s">
        <v>1041</v>
      </c>
    </row>
    <row r="598" spans="1:18" hidden="1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1049</v>
      </c>
    </row>
    <row r="599" spans="1:18" hidden="1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1058</v>
      </c>
      <c r="K599" s="68" t="s">
        <v>32</v>
      </c>
      <c r="Q599" t="s">
        <v>667</v>
      </c>
      <c r="R599" t="s">
        <v>1049</v>
      </c>
    </row>
    <row r="600" spans="1:18" hidden="1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1059</v>
      </c>
      <c r="K600" s="68" t="s">
        <v>32</v>
      </c>
      <c r="Q600" t="s">
        <v>667</v>
      </c>
      <c r="R600" t="s">
        <v>1049</v>
      </c>
    </row>
    <row r="601" spans="1:18" hidden="1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1077</v>
      </c>
      <c r="K601" s="68" t="s">
        <v>32</v>
      </c>
      <c r="Q601" t="s">
        <v>667</v>
      </c>
      <c r="R601" t="s">
        <v>1049</v>
      </c>
    </row>
    <row r="602" spans="1:18" hidden="1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1049</v>
      </c>
    </row>
    <row r="603" spans="1:18" hidden="1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1065</v>
      </c>
      <c r="K603" s="68" t="s">
        <v>32</v>
      </c>
      <c r="Q603" t="s">
        <v>667</v>
      </c>
      <c r="R603" t="s">
        <v>1049</v>
      </c>
    </row>
    <row r="604" spans="1:18" hidden="1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1049</v>
      </c>
    </row>
    <row r="605" spans="1:18" hidden="1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1049</v>
      </c>
    </row>
    <row r="606" spans="1:18" hidden="1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1077</v>
      </c>
      <c r="K606" s="68" t="s">
        <v>32</v>
      </c>
      <c r="Q606" t="s">
        <v>667</v>
      </c>
      <c r="R606" t="s">
        <v>1049</v>
      </c>
    </row>
    <row r="607" spans="1:18" hidden="1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1049</v>
      </c>
    </row>
    <row r="608" spans="1:18" hidden="1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1066</v>
      </c>
      <c r="K608" s="68" t="s">
        <v>32</v>
      </c>
      <c r="Q608" t="s">
        <v>667</v>
      </c>
      <c r="R608" t="s">
        <v>1049</v>
      </c>
    </row>
    <row r="609" spans="1:18" hidden="1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1049</v>
      </c>
    </row>
    <row r="610" spans="1:18" hidden="1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1077</v>
      </c>
      <c r="K610" s="68" t="s">
        <v>32</v>
      </c>
      <c r="Q610" t="s">
        <v>667</v>
      </c>
      <c r="R610" t="s">
        <v>1049</v>
      </c>
    </row>
    <row r="611" spans="1:18" hidden="1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1049</v>
      </c>
    </row>
    <row r="612" spans="1:18" hidden="1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1075</v>
      </c>
      <c r="K612" s="68" t="s">
        <v>32</v>
      </c>
      <c r="Q612" t="s">
        <v>667</v>
      </c>
      <c r="R612" t="s">
        <v>1049</v>
      </c>
    </row>
    <row r="613" spans="1:18" hidden="1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1066</v>
      </c>
      <c r="K613" s="68" t="s">
        <v>32</v>
      </c>
      <c r="Q613" t="s">
        <v>667</v>
      </c>
      <c r="R613" t="s">
        <v>1049</v>
      </c>
    </row>
    <row r="614" spans="1:18" hidden="1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1094</v>
      </c>
      <c r="Q614" t="s">
        <v>667</v>
      </c>
      <c r="R614" t="s">
        <v>1049</v>
      </c>
    </row>
    <row r="615" spans="1:18" hidden="1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1077</v>
      </c>
      <c r="K615" s="68" t="s">
        <v>32</v>
      </c>
      <c r="L615" t="s">
        <v>1094</v>
      </c>
      <c r="Q615" t="s">
        <v>667</v>
      </c>
      <c r="R615" t="s">
        <v>1049</v>
      </c>
    </row>
    <row r="616" spans="1:18" hidden="1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1094</v>
      </c>
      <c r="Q616" t="s">
        <v>667</v>
      </c>
      <c r="R616" t="s">
        <v>1049</v>
      </c>
    </row>
    <row r="617" spans="1:18" hidden="1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1075</v>
      </c>
      <c r="K617" s="68" t="s">
        <v>32</v>
      </c>
      <c r="L617" t="s">
        <v>1094</v>
      </c>
      <c r="Q617" t="s">
        <v>667</v>
      </c>
      <c r="R617" t="s">
        <v>1049</v>
      </c>
    </row>
    <row r="618" spans="1:18" hidden="1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1065</v>
      </c>
      <c r="K618" s="68" t="s">
        <v>32</v>
      </c>
      <c r="L618" t="s">
        <v>1094</v>
      </c>
      <c r="Q618" t="s">
        <v>667</v>
      </c>
      <c r="R618" t="s">
        <v>1049</v>
      </c>
    </row>
    <row r="619" spans="1:18" hidden="1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1066</v>
      </c>
      <c r="K619" s="68" t="s">
        <v>32</v>
      </c>
      <c r="L619" t="s">
        <v>1094</v>
      </c>
      <c r="Q619" t="s">
        <v>667</v>
      </c>
      <c r="R619" t="s">
        <v>1049</v>
      </c>
    </row>
    <row r="620" spans="1:18" hidden="1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1094</v>
      </c>
      <c r="Q620" t="s">
        <v>667</v>
      </c>
      <c r="R620" t="s">
        <v>1049</v>
      </c>
    </row>
    <row r="621" spans="1:18" hidden="1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1078</v>
      </c>
      <c r="K621" s="68" t="s">
        <v>32</v>
      </c>
      <c r="L621" t="s">
        <v>1094</v>
      </c>
      <c r="Q621" t="s">
        <v>667</v>
      </c>
      <c r="R621" t="s">
        <v>1049</v>
      </c>
    </row>
    <row r="622" spans="1:18" hidden="1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1075</v>
      </c>
      <c r="K622" s="68" t="s">
        <v>32</v>
      </c>
      <c r="L622" t="s">
        <v>1094</v>
      </c>
      <c r="Q622" t="s">
        <v>667</v>
      </c>
      <c r="R622" t="s">
        <v>1049</v>
      </c>
    </row>
    <row r="623" spans="1:18" hidden="1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1066</v>
      </c>
      <c r="K623" s="68" t="s">
        <v>32</v>
      </c>
      <c r="L623" t="s">
        <v>1094</v>
      </c>
      <c r="Q623" t="s">
        <v>667</v>
      </c>
      <c r="R623" t="s">
        <v>1049</v>
      </c>
    </row>
    <row r="624" spans="1:18" hidden="1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1049</v>
      </c>
    </row>
    <row r="625" spans="1:18" hidden="1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1058</v>
      </c>
      <c r="K625" s="68" t="s">
        <v>32</v>
      </c>
      <c r="Q625" t="s">
        <v>668</v>
      </c>
      <c r="R625" t="s">
        <v>1049</v>
      </c>
    </row>
    <row r="626" spans="1:18" hidden="1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1059</v>
      </c>
      <c r="K626" s="68" t="s">
        <v>32</v>
      </c>
      <c r="Q626" t="s">
        <v>668</v>
      </c>
      <c r="R626" t="s">
        <v>1049</v>
      </c>
    </row>
    <row r="627" spans="1:18" hidden="1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1077</v>
      </c>
      <c r="K627" s="68" t="s">
        <v>32</v>
      </c>
      <c r="Q627" t="s">
        <v>668</v>
      </c>
      <c r="R627" t="s">
        <v>1049</v>
      </c>
    </row>
    <row r="628" spans="1:18" hidden="1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1049</v>
      </c>
    </row>
    <row r="629" spans="1:18" hidden="1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1065</v>
      </c>
      <c r="K629" s="68" t="s">
        <v>32</v>
      </c>
      <c r="Q629" t="s">
        <v>668</v>
      </c>
      <c r="R629" t="s">
        <v>1049</v>
      </c>
    </row>
    <row r="630" spans="1:18" hidden="1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1049</v>
      </c>
    </row>
    <row r="631" spans="1:18" hidden="1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1049</v>
      </c>
    </row>
    <row r="632" spans="1:18" hidden="1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1077</v>
      </c>
      <c r="K632" s="68" t="s">
        <v>32</v>
      </c>
      <c r="Q632" t="s">
        <v>668</v>
      </c>
      <c r="R632" t="s">
        <v>1049</v>
      </c>
    </row>
    <row r="633" spans="1:18" hidden="1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1049</v>
      </c>
    </row>
    <row r="634" spans="1:18" hidden="1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1074</v>
      </c>
      <c r="K634" s="68" t="s">
        <v>32</v>
      </c>
      <c r="Q634" t="s">
        <v>668</v>
      </c>
      <c r="R634" t="s">
        <v>1049</v>
      </c>
    </row>
    <row r="635" spans="1:18" hidden="1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1066</v>
      </c>
      <c r="K635" s="68" t="s">
        <v>32</v>
      </c>
      <c r="Q635" t="s">
        <v>668</v>
      </c>
      <c r="R635" t="s">
        <v>1049</v>
      </c>
    </row>
    <row r="636" spans="1:18" hidden="1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1049</v>
      </c>
    </row>
    <row r="637" spans="1:18" hidden="1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1077</v>
      </c>
      <c r="K637" s="68" t="s">
        <v>32</v>
      </c>
      <c r="Q637" t="s">
        <v>668</v>
      </c>
      <c r="R637" t="s">
        <v>1049</v>
      </c>
    </row>
    <row r="638" spans="1:18" hidden="1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1078</v>
      </c>
      <c r="K638" s="68" t="s">
        <v>32</v>
      </c>
      <c r="Q638" t="s">
        <v>668</v>
      </c>
      <c r="R638" t="s">
        <v>1049</v>
      </c>
    </row>
    <row r="639" spans="1:18" hidden="1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1075</v>
      </c>
      <c r="K639" s="68" t="s">
        <v>32</v>
      </c>
      <c r="Q639" t="s">
        <v>668</v>
      </c>
      <c r="R639" t="s">
        <v>1049</v>
      </c>
    </row>
    <row r="640" spans="1:18" hidden="1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1066</v>
      </c>
      <c r="K640" s="68" t="s">
        <v>32</v>
      </c>
      <c r="Q640" t="s">
        <v>668</v>
      </c>
      <c r="R640" t="s">
        <v>1049</v>
      </c>
    </row>
    <row r="641" spans="1:18" hidden="1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1094</v>
      </c>
      <c r="Q641" t="s">
        <v>668</v>
      </c>
      <c r="R641" t="s">
        <v>1049</v>
      </c>
    </row>
    <row r="642" spans="1:18" hidden="1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1078</v>
      </c>
      <c r="K642" s="68" t="s">
        <v>32</v>
      </c>
      <c r="L642" t="s">
        <v>1094</v>
      </c>
      <c r="Q642" t="s">
        <v>668</v>
      </c>
      <c r="R642" t="s">
        <v>1049</v>
      </c>
    </row>
    <row r="643" spans="1:18" hidden="1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1075</v>
      </c>
      <c r="K643" s="68" t="s">
        <v>32</v>
      </c>
      <c r="L643" t="s">
        <v>1094</v>
      </c>
      <c r="Q643" t="s">
        <v>668</v>
      </c>
      <c r="R643" t="s">
        <v>1049</v>
      </c>
    </row>
    <row r="644" spans="1:18" hidden="1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1049</v>
      </c>
    </row>
    <row r="645" spans="1:18" hidden="1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1075</v>
      </c>
      <c r="K645" s="68" t="s">
        <v>32</v>
      </c>
      <c r="Q645" t="s">
        <v>668</v>
      </c>
      <c r="R645" t="s">
        <v>1049</v>
      </c>
    </row>
    <row r="646" spans="1:18" hidden="1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1040</v>
      </c>
    </row>
    <row r="647" spans="1:18" hidden="1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1058</v>
      </c>
      <c r="K647" s="68" t="s">
        <v>32</v>
      </c>
      <c r="Q647" t="s">
        <v>669</v>
      </c>
      <c r="R647" t="s">
        <v>1040</v>
      </c>
    </row>
    <row r="648" spans="1:18" hidden="1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1059</v>
      </c>
      <c r="K648" s="68" t="s">
        <v>32</v>
      </c>
      <c r="Q648" t="s">
        <v>669</v>
      </c>
      <c r="R648" t="s">
        <v>1040</v>
      </c>
    </row>
    <row r="649" spans="1:18" hidden="1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1077</v>
      </c>
      <c r="K649" s="68" t="s">
        <v>32</v>
      </c>
      <c r="Q649" t="s">
        <v>669</v>
      </c>
      <c r="R649" t="s">
        <v>1040</v>
      </c>
    </row>
    <row r="650" spans="1:18" hidden="1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1040</v>
      </c>
    </row>
    <row r="651" spans="1:18" hidden="1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1074</v>
      </c>
      <c r="K651" s="68" t="s">
        <v>32</v>
      </c>
      <c r="Q651" t="s">
        <v>669</v>
      </c>
      <c r="R651" t="s">
        <v>1040</v>
      </c>
    </row>
    <row r="652" spans="1:18" hidden="1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1066</v>
      </c>
      <c r="K652" s="68" t="s">
        <v>32</v>
      </c>
      <c r="Q652" t="s">
        <v>669</v>
      </c>
      <c r="R652" t="s">
        <v>1040</v>
      </c>
    </row>
    <row r="653" spans="1:18" hidden="1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1040</v>
      </c>
    </row>
    <row r="654" spans="1:18" hidden="1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1077</v>
      </c>
      <c r="K654" s="68" t="s">
        <v>32</v>
      </c>
      <c r="Q654" t="s">
        <v>669</v>
      </c>
      <c r="R654" t="s">
        <v>1040</v>
      </c>
    </row>
    <row r="655" spans="1:18" hidden="1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1040</v>
      </c>
    </row>
    <row r="656" spans="1:18" hidden="1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1074</v>
      </c>
      <c r="K656" s="68" t="s">
        <v>32</v>
      </c>
      <c r="Q656" t="s">
        <v>669</v>
      </c>
      <c r="R656" t="s">
        <v>1040</v>
      </c>
    </row>
    <row r="657" spans="1:18" hidden="1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1066</v>
      </c>
      <c r="K657" s="68" t="s">
        <v>32</v>
      </c>
      <c r="Q657" t="s">
        <v>669</v>
      </c>
      <c r="R657" t="s">
        <v>1040</v>
      </c>
    </row>
    <row r="658" spans="1:18" hidden="1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1040</v>
      </c>
    </row>
    <row r="659" spans="1:18" hidden="1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1077</v>
      </c>
      <c r="K659" s="68" t="s">
        <v>32</v>
      </c>
      <c r="Q659" t="s">
        <v>669</v>
      </c>
      <c r="R659" t="s">
        <v>1040</v>
      </c>
    </row>
    <row r="660" spans="1:18" hidden="1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1040</v>
      </c>
    </row>
    <row r="661" spans="1:18" hidden="1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1065</v>
      </c>
      <c r="K661" s="68" t="s">
        <v>32</v>
      </c>
      <c r="Q661" t="s">
        <v>669</v>
      </c>
      <c r="R661" t="s">
        <v>1040</v>
      </c>
    </row>
    <row r="662" spans="1:18" hidden="1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1075</v>
      </c>
      <c r="K662" s="68" t="s">
        <v>32</v>
      </c>
      <c r="Q662" t="s">
        <v>669</v>
      </c>
      <c r="R662" t="s">
        <v>1040</v>
      </c>
    </row>
    <row r="663" spans="1:18" hidden="1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1094</v>
      </c>
      <c r="Q663" t="s">
        <v>669</v>
      </c>
      <c r="R663" t="s">
        <v>1040</v>
      </c>
    </row>
    <row r="664" spans="1:18" hidden="1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1077</v>
      </c>
      <c r="K664" s="68" t="s">
        <v>32</v>
      </c>
      <c r="L664" t="s">
        <v>1094</v>
      </c>
      <c r="Q664" t="s">
        <v>669</v>
      </c>
      <c r="R664" t="s">
        <v>1040</v>
      </c>
    </row>
    <row r="665" spans="1:18" hidden="1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1094</v>
      </c>
      <c r="Q665" t="s">
        <v>669</v>
      </c>
      <c r="R665" t="s">
        <v>1040</v>
      </c>
    </row>
    <row r="666" spans="1:18" hidden="1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1075</v>
      </c>
      <c r="K666" s="68" t="s">
        <v>32</v>
      </c>
      <c r="L666" t="s">
        <v>1094</v>
      </c>
      <c r="Q666" t="s">
        <v>669</v>
      </c>
      <c r="R666" t="s">
        <v>1040</v>
      </c>
    </row>
    <row r="667" spans="1:18" hidden="1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1066</v>
      </c>
      <c r="K667" s="68" t="s">
        <v>32</v>
      </c>
      <c r="L667" t="s">
        <v>1094</v>
      </c>
      <c r="Q667" t="s">
        <v>669</v>
      </c>
      <c r="R667" t="s">
        <v>1040</v>
      </c>
    </row>
    <row r="668" spans="1:18" hidden="1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1040</v>
      </c>
    </row>
    <row r="669" spans="1:18" hidden="1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1075</v>
      </c>
      <c r="K669" s="68" t="s">
        <v>32</v>
      </c>
      <c r="Q669" t="s">
        <v>669</v>
      </c>
      <c r="R669" t="s">
        <v>1040</v>
      </c>
    </row>
    <row r="670" spans="1:18" hidden="1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1066</v>
      </c>
      <c r="K670" s="68" t="s">
        <v>32</v>
      </c>
      <c r="Q670" t="s">
        <v>669</v>
      </c>
      <c r="R670" t="s">
        <v>1040</v>
      </c>
    </row>
    <row r="671" spans="1:18" hidden="1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1050</v>
      </c>
    </row>
    <row r="672" spans="1:18" hidden="1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1058</v>
      </c>
      <c r="K672" s="68" t="s">
        <v>32</v>
      </c>
      <c r="Q672" t="s">
        <v>670</v>
      </c>
      <c r="R672" t="s">
        <v>1050</v>
      </c>
    </row>
    <row r="673" spans="1:18" hidden="1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1059</v>
      </c>
      <c r="K673" s="68" t="s">
        <v>32</v>
      </c>
      <c r="Q673" t="s">
        <v>670</v>
      </c>
      <c r="R673" t="s">
        <v>1050</v>
      </c>
    </row>
    <row r="674" spans="1:18" hidden="1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1077</v>
      </c>
      <c r="K674" s="68" t="s">
        <v>32</v>
      </c>
      <c r="Q674" t="s">
        <v>670</v>
      </c>
      <c r="R674" t="s">
        <v>1050</v>
      </c>
    </row>
    <row r="675" spans="1:18" hidden="1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1050</v>
      </c>
    </row>
    <row r="676" spans="1:18" hidden="1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1065</v>
      </c>
      <c r="K676" s="68" t="s">
        <v>32</v>
      </c>
      <c r="Q676" t="s">
        <v>670</v>
      </c>
      <c r="R676" t="s">
        <v>1050</v>
      </c>
    </row>
    <row r="677" spans="1:18" hidden="1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1050</v>
      </c>
    </row>
    <row r="678" spans="1:18" hidden="1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1077</v>
      </c>
      <c r="K678" s="68" t="s">
        <v>32</v>
      </c>
      <c r="Q678" t="s">
        <v>670</v>
      </c>
      <c r="R678" t="s">
        <v>1050</v>
      </c>
    </row>
    <row r="679" spans="1:18" hidden="1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1050</v>
      </c>
    </row>
    <row r="680" spans="1:18" hidden="1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1074</v>
      </c>
      <c r="K680" s="68" t="s">
        <v>32</v>
      </c>
      <c r="Q680" t="s">
        <v>670</v>
      </c>
      <c r="R680" t="s">
        <v>1050</v>
      </c>
    </row>
    <row r="681" spans="1:18" hidden="1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1065</v>
      </c>
      <c r="K681" s="68" t="s">
        <v>32</v>
      </c>
      <c r="Q681" t="s">
        <v>670</v>
      </c>
      <c r="R681" t="s">
        <v>1050</v>
      </c>
    </row>
    <row r="682" spans="1:18" hidden="1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1050</v>
      </c>
    </row>
    <row r="683" spans="1:18" hidden="1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1077</v>
      </c>
      <c r="K683" s="68" t="s">
        <v>32</v>
      </c>
      <c r="Q683" t="s">
        <v>670</v>
      </c>
      <c r="R683" t="s">
        <v>1050</v>
      </c>
    </row>
    <row r="684" spans="1:18" hidden="1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1050</v>
      </c>
    </row>
    <row r="685" spans="1:18" hidden="1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1075</v>
      </c>
      <c r="K685" s="68" t="s">
        <v>32</v>
      </c>
      <c r="Q685" t="s">
        <v>670</v>
      </c>
      <c r="R685" t="s">
        <v>1050</v>
      </c>
    </row>
    <row r="686" spans="1:18" hidden="1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1066</v>
      </c>
      <c r="K686" s="68" t="s">
        <v>32</v>
      </c>
      <c r="Q686" t="s">
        <v>670</v>
      </c>
      <c r="R686" t="s">
        <v>1050</v>
      </c>
    </row>
    <row r="687" spans="1:18" hidden="1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1094</v>
      </c>
      <c r="Q687" t="s">
        <v>670</v>
      </c>
      <c r="R687" t="s">
        <v>1050</v>
      </c>
    </row>
    <row r="688" spans="1:18" hidden="1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1077</v>
      </c>
      <c r="K688" s="68" t="s">
        <v>32</v>
      </c>
      <c r="L688" t="s">
        <v>1094</v>
      </c>
      <c r="Q688" t="s">
        <v>670</v>
      </c>
      <c r="R688" t="s">
        <v>1050</v>
      </c>
    </row>
    <row r="689" spans="1:18" hidden="1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1094</v>
      </c>
      <c r="Q689" t="s">
        <v>670</v>
      </c>
      <c r="R689" t="s">
        <v>1050</v>
      </c>
    </row>
    <row r="690" spans="1:18" hidden="1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1075</v>
      </c>
      <c r="K690" s="68" t="s">
        <v>32</v>
      </c>
      <c r="L690" t="s">
        <v>1094</v>
      </c>
      <c r="Q690" t="s">
        <v>670</v>
      </c>
      <c r="R690" t="s">
        <v>1050</v>
      </c>
    </row>
    <row r="691" spans="1:18" hidden="1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1066</v>
      </c>
      <c r="K691" s="68" t="s">
        <v>32</v>
      </c>
      <c r="L691" t="s">
        <v>1094</v>
      </c>
      <c r="Q691" t="s">
        <v>670</v>
      </c>
      <c r="R691" t="s">
        <v>1050</v>
      </c>
    </row>
    <row r="692" spans="1:18" hidden="1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1050</v>
      </c>
    </row>
    <row r="693" spans="1:18" hidden="1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1078</v>
      </c>
      <c r="K693" s="68" t="s">
        <v>32</v>
      </c>
      <c r="Q693" t="s">
        <v>670</v>
      </c>
      <c r="R693" t="s">
        <v>1050</v>
      </c>
    </row>
    <row r="694" spans="1:18" hidden="1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1075</v>
      </c>
      <c r="K694" s="68" t="s">
        <v>32</v>
      </c>
      <c r="Q694" t="s">
        <v>670</v>
      </c>
      <c r="R694" t="s">
        <v>1050</v>
      </c>
    </row>
    <row r="695" spans="1:18" hidden="1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1051</v>
      </c>
    </row>
    <row r="696" spans="1:18" hidden="1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1058</v>
      </c>
      <c r="K696" s="68" t="s">
        <v>32</v>
      </c>
      <c r="Q696" t="s">
        <v>671</v>
      </c>
      <c r="R696" t="s">
        <v>1051</v>
      </c>
    </row>
    <row r="697" spans="1:18" hidden="1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1059</v>
      </c>
      <c r="K697" s="68" t="s">
        <v>32</v>
      </c>
      <c r="Q697" t="s">
        <v>671</v>
      </c>
      <c r="R697" t="s">
        <v>1051</v>
      </c>
    </row>
    <row r="698" spans="1:18" hidden="1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1077</v>
      </c>
      <c r="K698" s="68" t="s">
        <v>32</v>
      </c>
      <c r="Q698" t="s">
        <v>671</v>
      </c>
      <c r="R698" t="s">
        <v>1051</v>
      </c>
    </row>
    <row r="699" spans="1:18" hidden="1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1051</v>
      </c>
    </row>
    <row r="700" spans="1:18" hidden="1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1065</v>
      </c>
      <c r="K700" s="68" t="s">
        <v>32</v>
      </c>
      <c r="Q700" t="s">
        <v>671</v>
      </c>
      <c r="R700" t="s">
        <v>1051</v>
      </c>
    </row>
    <row r="701" spans="1:18" hidden="1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1051</v>
      </c>
    </row>
    <row r="702" spans="1:18" hidden="1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1051</v>
      </c>
    </row>
    <row r="703" spans="1:18" hidden="1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1077</v>
      </c>
      <c r="K703" s="68" t="s">
        <v>32</v>
      </c>
      <c r="Q703" t="s">
        <v>671</v>
      </c>
      <c r="R703" t="s">
        <v>1051</v>
      </c>
    </row>
    <row r="704" spans="1:18" hidden="1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1051</v>
      </c>
    </row>
    <row r="705" spans="1:18" hidden="1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1074</v>
      </c>
      <c r="K705" s="68" t="s">
        <v>32</v>
      </c>
      <c r="Q705" t="s">
        <v>671</v>
      </c>
      <c r="R705" t="s">
        <v>1051</v>
      </c>
    </row>
    <row r="706" spans="1:18" hidden="1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1066</v>
      </c>
      <c r="K706" s="68" t="s">
        <v>32</v>
      </c>
      <c r="Q706" t="s">
        <v>671</v>
      </c>
      <c r="R706" t="s">
        <v>1051</v>
      </c>
    </row>
    <row r="707" spans="1:18" hidden="1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1051</v>
      </c>
    </row>
    <row r="708" spans="1:18" hidden="1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1077</v>
      </c>
      <c r="K708" s="68" t="s">
        <v>32</v>
      </c>
      <c r="Q708" t="s">
        <v>671</v>
      </c>
      <c r="R708" t="s">
        <v>1051</v>
      </c>
    </row>
    <row r="709" spans="1:18" hidden="1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1051</v>
      </c>
    </row>
    <row r="710" spans="1:18" hidden="1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1075</v>
      </c>
      <c r="K710" s="68" t="s">
        <v>32</v>
      </c>
      <c r="Q710" t="s">
        <v>671</v>
      </c>
      <c r="R710" t="s">
        <v>1051</v>
      </c>
    </row>
    <row r="711" spans="1:18" hidden="1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1066</v>
      </c>
      <c r="K711" s="68" t="s">
        <v>32</v>
      </c>
      <c r="Q711" t="s">
        <v>671</v>
      </c>
      <c r="R711" t="s">
        <v>1051</v>
      </c>
    </row>
    <row r="712" spans="1:18" hidden="1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1094</v>
      </c>
      <c r="Q712" t="s">
        <v>671</v>
      </c>
      <c r="R712" t="s">
        <v>1051</v>
      </c>
    </row>
    <row r="713" spans="1:18" hidden="1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1077</v>
      </c>
      <c r="K713" s="68" t="s">
        <v>32</v>
      </c>
      <c r="L713" t="s">
        <v>1094</v>
      </c>
      <c r="Q713" t="s">
        <v>671</v>
      </c>
      <c r="R713" t="s">
        <v>1051</v>
      </c>
    </row>
    <row r="714" spans="1:18" hidden="1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1094</v>
      </c>
      <c r="Q714" t="s">
        <v>671</v>
      </c>
      <c r="R714" t="s">
        <v>1051</v>
      </c>
    </row>
    <row r="715" spans="1:18" hidden="1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1075</v>
      </c>
      <c r="K715" s="68" t="s">
        <v>32</v>
      </c>
      <c r="L715" t="s">
        <v>1094</v>
      </c>
      <c r="Q715" t="s">
        <v>671</v>
      </c>
      <c r="R715" t="s">
        <v>1051</v>
      </c>
    </row>
    <row r="716" spans="1:18" hidden="1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1051</v>
      </c>
    </row>
    <row r="717" spans="1:18" hidden="1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1078</v>
      </c>
      <c r="K717" s="68" t="s">
        <v>32</v>
      </c>
      <c r="Q717" t="s">
        <v>671</v>
      </c>
      <c r="R717" t="s">
        <v>1051</v>
      </c>
    </row>
    <row r="718" spans="1:18" hidden="1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1052</v>
      </c>
    </row>
    <row r="719" spans="1:18" hidden="1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1058</v>
      </c>
      <c r="K719" s="68" t="s">
        <v>32</v>
      </c>
      <c r="Q719" t="s">
        <v>672</v>
      </c>
      <c r="R719" t="s">
        <v>1052</v>
      </c>
    </row>
    <row r="720" spans="1:18" hidden="1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1059</v>
      </c>
      <c r="K720" s="68" t="s">
        <v>32</v>
      </c>
      <c r="Q720" t="s">
        <v>672</v>
      </c>
      <c r="R720" t="s">
        <v>1052</v>
      </c>
    </row>
    <row r="721" spans="1:18" hidden="1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1077</v>
      </c>
      <c r="K721" s="68" t="s">
        <v>32</v>
      </c>
      <c r="Q721" t="s">
        <v>672</v>
      </c>
      <c r="R721" t="s">
        <v>1052</v>
      </c>
    </row>
    <row r="722" spans="1:18" hidden="1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1052</v>
      </c>
    </row>
    <row r="723" spans="1:18" hidden="1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1094</v>
      </c>
      <c r="Q723" t="s">
        <v>672</v>
      </c>
      <c r="R723" t="s">
        <v>1052</v>
      </c>
    </row>
    <row r="724" spans="1:18" hidden="1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1059</v>
      </c>
      <c r="K724" s="68" t="s">
        <v>32</v>
      </c>
      <c r="L724" t="s">
        <v>1094</v>
      </c>
      <c r="Q724" t="s">
        <v>672</v>
      </c>
      <c r="R724" t="s">
        <v>1052</v>
      </c>
    </row>
    <row r="725" spans="1:18" hidden="1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1077</v>
      </c>
      <c r="K725" s="68" t="s">
        <v>32</v>
      </c>
      <c r="L725" t="s">
        <v>1094</v>
      </c>
      <c r="Q725" t="s">
        <v>672</v>
      </c>
      <c r="R725" t="s">
        <v>1052</v>
      </c>
    </row>
    <row r="726" spans="1:18" hidden="1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1094</v>
      </c>
      <c r="Q726" t="s">
        <v>672</v>
      </c>
      <c r="R726" t="s">
        <v>1052</v>
      </c>
    </row>
    <row r="727" spans="1:18" hidden="1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1066</v>
      </c>
      <c r="K727" s="68" t="s">
        <v>32</v>
      </c>
      <c r="L727" t="s">
        <v>1094</v>
      </c>
      <c r="Q727" t="s">
        <v>672</v>
      </c>
      <c r="R727" t="s">
        <v>1052</v>
      </c>
    </row>
    <row r="728" spans="1:18" hidden="1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1094</v>
      </c>
      <c r="Q728" t="s">
        <v>672</v>
      </c>
      <c r="R728" t="s">
        <v>1052</v>
      </c>
    </row>
    <row r="729" spans="1:18" hidden="1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1077</v>
      </c>
      <c r="K729" s="68" t="s">
        <v>32</v>
      </c>
      <c r="L729" t="s">
        <v>1094</v>
      </c>
      <c r="Q729" t="s">
        <v>672</v>
      </c>
      <c r="R729" t="s">
        <v>1052</v>
      </c>
    </row>
    <row r="730" spans="1:18" hidden="1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1094</v>
      </c>
      <c r="Q730" t="s">
        <v>672</v>
      </c>
      <c r="R730" t="s">
        <v>1052</v>
      </c>
    </row>
    <row r="731" spans="1:18" hidden="1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1066</v>
      </c>
      <c r="K731" s="68" t="s">
        <v>32</v>
      </c>
      <c r="L731" t="s">
        <v>1094</v>
      </c>
      <c r="Q731" t="s">
        <v>672</v>
      </c>
      <c r="R731" t="s">
        <v>1052</v>
      </c>
    </row>
    <row r="732" spans="1:18" hidden="1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1094</v>
      </c>
      <c r="Q732" t="s">
        <v>672</v>
      </c>
      <c r="R732" t="s">
        <v>1052</v>
      </c>
    </row>
    <row r="733" spans="1:18" hidden="1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1077</v>
      </c>
      <c r="K733" s="68" t="s">
        <v>32</v>
      </c>
      <c r="L733" t="s">
        <v>1094</v>
      </c>
      <c r="Q733" t="s">
        <v>672</v>
      </c>
      <c r="R733" t="s">
        <v>1052</v>
      </c>
    </row>
    <row r="734" spans="1:18" hidden="1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1062</v>
      </c>
      <c r="K734" s="68" t="s">
        <v>32</v>
      </c>
      <c r="L734" t="s">
        <v>1094</v>
      </c>
      <c r="Q734" t="s">
        <v>672</v>
      </c>
      <c r="R734" t="s">
        <v>1052</v>
      </c>
    </row>
    <row r="735" spans="1:18" hidden="1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1075</v>
      </c>
      <c r="K735" s="68" t="s">
        <v>32</v>
      </c>
      <c r="L735" t="s">
        <v>1094</v>
      </c>
      <c r="Q735" t="s">
        <v>672</v>
      </c>
      <c r="R735" t="s">
        <v>1052</v>
      </c>
    </row>
    <row r="736" spans="1:18" hidden="1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1052</v>
      </c>
    </row>
    <row r="737" spans="1:18" hidden="1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1078</v>
      </c>
      <c r="K737" s="68" t="s">
        <v>32</v>
      </c>
      <c r="Q737" t="s">
        <v>672</v>
      </c>
      <c r="R737" t="s">
        <v>1052</v>
      </c>
    </row>
    <row r="738" spans="1:18" hidden="1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1075</v>
      </c>
      <c r="K738" s="68" t="s">
        <v>32</v>
      </c>
      <c r="Q738" t="s">
        <v>672</v>
      </c>
      <c r="R738" t="s">
        <v>1052</v>
      </c>
    </row>
    <row r="739" spans="1:18" hidden="1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1053</v>
      </c>
    </row>
    <row r="740" spans="1:18" hidden="1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1068</v>
      </c>
      <c r="K740" s="68" t="s">
        <v>32</v>
      </c>
      <c r="Q740" t="s">
        <v>673</v>
      </c>
      <c r="R740" t="s">
        <v>1053</v>
      </c>
    </row>
    <row r="741" spans="1:18" hidden="1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1059</v>
      </c>
      <c r="K741" s="68" t="s">
        <v>32</v>
      </c>
      <c r="Q741" t="s">
        <v>673</v>
      </c>
      <c r="R741" t="s">
        <v>1053</v>
      </c>
    </row>
    <row r="742" spans="1:18" hidden="1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1077</v>
      </c>
      <c r="K742" s="68" t="s">
        <v>32</v>
      </c>
      <c r="Q742" t="s">
        <v>673</v>
      </c>
      <c r="R742" t="s">
        <v>1053</v>
      </c>
    </row>
    <row r="743" spans="1:18" hidden="1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1053</v>
      </c>
    </row>
    <row r="744" spans="1:18" hidden="1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1067</v>
      </c>
      <c r="K744" s="68" t="s">
        <v>32</v>
      </c>
      <c r="Q744" t="s">
        <v>673</v>
      </c>
      <c r="R744" t="s">
        <v>1053</v>
      </c>
    </row>
    <row r="745" spans="1:18" hidden="1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1065</v>
      </c>
      <c r="K745" s="68" t="s">
        <v>32</v>
      </c>
      <c r="Q745" t="s">
        <v>673</v>
      </c>
      <c r="R745" t="s">
        <v>1053</v>
      </c>
    </row>
    <row r="746" spans="1:18" hidden="1" x14ac:dyDescent="0.25">
      <c r="A746" s="77" t="s">
        <v>631</v>
      </c>
      <c r="B746" s="77" t="s">
        <v>673</v>
      </c>
      <c r="C746" s="77">
        <v>2</v>
      </c>
      <c r="D746" s="77" t="s">
        <v>11</v>
      </c>
      <c r="E746" s="77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1094</v>
      </c>
      <c r="N746" s="77" t="s">
        <v>1033</v>
      </c>
      <c r="O746" s="77" t="s">
        <v>27</v>
      </c>
      <c r="P746" s="77">
        <v>10</v>
      </c>
      <c r="Q746" t="s">
        <v>673</v>
      </c>
      <c r="R746" t="s">
        <v>1053</v>
      </c>
    </row>
    <row r="747" spans="1:18" hidden="1" x14ac:dyDescent="0.25">
      <c r="A747" s="77" t="s">
        <v>631</v>
      </c>
      <c r="B747" s="77" t="s">
        <v>673</v>
      </c>
      <c r="C747" s="77">
        <v>2</v>
      </c>
      <c r="D747" s="77" t="s">
        <v>11</v>
      </c>
      <c r="E747" s="77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1094</v>
      </c>
      <c r="N747" s="77" t="s">
        <v>1033</v>
      </c>
      <c r="O747" s="77" t="s">
        <v>24</v>
      </c>
      <c r="P747" s="77">
        <v>10</v>
      </c>
      <c r="Q747" t="s">
        <v>673</v>
      </c>
      <c r="R747" t="s">
        <v>1053</v>
      </c>
    </row>
    <row r="748" spans="1:18" hidden="1" x14ac:dyDescent="0.25">
      <c r="A748" s="77" t="s">
        <v>631</v>
      </c>
      <c r="B748" s="77" t="s">
        <v>673</v>
      </c>
      <c r="C748" s="77">
        <v>2</v>
      </c>
      <c r="D748" s="77" t="s">
        <v>11</v>
      </c>
      <c r="E748" s="77" t="s">
        <v>1029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1094</v>
      </c>
      <c r="N748" s="77" t="s">
        <v>1033</v>
      </c>
      <c r="O748" s="77" t="s">
        <v>24</v>
      </c>
      <c r="P748" s="77">
        <v>10</v>
      </c>
      <c r="Q748" t="s">
        <v>673</v>
      </c>
      <c r="R748" t="s">
        <v>1053</v>
      </c>
    </row>
    <row r="749" spans="1:18" hidden="1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1068</v>
      </c>
      <c r="K749" s="68" t="s">
        <v>32</v>
      </c>
      <c r="L749" t="s">
        <v>1094</v>
      </c>
      <c r="Q749" t="s">
        <v>673</v>
      </c>
      <c r="R749" t="s">
        <v>1053</v>
      </c>
    </row>
    <row r="750" spans="1:18" hidden="1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1077</v>
      </c>
      <c r="K750" s="68" t="s">
        <v>32</v>
      </c>
      <c r="L750" t="s">
        <v>1094</v>
      </c>
      <c r="Q750" t="s">
        <v>673</v>
      </c>
      <c r="R750" t="s">
        <v>1053</v>
      </c>
    </row>
    <row r="751" spans="1:18" hidden="1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1070</v>
      </c>
      <c r="K751" s="68" t="s">
        <v>32</v>
      </c>
      <c r="L751" t="s">
        <v>1094</v>
      </c>
      <c r="Q751" t="s">
        <v>673</v>
      </c>
      <c r="R751" t="s">
        <v>1053</v>
      </c>
    </row>
    <row r="752" spans="1:18" hidden="1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1065</v>
      </c>
      <c r="K752" s="68" t="s">
        <v>32</v>
      </c>
      <c r="L752" t="s">
        <v>1094</v>
      </c>
      <c r="Q752" t="s">
        <v>673</v>
      </c>
      <c r="R752" t="s">
        <v>1053</v>
      </c>
    </row>
    <row r="753" spans="1:18" hidden="1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1079</v>
      </c>
      <c r="K753" s="68" t="s">
        <v>32</v>
      </c>
      <c r="L753" t="s">
        <v>1094</v>
      </c>
      <c r="Q753" t="s">
        <v>673</v>
      </c>
      <c r="R753" t="s">
        <v>1053</v>
      </c>
    </row>
    <row r="754" spans="1:18" hidden="1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1063</v>
      </c>
      <c r="K754" s="68" t="s">
        <v>32</v>
      </c>
      <c r="L754" t="s">
        <v>1094</v>
      </c>
      <c r="Q754" t="s">
        <v>673</v>
      </c>
      <c r="R754" t="s">
        <v>1053</v>
      </c>
    </row>
    <row r="755" spans="1:18" hidden="1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1069</v>
      </c>
      <c r="K755" s="68" t="s">
        <v>32</v>
      </c>
      <c r="L755" t="s">
        <v>1094</v>
      </c>
      <c r="Q755" t="s">
        <v>673</v>
      </c>
      <c r="R755" t="s">
        <v>1053</v>
      </c>
    </row>
    <row r="756" spans="1:18" hidden="1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1073</v>
      </c>
      <c r="K756" s="68" t="s">
        <v>32</v>
      </c>
      <c r="L756" t="s">
        <v>1094</v>
      </c>
      <c r="Q756" t="s">
        <v>673</v>
      </c>
      <c r="R756" t="s">
        <v>1053</v>
      </c>
    </row>
    <row r="757" spans="1:18" hidden="1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1065</v>
      </c>
      <c r="K757" s="68" t="s">
        <v>32</v>
      </c>
      <c r="L757" t="s">
        <v>1094</v>
      </c>
      <c r="Q757" t="s">
        <v>673</v>
      </c>
      <c r="R757" t="s">
        <v>1053</v>
      </c>
    </row>
    <row r="758" spans="1:18" hidden="1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1079</v>
      </c>
      <c r="K758" s="68" t="s">
        <v>32</v>
      </c>
      <c r="Q758" t="s">
        <v>673</v>
      </c>
      <c r="R758" t="s">
        <v>1053</v>
      </c>
    </row>
    <row r="759" spans="1:18" hidden="1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1063</v>
      </c>
      <c r="K759" s="68" t="s">
        <v>32</v>
      </c>
      <c r="Q759" t="s">
        <v>673</v>
      </c>
      <c r="R759" t="s">
        <v>1053</v>
      </c>
    </row>
    <row r="760" spans="1:18" hidden="1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1081</v>
      </c>
      <c r="K760" s="68" t="s">
        <v>32</v>
      </c>
      <c r="Q760" t="s">
        <v>673</v>
      </c>
      <c r="R760" t="s">
        <v>1053</v>
      </c>
    </row>
    <row r="761" spans="1:18" hidden="1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1066</v>
      </c>
      <c r="K761" s="68" t="s">
        <v>32</v>
      </c>
      <c r="Q761" t="s">
        <v>673</v>
      </c>
      <c r="R761" t="s">
        <v>1053</v>
      </c>
    </row>
    <row r="762" spans="1:18" hidden="1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1053</v>
      </c>
    </row>
    <row r="763" spans="1:18" hidden="1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1078</v>
      </c>
      <c r="K763" s="68" t="s">
        <v>32</v>
      </c>
      <c r="Q763" t="s">
        <v>673</v>
      </c>
      <c r="R763" t="s">
        <v>1053</v>
      </c>
    </row>
    <row r="764" spans="1:18" hidden="1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1054</v>
      </c>
    </row>
    <row r="765" spans="1:18" hidden="1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1068</v>
      </c>
      <c r="K765" s="68" t="s">
        <v>32</v>
      </c>
      <c r="Q765" t="s">
        <v>674</v>
      </c>
      <c r="R765" t="s">
        <v>1054</v>
      </c>
    </row>
    <row r="766" spans="1:18" hidden="1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1059</v>
      </c>
      <c r="K766" s="68" t="s">
        <v>32</v>
      </c>
      <c r="Q766" t="s">
        <v>674</v>
      </c>
      <c r="R766" t="s">
        <v>1054</v>
      </c>
    </row>
    <row r="767" spans="1:18" hidden="1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1077</v>
      </c>
      <c r="K767" s="68" t="s">
        <v>32</v>
      </c>
      <c r="Q767" t="s">
        <v>674</v>
      </c>
      <c r="R767" t="s">
        <v>1054</v>
      </c>
    </row>
    <row r="768" spans="1:18" hidden="1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1054</v>
      </c>
    </row>
    <row r="769" spans="1:18" hidden="1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1067</v>
      </c>
      <c r="K769" s="68" t="s">
        <v>32</v>
      </c>
      <c r="Q769" t="s">
        <v>674</v>
      </c>
      <c r="R769" t="s">
        <v>1054</v>
      </c>
    </row>
    <row r="770" spans="1:18" hidden="1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1065</v>
      </c>
      <c r="K770" s="68" t="s">
        <v>32</v>
      </c>
      <c r="Q770" t="s">
        <v>674</v>
      </c>
      <c r="R770" t="s">
        <v>1054</v>
      </c>
    </row>
    <row r="771" spans="1:18" hidden="1" x14ac:dyDescent="0.25">
      <c r="A771" s="76" t="s">
        <v>631</v>
      </c>
      <c r="B771" s="76" t="s">
        <v>674</v>
      </c>
      <c r="C771" s="76">
        <v>2</v>
      </c>
      <c r="D771" s="76" t="s">
        <v>11</v>
      </c>
      <c r="E771" s="76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1094</v>
      </c>
      <c r="N771" s="77" t="s">
        <v>1033</v>
      </c>
      <c r="O771" s="77" t="s">
        <v>27</v>
      </c>
      <c r="P771" s="77">
        <v>10</v>
      </c>
      <c r="Q771" t="s">
        <v>674</v>
      </c>
      <c r="R771" t="s">
        <v>1054</v>
      </c>
    </row>
    <row r="772" spans="1:18" hidden="1" x14ac:dyDescent="0.25">
      <c r="A772" s="76" t="s">
        <v>631</v>
      </c>
      <c r="B772" s="76" t="s">
        <v>674</v>
      </c>
      <c r="C772" s="76">
        <v>2</v>
      </c>
      <c r="D772" s="76" t="s">
        <v>11</v>
      </c>
      <c r="E772" s="76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1094</v>
      </c>
      <c r="N772" s="77" t="s">
        <v>1033</v>
      </c>
      <c r="O772" s="77" t="s">
        <v>24</v>
      </c>
      <c r="P772" s="77">
        <v>10</v>
      </c>
      <c r="Q772" t="s">
        <v>674</v>
      </c>
      <c r="R772" t="s">
        <v>1054</v>
      </c>
    </row>
    <row r="773" spans="1:18" hidden="1" x14ac:dyDescent="0.25">
      <c r="A773" s="76" t="s">
        <v>631</v>
      </c>
      <c r="B773" s="76" t="s">
        <v>674</v>
      </c>
      <c r="C773" s="76">
        <v>2</v>
      </c>
      <c r="D773" s="76" t="s">
        <v>11</v>
      </c>
      <c r="E773" s="76" t="s">
        <v>1029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1094</v>
      </c>
      <c r="N773" s="77" t="s">
        <v>1033</v>
      </c>
      <c r="O773" s="77" t="s">
        <v>24</v>
      </c>
      <c r="P773" s="77">
        <v>10</v>
      </c>
      <c r="Q773" t="s">
        <v>674</v>
      </c>
      <c r="R773" t="s">
        <v>1054</v>
      </c>
    </row>
    <row r="774" spans="1:18" hidden="1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1063</v>
      </c>
      <c r="K774" s="68" t="s">
        <v>32</v>
      </c>
      <c r="L774" t="s">
        <v>1094</v>
      </c>
      <c r="Q774" t="s">
        <v>674</v>
      </c>
      <c r="R774" t="s">
        <v>1054</v>
      </c>
    </row>
    <row r="775" spans="1:18" hidden="1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1079</v>
      </c>
      <c r="K775" s="68" t="s">
        <v>32</v>
      </c>
      <c r="L775" t="s">
        <v>1094</v>
      </c>
      <c r="Q775" t="s">
        <v>674</v>
      </c>
      <c r="R775" t="s">
        <v>1054</v>
      </c>
    </row>
    <row r="776" spans="1:18" hidden="1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1063</v>
      </c>
      <c r="K776" s="68" t="s">
        <v>32</v>
      </c>
      <c r="L776" t="s">
        <v>1094</v>
      </c>
      <c r="Q776" t="s">
        <v>674</v>
      </c>
      <c r="R776" t="s">
        <v>1054</v>
      </c>
    </row>
    <row r="777" spans="1:18" hidden="1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1069</v>
      </c>
      <c r="K777" s="68" t="s">
        <v>32</v>
      </c>
      <c r="L777" t="s">
        <v>1094</v>
      </c>
      <c r="Q777" t="s">
        <v>674</v>
      </c>
      <c r="R777" t="s">
        <v>1054</v>
      </c>
    </row>
    <row r="778" spans="1:18" hidden="1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1073</v>
      </c>
      <c r="K778" s="68" t="s">
        <v>32</v>
      </c>
      <c r="L778" t="s">
        <v>1094</v>
      </c>
      <c r="Q778" t="s">
        <v>674</v>
      </c>
      <c r="R778" t="s">
        <v>1054</v>
      </c>
    </row>
    <row r="779" spans="1:18" hidden="1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1065</v>
      </c>
      <c r="K779" s="68" t="s">
        <v>32</v>
      </c>
      <c r="L779" t="s">
        <v>1094</v>
      </c>
      <c r="Q779" t="s">
        <v>674</v>
      </c>
      <c r="R779" t="s">
        <v>1054</v>
      </c>
    </row>
    <row r="780" spans="1:18" hidden="1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1079</v>
      </c>
      <c r="K780" s="68" t="s">
        <v>32</v>
      </c>
      <c r="Q780" t="s">
        <v>674</v>
      </c>
      <c r="R780" t="s">
        <v>1054</v>
      </c>
    </row>
    <row r="781" spans="1:18" hidden="1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1063</v>
      </c>
      <c r="K781" s="68" t="s">
        <v>32</v>
      </c>
      <c r="Q781" t="s">
        <v>674</v>
      </c>
      <c r="R781" t="s">
        <v>1054</v>
      </c>
    </row>
    <row r="782" spans="1:18" hidden="1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1081</v>
      </c>
      <c r="K782" s="68" t="s">
        <v>32</v>
      </c>
      <c r="Q782" t="s">
        <v>674</v>
      </c>
      <c r="R782" t="s">
        <v>1054</v>
      </c>
    </row>
    <row r="783" spans="1:18" hidden="1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1066</v>
      </c>
      <c r="K783" s="68" t="s">
        <v>32</v>
      </c>
      <c r="Q783" t="s">
        <v>674</v>
      </c>
      <c r="R783" t="s">
        <v>1054</v>
      </c>
    </row>
    <row r="784" spans="1:18" hidden="1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1054</v>
      </c>
    </row>
    <row r="785" spans="1:18" hidden="1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1078</v>
      </c>
      <c r="K785" s="68" t="s">
        <v>32</v>
      </c>
      <c r="Q785" t="s">
        <v>674</v>
      </c>
      <c r="R785" t="s">
        <v>1054</v>
      </c>
    </row>
    <row r="786" spans="1:18" hidden="1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1055</v>
      </c>
    </row>
    <row r="787" spans="1:18" hidden="1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1068</v>
      </c>
      <c r="K787" s="68" t="s">
        <v>32</v>
      </c>
      <c r="Q787" t="s">
        <v>675</v>
      </c>
      <c r="R787" t="s">
        <v>1055</v>
      </c>
    </row>
    <row r="788" spans="1:18" hidden="1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1059</v>
      </c>
      <c r="K788" s="68" t="s">
        <v>32</v>
      </c>
      <c r="Q788" t="s">
        <v>675</v>
      </c>
      <c r="R788" t="s">
        <v>1055</v>
      </c>
    </row>
    <row r="789" spans="1:18" hidden="1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1077</v>
      </c>
      <c r="K789" s="68" t="s">
        <v>32</v>
      </c>
      <c r="Q789" t="s">
        <v>675</v>
      </c>
      <c r="R789" t="s">
        <v>1055</v>
      </c>
    </row>
    <row r="790" spans="1:18" hidden="1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1055</v>
      </c>
    </row>
    <row r="791" spans="1:18" hidden="1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1067</v>
      </c>
      <c r="K791" s="68" t="s">
        <v>32</v>
      </c>
      <c r="Q791" t="s">
        <v>675</v>
      </c>
      <c r="R791" t="s">
        <v>1055</v>
      </c>
    </row>
    <row r="792" spans="1:18" hidden="1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1065</v>
      </c>
      <c r="K792" s="68" t="s">
        <v>32</v>
      </c>
      <c r="Q792" t="s">
        <v>675</v>
      </c>
      <c r="R792" t="s">
        <v>1055</v>
      </c>
    </row>
    <row r="793" spans="1:18" hidden="1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1094</v>
      </c>
      <c r="Q793" t="s">
        <v>675</v>
      </c>
      <c r="R793" t="s">
        <v>1055</v>
      </c>
    </row>
    <row r="794" spans="1:18" hidden="1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1068</v>
      </c>
      <c r="K794" s="68" t="s">
        <v>32</v>
      </c>
      <c r="L794" t="s">
        <v>1094</v>
      </c>
      <c r="Q794" t="s">
        <v>675</v>
      </c>
      <c r="R794" t="s">
        <v>1055</v>
      </c>
    </row>
    <row r="795" spans="1:18" hidden="1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1059</v>
      </c>
      <c r="K795" s="68" t="s">
        <v>32</v>
      </c>
      <c r="L795" t="s">
        <v>1094</v>
      </c>
      <c r="Q795" t="s">
        <v>675</v>
      </c>
      <c r="R795" t="s">
        <v>1055</v>
      </c>
    </row>
    <row r="796" spans="1:18" hidden="1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1077</v>
      </c>
      <c r="K796" s="68" t="s">
        <v>32</v>
      </c>
      <c r="L796" t="s">
        <v>1094</v>
      </c>
      <c r="Q796" t="s">
        <v>675</v>
      </c>
      <c r="R796" t="s">
        <v>1055</v>
      </c>
    </row>
    <row r="797" spans="1:18" hidden="1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1094</v>
      </c>
      <c r="Q797" t="s">
        <v>675</v>
      </c>
      <c r="R797" t="s">
        <v>1055</v>
      </c>
    </row>
    <row r="798" spans="1:18" hidden="1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1070</v>
      </c>
      <c r="K798" s="68" t="s">
        <v>32</v>
      </c>
      <c r="L798" t="s">
        <v>1094</v>
      </c>
      <c r="Q798" t="s">
        <v>675</v>
      </c>
      <c r="R798" t="s">
        <v>1055</v>
      </c>
    </row>
    <row r="799" spans="1:18" hidden="1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1065</v>
      </c>
      <c r="K799" s="68" t="s">
        <v>32</v>
      </c>
      <c r="L799" t="s">
        <v>1094</v>
      </c>
      <c r="Q799" t="s">
        <v>675</v>
      </c>
      <c r="R799" t="s">
        <v>1055</v>
      </c>
    </row>
    <row r="800" spans="1:18" hidden="1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1094</v>
      </c>
      <c r="Q800" t="s">
        <v>675</v>
      </c>
      <c r="R800" t="s">
        <v>1055</v>
      </c>
    </row>
    <row r="801" spans="1:18" hidden="1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1080</v>
      </c>
      <c r="K801" s="68" t="s">
        <v>32</v>
      </c>
      <c r="L801" t="s">
        <v>1094</v>
      </c>
      <c r="Q801" t="s">
        <v>675</v>
      </c>
      <c r="R801" t="s">
        <v>1055</v>
      </c>
    </row>
    <row r="802" spans="1:18" hidden="1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1073</v>
      </c>
      <c r="K802" s="68" t="s">
        <v>32</v>
      </c>
      <c r="L802" t="s">
        <v>1094</v>
      </c>
      <c r="Q802" t="s">
        <v>675</v>
      </c>
      <c r="R802" t="s">
        <v>1055</v>
      </c>
    </row>
    <row r="803" spans="1:18" hidden="1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1066</v>
      </c>
      <c r="K803" s="68" t="s">
        <v>32</v>
      </c>
      <c r="L803" t="s">
        <v>1094</v>
      </c>
      <c r="Q803" t="s">
        <v>675</v>
      </c>
      <c r="R803" t="s">
        <v>1055</v>
      </c>
    </row>
    <row r="804" spans="1:18" hidden="1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1079</v>
      </c>
      <c r="K804" s="68" t="s">
        <v>32</v>
      </c>
      <c r="Q804" t="s">
        <v>675</v>
      </c>
      <c r="R804" t="s">
        <v>1055</v>
      </c>
    </row>
    <row r="805" spans="1:18" hidden="1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1063</v>
      </c>
      <c r="K805" s="68" t="s">
        <v>32</v>
      </c>
      <c r="Q805" t="s">
        <v>675</v>
      </c>
      <c r="R805" t="s">
        <v>1055</v>
      </c>
    </row>
    <row r="806" spans="1:18" hidden="1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1066</v>
      </c>
      <c r="K806" s="68" t="s">
        <v>32</v>
      </c>
      <c r="Q806" t="s">
        <v>675</v>
      </c>
      <c r="R806" t="s">
        <v>1055</v>
      </c>
    </row>
    <row r="807" spans="1:18" hidden="1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1055</v>
      </c>
    </row>
    <row r="808" spans="1:18" hidden="1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1078</v>
      </c>
      <c r="K808" s="68" t="s">
        <v>32</v>
      </c>
      <c r="Q808" t="s">
        <v>675</v>
      </c>
      <c r="R808" t="s">
        <v>1055</v>
      </c>
    </row>
    <row r="809" spans="1:18" hidden="1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1056</v>
      </c>
    </row>
    <row r="810" spans="1:18" hidden="1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1068</v>
      </c>
      <c r="K810" s="68" t="s">
        <v>32</v>
      </c>
      <c r="Q810" t="s">
        <v>676</v>
      </c>
      <c r="R810" t="s">
        <v>1056</v>
      </c>
    </row>
    <row r="811" spans="1:18" hidden="1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1059</v>
      </c>
      <c r="K811" s="68" t="s">
        <v>32</v>
      </c>
      <c r="Q811" t="s">
        <v>676</v>
      </c>
      <c r="R811" t="s">
        <v>1056</v>
      </c>
    </row>
    <row r="812" spans="1:18" hidden="1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1077</v>
      </c>
      <c r="K812" s="68" t="s">
        <v>32</v>
      </c>
      <c r="Q812" t="s">
        <v>676</v>
      </c>
      <c r="R812" t="s">
        <v>1056</v>
      </c>
    </row>
    <row r="813" spans="1:18" hidden="1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1056</v>
      </c>
    </row>
    <row r="814" spans="1:18" hidden="1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1067</v>
      </c>
      <c r="K814" s="68" t="s">
        <v>32</v>
      </c>
      <c r="Q814" t="s">
        <v>676</v>
      </c>
      <c r="R814" t="s">
        <v>1056</v>
      </c>
    </row>
    <row r="815" spans="1:18" hidden="1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1065</v>
      </c>
      <c r="K815" s="68" t="s">
        <v>32</v>
      </c>
      <c r="Q815" t="s">
        <v>676</v>
      </c>
      <c r="R815" t="s">
        <v>1056</v>
      </c>
    </row>
    <row r="816" spans="1:18" hidden="1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1094</v>
      </c>
      <c r="Q816" t="s">
        <v>676</v>
      </c>
      <c r="R816" t="s">
        <v>1056</v>
      </c>
    </row>
    <row r="817" spans="1:18" hidden="1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1077</v>
      </c>
      <c r="K817" s="68" t="s">
        <v>32</v>
      </c>
      <c r="L817" t="s">
        <v>1094</v>
      </c>
      <c r="Q817" t="s">
        <v>676</v>
      </c>
      <c r="R817" t="s">
        <v>1056</v>
      </c>
    </row>
    <row r="818" spans="1:18" hidden="1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1094</v>
      </c>
      <c r="Q818" t="s">
        <v>676</v>
      </c>
      <c r="R818" t="s">
        <v>1056</v>
      </c>
    </row>
    <row r="819" spans="1:18" hidden="1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1065</v>
      </c>
      <c r="K819" s="68" t="s">
        <v>32</v>
      </c>
      <c r="L819" t="s">
        <v>1094</v>
      </c>
      <c r="Q819" t="s">
        <v>676</v>
      </c>
      <c r="R819" t="s">
        <v>1056</v>
      </c>
    </row>
    <row r="820" spans="1:18" hidden="1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1094</v>
      </c>
      <c r="Q820" t="s">
        <v>676</v>
      </c>
      <c r="R820" t="s">
        <v>1056</v>
      </c>
    </row>
    <row r="821" spans="1:18" hidden="1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1080</v>
      </c>
      <c r="K821" s="68" t="s">
        <v>32</v>
      </c>
      <c r="L821" t="s">
        <v>1094</v>
      </c>
      <c r="Q821" t="s">
        <v>676</v>
      </c>
      <c r="R821" t="s">
        <v>1056</v>
      </c>
    </row>
    <row r="822" spans="1:18" hidden="1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1073</v>
      </c>
      <c r="K822" s="68" t="s">
        <v>32</v>
      </c>
      <c r="L822" t="s">
        <v>1094</v>
      </c>
      <c r="Q822" t="s">
        <v>676</v>
      </c>
      <c r="R822" t="s">
        <v>1056</v>
      </c>
    </row>
    <row r="823" spans="1:18" hidden="1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1066</v>
      </c>
      <c r="K823" s="68" t="s">
        <v>32</v>
      </c>
      <c r="L823" t="s">
        <v>1094</v>
      </c>
      <c r="Q823" t="s">
        <v>676</v>
      </c>
      <c r="R823" t="s">
        <v>1056</v>
      </c>
    </row>
    <row r="824" spans="1:18" hidden="1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1079</v>
      </c>
      <c r="K824" s="68" t="s">
        <v>32</v>
      </c>
      <c r="Q824" t="s">
        <v>676</v>
      </c>
      <c r="R824" t="s">
        <v>1056</v>
      </c>
    </row>
    <row r="825" spans="1:18" hidden="1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1063</v>
      </c>
      <c r="K825" s="68" t="s">
        <v>32</v>
      </c>
      <c r="Q825" t="s">
        <v>676</v>
      </c>
      <c r="R825" t="s">
        <v>1056</v>
      </c>
    </row>
    <row r="826" spans="1:18" hidden="1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1066</v>
      </c>
      <c r="K826" s="68" t="s">
        <v>32</v>
      </c>
      <c r="Q826" t="s">
        <v>676</v>
      </c>
      <c r="R826" t="s">
        <v>1056</v>
      </c>
    </row>
    <row r="827" spans="1:18" hidden="1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1056</v>
      </c>
    </row>
    <row r="828" spans="1:18" hidden="1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1078</v>
      </c>
      <c r="K828" s="68" t="s">
        <v>32</v>
      </c>
      <c r="Q828" t="s">
        <v>676</v>
      </c>
      <c r="R828" t="s">
        <v>1056</v>
      </c>
    </row>
    <row r="829" spans="1:18" hidden="1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1094</v>
      </c>
      <c r="Q829" t="s">
        <v>667</v>
      </c>
      <c r="R829" t="s">
        <v>1049</v>
      </c>
    </row>
    <row r="830" spans="1:18" hidden="1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1078</v>
      </c>
      <c r="K830" s="3" t="s">
        <v>665</v>
      </c>
      <c r="L830" t="s">
        <v>1094</v>
      </c>
      <c r="Q830" t="s">
        <v>667</v>
      </c>
      <c r="R830" t="s">
        <v>1049</v>
      </c>
    </row>
    <row r="831" spans="1:18" hidden="1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1094</v>
      </c>
      <c r="Q831" t="s">
        <v>671</v>
      </c>
      <c r="R831" t="s">
        <v>1051</v>
      </c>
    </row>
    <row r="832" spans="1:18" hidden="1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1077</v>
      </c>
      <c r="K832" s="3" t="s">
        <v>665</v>
      </c>
      <c r="L832" t="s">
        <v>1094</v>
      </c>
      <c r="Q832" t="s">
        <v>671</v>
      </c>
      <c r="R832" t="s">
        <v>1051</v>
      </c>
    </row>
    <row r="833" spans="1:18" hidden="1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1094</v>
      </c>
      <c r="Q833" t="s">
        <v>671</v>
      </c>
      <c r="R833" t="s">
        <v>1051</v>
      </c>
    </row>
    <row r="834" spans="1:18" hidden="1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1075</v>
      </c>
      <c r="K834" s="3" t="s">
        <v>665</v>
      </c>
      <c r="L834" t="s">
        <v>1094</v>
      </c>
      <c r="Q834" t="s">
        <v>671</v>
      </c>
      <c r="R834" t="s">
        <v>1051</v>
      </c>
    </row>
    <row r="835" spans="1:18" hidden="1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1094</v>
      </c>
      <c r="Q835" t="s">
        <v>667</v>
      </c>
      <c r="R835" t="s">
        <v>1049</v>
      </c>
    </row>
    <row r="836" spans="1:18" hidden="1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1075</v>
      </c>
      <c r="K836" s="69" t="s">
        <v>447</v>
      </c>
      <c r="L836" t="s">
        <v>1094</v>
      </c>
      <c r="Q836" t="s">
        <v>667</v>
      </c>
      <c r="R836" t="s">
        <v>1049</v>
      </c>
    </row>
    <row r="837" spans="1:18" hidden="1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1065</v>
      </c>
      <c r="K837" s="69" t="s">
        <v>447</v>
      </c>
      <c r="L837" t="s">
        <v>1094</v>
      </c>
      <c r="Q837" t="s">
        <v>667</v>
      </c>
      <c r="R837" t="s">
        <v>1049</v>
      </c>
    </row>
    <row r="838" spans="1:18" hidden="1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1066</v>
      </c>
      <c r="K838" s="69" t="s">
        <v>447</v>
      </c>
      <c r="L838" t="s">
        <v>1094</v>
      </c>
      <c r="Q838" t="s">
        <v>667</v>
      </c>
      <c r="R838" t="s">
        <v>1049</v>
      </c>
    </row>
    <row r="839" spans="1:18" hidden="1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1094</v>
      </c>
      <c r="Q839" t="s">
        <v>667</v>
      </c>
      <c r="R839" t="s">
        <v>1049</v>
      </c>
    </row>
    <row r="840" spans="1:18" hidden="1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1077</v>
      </c>
      <c r="K840" s="69" t="s">
        <v>447</v>
      </c>
      <c r="L840" t="s">
        <v>1094</v>
      </c>
      <c r="Q840" t="s">
        <v>667</v>
      </c>
      <c r="R840" t="s">
        <v>1049</v>
      </c>
    </row>
    <row r="841" spans="1:18" hidden="1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1094</v>
      </c>
      <c r="Q841" t="s">
        <v>668</v>
      </c>
      <c r="R841" t="s">
        <v>1057</v>
      </c>
    </row>
    <row r="842" spans="1:18" hidden="1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1077</v>
      </c>
      <c r="K842" s="69" t="s">
        <v>447</v>
      </c>
      <c r="L842" t="s">
        <v>1094</v>
      </c>
      <c r="Q842" t="s">
        <v>668</v>
      </c>
      <c r="R842" t="s">
        <v>1057</v>
      </c>
    </row>
    <row r="843" spans="1:18" hidden="1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1078</v>
      </c>
      <c r="K843" s="69" t="s">
        <v>447</v>
      </c>
      <c r="L843" t="s">
        <v>1094</v>
      </c>
      <c r="Q843" t="s">
        <v>668</v>
      </c>
      <c r="R843" t="s">
        <v>1057</v>
      </c>
    </row>
    <row r="844" spans="1:18" hidden="1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1094</v>
      </c>
      <c r="Q844" t="s">
        <v>669</v>
      </c>
      <c r="R844" t="s">
        <v>1040</v>
      </c>
    </row>
    <row r="845" spans="1:18" hidden="1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1077</v>
      </c>
      <c r="K845" s="69" t="s">
        <v>447</v>
      </c>
      <c r="L845" t="s">
        <v>1094</v>
      </c>
      <c r="Q845" t="s">
        <v>669</v>
      </c>
      <c r="R845" t="s">
        <v>1040</v>
      </c>
    </row>
    <row r="846" spans="1:18" hidden="1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1094</v>
      </c>
      <c r="Q846" t="s">
        <v>669</v>
      </c>
      <c r="R846" t="s">
        <v>1040</v>
      </c>
    </row>
    <row r="847" spans="1:18" hidden="1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1075</v>
      </c>
      <c r="K847" s="69" t="s">
        <v>447</v>
      </c>
      <c r="L847" t="s">
        <v>1094</v>
      </c>
      <c r="Q847" t="s">
        <v>669</v>
      </c>
      <c r="R847" t="s">
        <v>1040</v>
      </c>
    </row>
    <row r="848" spans="1:18" hidden="1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1065</v>
      </c>
      <c r="K848" s="69" t="s">
        <v>447</v>
      </c>
      <c r="L848" t="s">
        <v>1094</v>
      </c>
      <c r="Q848" t="s">
        <v>669</v>
      </c>
      <c r="R848" t="s">
        <v>1040</v>
      </c>
    </row>
    <row r="849" spans="1:18" hidden="1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1066</v>
      </c>
      <c r="K849" s="69" t="s">
        <v>447</v>
      </c>
      <c r="L849" t="s">
        <v>1094</v>
      </c>
      <c r="Q849" t="s">
        <v>669</v>
      </c>
      <c r="R849" t="s">
        <v>1040</v>
      </c>
    </row>
    <row r="850" spans="1:18" hidden="1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1094</v>
      </c>
      <c r="Q850" t="s">
        <v>670</v>
      </c>
      <c r="R850" t="s">
        <v>1050</v>
      </c>
    </row>
    <row r="851" spans="1:18" hidden="1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1062</v>
      </c>
      <c r="K851" s="69" t="s">
        <v>447</v>
      </c>
      <c r="L851" t="s">
        <v>1094</v>
      </c>
      <c r="Q851" t="s">
        <v>670</v>
      </c>
      <c r="R851" t="s">
        <v>1050</v>
      </c>
    </row>
    <row r="852" spans="1:18" hidden="1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1078</v>
      </c>
      <c r="K852" s="69" t="s">
        <v>447</v>
      </c>
      <c r="L852" t="s">
        <v>1094</v>
      </c>
      <c r="Q852" t="s">
        <v>670</v>
      </c>
      <c r="R852" t="s">
        <v>1050</v>
      </c>
    </row>
    <row r="853" spans="1:18" hidden="1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1075</v>
      </c>
      <c r="K853" s="69" t="s">
        <v>447</v>
      </c>
      <c r="L853" t="s">
        <v>1094</v>
      </c>
      <c r="Q853" t="s">
        <v>670</v>
      </c>
      <c r="R853" t="s">
        <v>1050</v>
      </c>
    </row>
    <row r="854" spans="1:18" hidden="1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1094</v>
      </c>
      <c r="Q854" t="s">
        <v>671</v>
      </c>
      <c r="R854" t="s">
        <v>1051</v>
      </c>
    </row>
    <row r="855" spans="1:18" hidden="1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1077</v>
      </c>
      <c r="K855" s="69" t="s">
        <v>447</v>
      </c>
      <c r="L855" t="s">
        <v>1094</v>
      </c>
      <c r="Q855" t="s">
        <v>671</v>
      </c>
      <c r="R855" t="s">
        <v>1051</v>
      </c>
    </row>
    <row r="856" spans="1:18" hidden="1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1094</v>
      </c>
      <c r="Q856" t="s">
        <v>671</v>
      </c>
      <c r="R856" t="s">
        <v>1051</v>
      </c>
    </row>
    <row r="857" spans="1:18" hidden="1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1075</v>
      </c>
      <c r="K857" s="69" t="s">
        <v>447</v>
      </c>
      <c r="L857" t="s">
        <v>1094</v>
      </c>
      <c r="Q857" t="s">
        <v>671</v>
      </c>
      <c r="R857" t="s">
        <v>1051</v>
      </c>
    </row>
    <row r="858" spans="1:18" hidden="1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1094</v>
      </c>
      <c r="Q858" t="s">
        <v>672</v>
      </c>
      <c r="R858" t="s">
        <v>1052</v>
      </c>
    </row>
    <row r="859" spans="1:18" hidden="1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1077</v>
      </c>
      <c r="K859" s="69" t="s">
        <v>447</v>
      </c>
      <c r="L859" t="s">
        <v>1094</v>
      </c>
      <c r="Q859" t="s">
        <v>672</v>
      </c>
      <c r="R859" t="s">
        <v>1052</v>
      </c>
    </row>
    <row r="860" spans="1:18" hidden="1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1094</v>
      </c>
      <c r="Q860" t="s">
        <v>672</v>
      </c>
      <c r="R860" t="s">
        <v>1052</v>
      </c>
    </row>
    <row r="861" spans="1:18" hidden="1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1066</v>
      </c>
      <c r="K861" s="69" t="s">
        <v>447</v>
      </c>
      <c r="L861" t="s">
        <v>1094</v>
      </c>
      <c r="Q861" t="s">
        <v>672</v>
      </c>
      <c r="R861" t="s">
        <v>1052</v>
      </c>
    </row>
    <row r="862" spans="1:18" hidden="1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1094</v>
      </c>
      <c r="Q862" t="s">
        <v>672</v>
      </c>
      <c r="R862" t="s">
        <v>1052</v>
      </c>
    </row>
    <row r="863" spans="1:18" hidden="1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1077</v>
      </c>
      <c r="K863" s="69" t="s">
        <v>447</v>
      </c>
      <c r="L863" t="s">
        <v>1094</v>
      </c>
      <c r="Q863" t="s">
        <v>672</v>
      </c>
      <c r="R863" t="s">
        <v>1052</v>
      </c>
    </row>
    <row r="864" spans="1:18" hidden="1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1094</v>
      </c>
      <c r="Q864" t="s">
        <v>672</v>
      </c>
      <c r="R864" t="s">
        <v>1052</v>
      </c>
    </row>
    <row r="865" spans="1:18" hidden="1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1066</v>
      </c>
      <c r="K865" s="69" t="s">
        <v>447</v>
      </c>
      <c r="L865" t="s">
        <v>1094</v>
      </c>
      <c r="Q865" t="s">
        <v>672</v>
      </c>
      <c r="R865" t="s">
        <v>1052</v>
      </c>
    </row>
    <row r="866" spans="1:18" hidden="1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1094</v>
      </c>
      <c r="Q866" t="s">
        <v>672</v>
      </c>
      <c r="R866" t="s">
        <v>1052</v>
      </c>
    </row>
    <row r="867" spans="1:18" hidden="1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1077</v>
      </c>
      <c r="K867" s="69" t="s">
        <v>447</v>
      </c>
      <c r="L867" t="s">
        <v>1094</v>
      </c>
      <c r="Q867" t="s">
        <v>672</v>
      </c>
      <c r="R867" t="s">
        <v>1052</v>
      </c>
    </row>
    <row r="868" spans="1:18" hidden="1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1094</v>
      </c>
      <c r="Q868" t="s">
        <v>672</v>
      </c>
      <c r="R868" t="s">
        <v>1052</v>
      </c>
    </row>
    <row r="869" spans="1:18" hidden="1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1075</v>
      </c>
      <c r="K869" s="69" t="s">
        <v>447</v>
      </c>
      <c r="L869" t="s">
        <v>1094</v>
      </c>
      <c r="Q869" t="s">
        <v>672</v>
      </c>
      <c r="R869" t="s">
        <v>1052</v>
      </c>
    </row>
    <row r="870" spans="1:18" hidden="1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1068</v>
      </c>
      <c r="K870" s="69" t="s">
        <v>447</v>
      </c>
      <c r="L870" t="s">
        <v>1094</v>
      </c>
      <c r="Q870" t="s">
        <v>673</v>
      </c>
      <c r="R870" t="s">
        <v>1053</v>
      </c>
    </row>
    <row r="871" spans="1:18" hidden="1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1077</v>
      </c>
      <c r="K871" s="69" t="s">
        <v>447</v>
      </c>
      <c r="L871" t="s">
        <v>1094</v>
      </c>
      <c r="Q871" t="s">
        <v>673</v>
      </c>
      <c r="R871" t="s">
        <v>1053</v>
      </c>
    </row>
    <row r="872" spans="1:18" hidden="1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1070</v>
      </c>
      <c r="K872" s="69" t="s">
        <v>447</v>
      </c>
      <c r="L872" t="s">
        <v>1094</v>
      </c>
      <c r="Q872" t="s">
        <v>673</v>
      </c>
      <c r="R872" t="s">
        <v>1053</v>
      </c>
    </row>
    <row r="873" spans="1:18" hidden="1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1065</v>
      </c>
      <c r="K873" s="69" t="s">
        <v>447</v>
      </c>
      <c r="L873" t="s">
        <v>1094</v>
      </c>
      <c r="Q873" t="s">
        <v>673</v>
      </c>
      <c r="R873" t="s">
        <v>1053</v>
      </c>
    </row>
    <row r="874" spans="1:18" hidden="1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1059</v>
      </c>
      <c r="K874" s="69" t="s">
        <v>447</v>
      </c>
      <c r="L874" t="s">
        <v>1094</v>
      </c>
      <c r="Q874" t="s">
        <v>673</v>
      </c>
      <c r="R874" t="s">
        <v>1053</v>
      </c>
    </row>
    <row r="875" spans="1:18" hidden="1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1079</v>
      </c>
      <c r="K875" s="69" t="s">
        <v>447</v>
      </c>
      <c r="L875" t="s">
        <v>1094</v>
      </c>
      <c r="Q875" t="s">
        <v>673</v>
      </c>
      <c r="R875" t="s">
        <v>1053</v>
      </c>
    </row>
    <row r="876" spans="1:18" hidden="1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1063</v>
      </c>
      <c r="K876" s="69" t="s">
        <v>447</v>
      </c>
      <c r="L876" t="s">
        <v>1094</v>
      </c>
      <c r="Q876" t="s">
        <v>673</v>
      </c>
      <c r="R876" t="s">
        <v>1053</v>
      </c>
    </row>
    <row r="877" spans="1:18" hidden="1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1069</v>
      </c>
      <c r="K877" s="69" t="s">
        <v>447</v>
      </c>
      <c r="L877" t="s">
        <v>1094</v>
      </c>
      <c r="Q877" t="s">
        <v>673</v>
      </c>
      <c r="R877" t="s">
        <v>1053</v>
      </c>
    </row>
    <row r="878" spans="1:18" hidden="1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1073</v>
      </c>
      <c r="K878" s="69" t="s">
        <v>447</v>
      </c>
      <c r="L878" t="s">
        <v>1094</v>
      </c>
      <c r="Q878" t="s">
        <v>673</v>
      </c>
      <c r="R878" t="s">
        <v>1053</v>
      </c>
    </row>
    <row r="879" spans="1:18" hidden="1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1065</v>
      </c>
      <c r="K879" s="69" t="s">
        <v>447</v>
      </c>
      <c r="L879" t="s">
        <v>1094</v>
      </c>
      <c r="Q879" t="s">
        <v>673</v>
      </c>
      <c r="R879" t="s">
        <v>1053</v>
      </c>
    </row>
    <row r="880" spans="1:18" hidden="1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1077</v>
      </c>
      <c r="K880" s="69" t="s">
        <v>447</v>
      </c>
      <c r="L880" t="s">
        <v>1094</v>
      </c>
      <c r="Q880" t="s">
        <v>674</v>
      </c>
      <c r="R880" t="s">
        <v>1054</v>
      </c>
    </row>
    <row r="881" spans="1:18" hidden="1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1065</v>
      </c>
      <c r="K881" s="69" t="s">
        <v>447</v>
      </c>
      <c r="L881" t="s">
        <v>1094</v>
      </c>
      <c r="Q881" t="s">
        <v>674</v>
      </c>
      <c r="R881" t="s">
        <v>1054</v>
      </c>
    </row>
    <row r="882" spans="1:18" hidden="1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1059</v>
      </c>
      <c r="K882" s="69" t="s">
        <v>447</v>
      </c>
      <c r="L882" t="s">
        <v>1094</v>
      </c>
      <c r="Q882" t="s">
        <v>674</v>
      </c>
      <c r="R882" t="s">
        <v>1054</v>
      </c>
    </row>
    <row r="883" spans="1:18" hidden="1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1079</v>
      </c>
      <c r="K883" s="69" t="s">
        <v>447</v>
      </c>
      <c r="L883" t="s">
        <v>1094</v>
      </c>
      <c r="Q883" t="s">
        <v>674</v>
      </c>
      <c r="R883" t="s">
        <v>1054</v>
      </c>
    </row>
    <row r="884" spans="1:18" hidden="1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1063</v>
      </c>
      <c r="K884" s="69" t="s">
        <v>447</v>
      </c>
      <c r="L884" t="s">
        <v>1094</v>
      </c>
      <c r="Q884" t="s">
        <v>674</v>
      </c>
      <c r="R884" t="s">
        <v>1054</v>
      </c>
    </row>
    <row r="885" spans="1:18" hidden="1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1069</v>
      </c>
      <c r="K885" s="69" t="s">
        <v>447</v>
      </c>
      <c r="L885" t="s">
        <v>1094</v>
      </c>
      <c r="Q885" t="s">
        <v>674</v>
      </c>
      <c r="R885" t="s">
        <v>1054</v>
      </c>
    </row>
    <row r="886" spans="1:18" hidden="1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1073</v>
      </c>
      <c r="K886" s="69" t="s">
        <v>447</v>
      </c>
      <c r="L886" t="s">
        <v>1094</v>
      </c>
      <c r="Q886" t="s">
        <v>674</v>
      </c>
      <c r="R886" t="s">
        <v>1054</v>
      </c>
    </row>
    <row r="887" spans="1:18" hidden="1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1065</v>
      </c>
      <c r="K887" s="69" t="s">
        <v>447</v>
      </c>
      <c r="L887" t="s">
        <v>1094</v>
      </c>
      <c r="Q887" t="s">
        <v>674</v>
      </c>
      <c r="R887" t="s">
        <v>1054</v>
      </c>
    </row>
    <row r="888" spans="1:18" hidden="1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1094</v>
      </c>
      <c r="Q888" t="s">
        <v>675</v>
      </c>
      <c r="R888" t="s">
        <v>1055</v>
      </c>
    </row>
    <row r="889" spans="1:18" hidden="1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1064</v>
      </c>
      <c r="K889" s="69" t="s">
        <v>447</v>
      </c>
      <c r="L889" t="s">
        <v>1094</v>
      </c>
      <c r="Q889" t="s">
        <v>675</v>
      </c>
      <c r="R889" t="s">
        <v>1055</v>
      </c>
    </row>
    <row r="890" spans="1:18" hidden="1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1073</v>
      </c>
      <c r="K890" s="69" t="s">
        <v>447</v>
      </c>
      <c r="L890" t="s">
        <v>1094</v>
      </c>
      <c r="Q890" t="s">
        <v>675</v>
      </c>
      <c r="R890" t="s">
        <v>1055</v>
      </c>
    </row>
    <row r="891" spans="1:18" hidden="1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1066</v>
      </c>
      <c r="K891" s="69" t="s">
        <v>447</v>
      </c>
      <c r="L891" t="s">
        <v>1094</v>
      </c>
      <c r="Q891" t="s">
        <v>675</v>
      </c>
      <c r="R891" t="s">
        <v>1055</v>
      </c>
    </row>
    <row r="892" spans="1:18" hidden="1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1094</v>
      </c>
      <c r="Q892" t="s">
        <v>676</v>
      </c>
      <c r="R892" t="s">
        <v>1056</v>
      </c>
    </row>
    <row r="893" spans="1:18" hidden="1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1064</v>
      </c>
      <c r="K893" s="69" t="s">
        <v>447</v>
      </c>
      <c r="L893" t="s">
        <v>1094</v>
      </c>
      <c r="Q893" t="s">
        <v>676</v>
      </c>
      <c r="R893" t="s">
        <v>1056</v>
      </c>
    </row>
    <row r="894" spans="1:18" hidden="1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1073</v>
      </c>
      <c r="K894" s="69" t="s">
        <v>447</v>
      </c>
      <c r="L894" t="s">
        <v>1094</v>
      </c>
      <c r="Q894" t="s">
        <v>676</v>
      </c>
      <c r="R894" t="s">
        <v>1056</v>
      </c>
    </row>
    <row r="895" spans="1:18" hidden="1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1066</v>
      </c>
      <c r="K895" s="69" t="s">
        <v>447</v>
      </c>
      <c r="L895" t="s">
        <v>1094</v>
      </c>
      <c r="Q895" t="s">
        <v>676</v>
      </c>
      <c r="R895" t="s">
        <v>1056</v>
      </c>
    </row>
    <row r="896" spans="1:18" hidden="1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hidden="1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hidden="1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hidden="1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hidden="1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hidden="1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hidden="1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hidden="1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hidden="1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hidden="1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hidden="1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hidden="1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hidden="1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hidden="1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hidden="1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hidden="1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hidden="1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hidden="1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hidden="1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hidden="1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hidden="1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hidden="1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hidden="1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hidden="1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hidden="1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hidden="1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hidden="1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hidden="1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hidden="1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hidden="1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hidden="1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hidden="1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hidden="1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hidden="1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hidden="1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hidden="1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hidden="1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hidden="1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hidden="1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hidden="1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hidden="1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hidden="1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hidden="1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hidden="1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hidden="1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hidden="1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hidden="1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hidden="1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hidden="1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hidden="1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hidden="1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hidden="1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hidden="1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hidden="1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hidden="1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hidden="1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hidden="1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hidden="1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hidden="1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hidden="1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hidden="1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hidden="1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hidden="1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hidden="1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hidden="1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hidden="1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hidden="1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hidden="1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hidden="1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hidden="1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hidden="1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hidden="1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hidden="1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hidden="1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hidden="1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hidden="1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hidden="1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hidden="1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hidden="1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hidden="1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hidden="1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hidden="1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hidden="1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hidden="1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hidden="1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hidden="1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hidden="1" x14ac:dyDescent="0.25">
      <c r="A982" t="s">
        <v>1027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hidden="1" x14ac:dyDescent="0.25">
      <c r="A983" t="s">
        <v>1027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hidden="1" x14ac:dyDescent="0.25">
      <c r="A984" t="s">
        <v>1027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hidden="1" x14ac:dyDescent="0.25">
      <c r="A985" t="s">
        <v>1027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hidden="1" x14ac:dyDescent="0.25">
      <c r="A986" t="s">
        <v>1027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hidden="1" x14ac:dyDescent="0.25">
      <c r="A987" t="s">
        <v>1027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hidden="1" x14ac:dyDescent="0.25">
      <c r="A988" t="s">
        <v>1027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hidden="1" x14ac:dyDescent="0.25">
      <c r="A989" t="s">
        <v>1027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hidden="1" x14ac:dyDescent="0.25">
      <c r="A990" t="s">
        <v>1027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hidden="1" x14ac:dyDescent="0.25">
      <c r="A991" t="s">
        <v>1027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hidden="1" x14ac:dyDescent="0.25">
      <c r="A992" t="s">
        <v>1027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hidden="1" x14ac:dyDescent="0.25">
      <c r="A993" t="s">
        <v>1027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hidden="1" x14ac:dyDescent="0.25">
      <c r="A994" t="s">
        <v>1027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hidden="1" x14ac:dyDescent="0.25">
      <c r="A995" t="s">
        <v>1027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hidden="1" x14ac:dyDescent="0.25">
      <c r="A996" t="s">
        <v>1027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hidden="1" x14ac:dyDescent="0.25">
      <c r="A997" t="s">
        <v>1027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hidden="1" x14ac:dyDescent="0.25">
      <c r="A998" t="s">
        <v>1027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hidden="1" x14ac:dyDescent="0.25">
      <c r="A999" t="s">
        <v>1027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hidden="1" x14ac:dyDescent="0.25">
      <c r="A1000" t="s">
        <v>1027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hidden="1" x14ac:dyDescent="0.25">
      <c r="A1001" t="s">
        <v>1027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hidden="1" x14ac:dyDescent="0.25">
      <c r="A1002" t="s">
        <v>1027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hidden="1" x14ac:dyDescent="0.25">
      <c r="A1003" t="s">
        <v>1027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hidden="1" x14ac:dyDescent="0.25">
      <c r="A1004" t="s">
        <v>1027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hidden="1" x14ac:dyDescent="0.25">
      <c r="A1005" t="s">
        <v>1027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hidden="1" x14ac:dyDescent="0.25">
      <c r="A1006" t="s">
        <v>1027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hidden="1" x14ac:dyDescent="0.25">
      <c r="A1007" t="s">
        <v>1027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hidden="1" x14ac:dyDescent="0.25">
      <c r="A1008" t="s">
        <v>1027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hidden="1" x14ac:dyDescent="0.25">
      <c r="A1009" t="s">
        <v>1027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hidden="1" x14ac:dyDescent="0.25">
      <c r="A1010" t="s">
        <v>1027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hidden="1" x14ac:dyDescent="0.25">
      <c r="A1011" t="s">
        <v>1027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hidden="1" x14ac:dyDescent="0.25">
      <c r="A1012" t="s">
        <v>1027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hidden="1" x14ac:dyDescent="0.25">
      <c r="A1013" t="s">
        <v>1027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hidden="1" x14ac:dyDescent="0.25">
      <c r="A1014" t="s">
        <v>1027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hidden="1" x14ac:dyDescent="0.25">
      <c r="A1015" t="s">
        <v>1027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hidden="1" x14ac:dyDescent="0.25">
      <c r="A1016" t="s">
        <v>1027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hidden="1" x14ac:dyDescent="0.25">
      <c r="A1017" t="s">
        <v>1027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hidden="1" x14ac:dyDescent="0.25">
      <c r="A1018" t="s">
        <v>1027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hidden="1" x14ac:dyDescent="0.25">
      <c r="A1019" t="s">
        <v>1027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hidden="1" x14ac:dyDescent="0.25">
      <c r="A1020" t="s">
        <v>1027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hidden="1" x14ac:dyDescent="0.25">
      <c r="A1021" t="s">
        <v>1027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hidden="1" x14ac:dyDescent="0.25">
      <c r="A1022" t="s">
        <v>1027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hidden="1" x14ac:dyDescent="0.25">
      <c r="A1023" t="s">
        <v>1027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hidden="1" x14ac:dyDescent="0.25">
      <c r="A1024" t="s">
        <v>1027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hidden="1" x14ac:dyDescent="0.25">
      <c r="A1025" t="s">
        <v>1027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hidden="1" x14ac:dyDescent="0.25">
      <c r="A1026" t="s">
        <v>1027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hidden="1" x14ac:dyDescent="0.25">
      <c r="A1027" t="s">
        <v>1027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hidden="1" x14ac:dyDescent="0.25">
      <c r="A1028" t="s">
        <v>1027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hidden="1" x14ac:dyDescent="0.25">
      <c r="A1029" t="s">
        <v>1027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hidden="1" x14ac:dyDescent="0.25">
      <c r="A1030" t="s">
        <v>1027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hidden="1" x14ac:dyDescent="0.25">
      <c r="A1031" t="s">
        <v>1027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hidden="1" x14ac:dyDescent="0.25">
      <c r="A1032" t="s">
        <v>1027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hidden="1" x14ac:dyDescent="0.25">
      <c r="A1033" t="s">
        <v>1027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hidden="1" x14ac:dyDescent="0.25">
      <c r="A1034" t="s">
        <v>1027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hidden="1" x14ac:dyDescent="0.25">
      <c r="A1035" t="s">
        <v>1027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hidden="1" x14ac:dyDescent="0.25">
      <c r="A1036" t="s">
        <v>1027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hidden="1" x14ac:dyDescent="0.25">
      <c r="A1037" t="s">
        <v>1027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hidden="1" x14ac:dyDescent="0.25">
      <c r="A1038" t="s">
        <v>1027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hidden="1" x14ac:dyDescent="0.25">
      <c r="A1039" t="s">
        <v>1027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hidden="1" x14ac:dyDescent="0.25">
      <c r="A1040" t="s">
        <v>1027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hidden="1" x14ac:dyDescent="0.25">
      <c r="A1041" t="s">
        <v>1027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hidden="1" x14ac:dyDescent="0.25">
      <c r="A1042" t="s">
        <v>1027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hidden="1" x14ac:dyDescent="0.25">
      <c r="A1043" t="s">
        <v>1027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hidden="1" x14ac:dyDescent="0.25">
      <c r="A1044" t="s">
        <v>1027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hidden="1" x14ac:dyDescent="0.25">
      <c r="A1045" t="s">
        <v>1027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hidden="1" x14ac:dyDescent="0.25">
      <c r="A1046" t="s">
        <v>1027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hidden="1" x14ac:dyDescent="0.25">
      <c r="A1047" t="s">
        <v>1027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hidden="1" x14ac:dyDescent="0.25">
      <c r="A1048" t="s">
        <v>1027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hidden="1" x14ac:dyDescent="0.25">
      <c r="A1049" t="s">
        <v>1027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hidden="1" x14ac:dyDescent="0.25">
      <c r="A1050" t="s">
        <v>1027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hidden="1" x14ac:dyDescent="0.25">
      <c r="A1051" t="s">
        <v>1027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hidden="1" x14ac:dyDescent="0.25">
      <c r="A1052" t="s">
        <v>1027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hidden="1" x14ac:dyDescent="0.25">
      <c r="A1053" t="s">
        <v>1027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hidden="1" x14ac:dyDescent="0.25">
      <c r="A1054" t="s">
        <v>1027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hidden="1" x14ac:dyDescent="0.25">
      <c r="A1055" t="s">
        <v>1027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hidden="1" x14ac:dyDescent="0.25">
      <c r="A1056" t="s">
        <v>1027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hidden="1" x14ac:dyDescent="0.25">
      <c r="A1057" t="s">
        <v>1027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hidden="1" x14ac:dyDescent="0.25">
      <c r="A1058" t="s">
        <v>1027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hidden="1" x14ac:dyDescent="0.25">
      <c r="A1059" t="s">
        <v>1027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hidden="1" x14ac:dyDescent="0.25">
      <c r="A1060" t="s">
        <v>1027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hidden="1" x14ac:dyDescent="0.25">
      <c r="A1061" t="s">
        <v>1027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hidden="1" x14ac:dyDescent="0.25">
      <c r="A1062" t="s">
        <v>1027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hidden="1" x14ac:dyDescent="0.25">
      <c r="A1063" t="s">
        <v>1027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hidden="1" x14ac:dyDescent="0.25">
      <c r="A1064" t="s">
        <v>1027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hidden="1" x14ac:dyDescent="0.25">
      <c r="A1065" t="s">
        <v>1027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hidden="1" x14ac:dyDescent="0.25">
      <c r="A1066" t="s">
        <v>1027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hidden="1" x14ac:dyDescent="0.25">
      <c r="A1067" t="s">
        <v>1027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hidden="1" x14ac:dyDescent="0.25">
      <c r="A1068" t="s">
        <v>1027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hidden="1" x14ac:dyDescent="0.25">
      <c r="A1069" t="s">
        <v>1027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hidden="1" x14ac:dyDescent="0.25">
      <c r="A1070" t="s">
        <v>1027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hidden="1" x14ac:dyDescent="0.25">
      <c r="A1071" t="s">
        <v>1027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hidden="1" x14ac:dyDescent="0.25">
      <c r="A1072" t="s">
        <v>1027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hidden="1" x14ac:dyDescent="0.25">
      <c r="A1073" t="s">
        <v>1027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hidden="1" x14ac:dyDescent="0.25">
      <c r="A1074" t="s">
        <v>1027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hidden="1" x14ac:dyDescent="0.25">
      <c r="A1075" t="s">
        <v>1027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hidden="1" x14ac:dyDescent="0.25">
      <c r="A1076" t="s">
        <v>1027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hidden="1" x14ac:dyDescent="0.25">
      <c r="A1077" t="s">
        <v>1027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hidden="1" x14ac:dyDescent="0.25">
      <c r="A1078" t="s">
        <v>1027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hidden="1" x14ac:dyDescent="0.25">
      <c r="A1079" t="s">
        <v>1027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hidden="1" x14ac:dyDescent="0.25">
      <c r="A1080" t="s">
        <v>1027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hidden="1" x14ac:dyDescent="0.25">
      <c r="A1081" t="s">
        <v>1027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hidden="1" x14ac:dyDescent="0.25">
      <c r="A1082" t="s">
        <v>1027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hidden="1" x14ac:dyDescent="0.25">
      <c r="A1083" t="s">
        <v>1027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hidden="1" x14ac:dyDescent="0.25">
      <c r="A1084" t="s">
        <v>1027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hidden="1" x14ac:dyDescent="0.25">
      <c r="A1085" t="s">
        <v>1027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hidden="1" x14ac:dyDescent="0.25">
      <c r="A1086" t="s">
        <v>1027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hidden="1" x14ac:dyDescent="0.25">
      <c r="A1087" t="s">
        <v>1027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hidden="1" x14ac:dyDescent="0.25">
      <c r="A1088" t="s">
        <v>1027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hidden="1" x14ac:dyDescent="0.25">
      <c r="A1089" t="s">
        <v>1027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hidden="1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hidden="1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hidden="1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hidden="1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hidden="1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hidden="1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hidden="1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hidden="1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hidden="1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hidden="1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hidden="1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hidden="1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hidden="1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hidden="1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hidden="1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hidden="1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hidden="1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hidden="1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hidden="1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hidden="1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hidden="1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hidden="1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hidden="1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hidden="1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hidden="1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hidden="1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hidden="1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hidden="1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hidden="1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hidden="1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hidden="1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hidden="1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hidden="1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hidden="1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hidden="1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hidden="1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hidden="1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hidden="1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hidden="1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hidden="1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hidden="1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hidden="1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hidden="1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hidden="1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hidden="1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hidden="1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hidden="1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hidden="1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hidden="1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hidden="1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hidden="1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hidden="1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hidden="1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hidden="1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hidden="1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hidden="1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hidden="1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hidden="1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hidden="1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hidden="1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hidden="1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hidden="1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hidden="1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hidden="1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hidden="1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hidden="1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hidden="1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hidden="1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hidden="1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hidden="1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hidden="1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hidden="1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hidden="1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hidden="1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hidden="1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hidden="1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hidden="1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hidden="1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hidden="1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hidden="1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hidden="1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hidden="1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hidden="1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hidden="1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hidden="1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hidden="1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hidden="1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hidden="1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hidden="1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hidden="1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hidden="1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hidden="1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hidden="1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hidden="1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hidden="1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hidden="1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hidden="1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hidden="1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hidden="1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hidden="1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hidden="1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hidden="1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hidden="1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hidden="1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hidden="1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hidden="1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hidden="1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hidden="1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hidden="1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hidden="1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hidden="1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hidden="1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hidden="1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hidden="1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hidden="1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hidden="1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hidden="1" x14ac:dyDescent="0.25">
      <c r="A1206" t="s">
        <v>996</v>
      </c>
      <c r="B1206" t="s">
        <v>997</v>
      </c>
      <c r="C1206">
        <v>2</v>
      </c>
      <c r="D1206" t="s">
        <v>903</v>
      </c>
      <c r="E1206" t="s">
        <v>910</v>
      </c>
      <c r="F1206" t="s">
        <v>25</v>
      </c>
      <c r="G1206">
        <v>4</v>
      </c>
      <c r="H1206">
        <v>9</v>
      </c>
      <c r="I1206" t="b">
        <v>1</v>
      </c>
      <c r="J1206" t="s">
        <v>905</v>
      </c>
      <c r="K1206" t="s">
        <v>32</v>
      </c>
      <c r="Q1206" t="s">
        <v>997</v>
      </c>
      <c r="R1206" t="s">
        <v>997</v>
      </c>
    </row>
    <row r="1207" spans="1:18" hidden="1" x14ac:dyDescent="0.25">
      <c r="A1207" t="s">
        <v>996</v>
      </c>
      <c r="B1207" t="s">
        <v>997</v>
      </c>
      <c r="C1207">
        <v>2</v>
      </c>
      <c r="D1207" t="s">
        <v>983</v>
      </c>
      <c r="E1207" t="s">
        <v>963</v>
      </c>
      <c r="F1207" t="s">
        <v>25</v>
      </c>
      <c r="G1207">
        <v>2</v>
      </c>
      <c r="H1207">
        <v>7</v>
      </c>
      <c r="I1207" t="b">
        <v>1</v>
      </c>
      <c r="J1207" t="s">
        <v>985</v>
      </c>
      <c r="K1207" t="s">
        <v>32</v>
      </c>
      <c r="Q1207" t="s">
        <v>997</v>
      </c>
      <c r="R1207" t="s">
        <v>997</v>
      </c>
    </row>
    <row r="1208" spans="1:18" hidden="1" x14ac:dyDescent="0.25">
      <c r="A1208" t="s">
        <v>996</v>
      </c>
      <c r="B1208" t="s">
        <v>997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997</v>
      </c>
      <c r="R1208" t="s">
        <v>997</v>
      </c>
    </row>
    <row r="1209" spans="1:18" hidden="1" x14ac:dyDescent="0.25">
      <c r="A1209" t="s">
        <v>996</v>
      </c>
      <c r="B1209" t="s">
        <v>997</v>
      </c>
      <c r="C1209">
        <v>2</v>
      </c>
      <c r="D1209" t="s">
        <v>909</v>
      </c>
      <c r="E1209" t="s">
        <v>916</v>
      </c>
      <c r="F1209" t="s">
        <v>24</v>
      </c>
      <c r="G1209">
        <v>3</v>
      </c>
      <c r="H1209">
        <v>7</v>
      </c>
      <c r="I1209" t="b">
        <v>1</v>
      </c>
      <c r="J1209" t="s">
        <v>911</v>
      </c>
      <c r="K1209" t="s">
        <v>32</v>
      </c>
      <c r="Q1209" t="s">
        <v>997</v>
      </c>
      <c r="R1209" t="s">
        <v>997</v>
      </c>
    </row>
    <row r="1210" spans="1:18" hidden="1" x14ac:dyDescent="0.25">
      <c r="A1210" t="s">
        <v>996</v>
      </c>
      <c r="B1210" t="s">
        <v>997</v>
      </c>
      <c r="C1210">
        <v>2</v>
      </c>
      <c r="D1210" t="s">
        <v>912</v>
      </c>
      <c r="E1210" t="s">
        <v>972</v>
      </c>
      <c r="F1210" t="s">
        <v>24</v>
      </c>
      <c r="G1210">
        <v>6</v>
      </c>
      <c r="H1210">
        <v>12</v>
      </c>
      <c r="I1210" t="b">
        <v>1</v>
      </c>
      <c r="J1210" t="s">
        <v>914</v>
      </c>
      <c r="K1210" t="s">
        <v>32</v>
      </c>
      <c r="Q1210" t="s">
        <v>997</v>
      </c>
      <c r="R1210" t="s">
        <v>997</v>
      </c>
    </row>
    <row r="1211" spans="1:18" hidden="1" x14ac:dyDescent="0.25">
      <c r="A1211" t="s">
        <v>996</v>
      </c>
      <c r="B1211" t="s">
        <v>997</v>
      </c>
      <c r="C1211">
        <v>2</v>
      </c>
      <c r="D1211" t="s">
        <v>915</v>
      </c>
      <c r="E1211" t="s">
        <v>963</v>
      </c>
      <c r="F1211" t="s">
        <v>25</v>
      </c>
      <c r="G1211">
        <v>2</v>
      </c>
      <c r="H1211">
        <v>7</v>
      </c>
      <c r="I1211" t="b">
        <v>1</v>
      </c>
      <c r="J1211" t="s">
        <v>917</v>
      </c>
      <c r="K1211" t="s">
        <v>32</v>
      </c>
      <c r="Q1211" t="s">
        <v>997</v>
      </c>
      <c r="R1211" t="s">
        <v>997</v>
      </c>
    </row>
    <row r="1212" spans="1:18" hidden="1" x14ac:dyDescent="0.25">
      <c r="A1212" t="s">
        <v>996</v>
      </c>
      <c r="B1212" t="s">
        <v>997</v>
      </c>
      <c r="C1212">
        <v>2</v>
      </c>
      <c r="D1212" t="s">
        <v>918</v>
      </c>
      <c r="E1212" t="s">
        <v>916</v>
      </c>
      <c r="F1212" t="s">
        <v>24</v>
      </c>
      <c r="G1212">
        <v>3</v>
      </c>
      <c r="H1212">
        <v>7</v>
      </c>
      <c r="I1212" t="b">
        <v>1</v>
      </c>
      <c r="J1212" t="s">
        <v>920</v>
      </c>
      <c r="K1212" t="s">
        <v>32</v>
      </c>
      <c r="Q1212" t="s">
        <v>997</v>
      </c>
      <c r="R1212" t="s">
        <v>997</v>
      </c>
    </row>
    <row r="1213" spans="1:18" hidden="1" x14ac:dyDescent="0.25">
      <c r="A1213" t="s">
        <v>996</v>
      </c>
      <c r="B1213" t="s">
        <v>997</v>
      </c>
      <c r="C1213">
        <v>2</v>
      </c>
      <c r="D1213" t="s">
        <v>407</v>
      </c>
      <c r="E1213" t="s">
        <v>986</v>
      </c>
      <c r="F1213" t="s">
        <v>27</v>
      </c>
      <c r="G1213">
        <v>1</v>
      </c>
      <c r="H1213">
        <v>2</v>
      </c>
      <c r="I1213" t="b">
        <v>0</v>
      </c>
      <c r="J1213" t="s">
        <v>748</v>
      </c>
      <c r="K1213" t="s">
        <v>32</v>
      </c>
      <c r="Q1213" t="s">
        <v>997</v>
      </c>
      <c r="R1213" t="s">
        <v>997</v>
      </c>
    </row>
    <row r="1214" spans="1:18" hidden="1" x14ac:dyDescent="0.25">
      <c r="A1214" t="s">
        <v>996</v>
      </c>
      <c r="B1214" t="s">
        <v>997</v>
      </c>
      <c r="C1214">
        <v>2</v>
      </c>
      <c r="D1214" t="s">
        <v>924</v>
      </c>
      <c r="E1214" t="s">
        <v>998</v>
      </c>
      <c r="F1214" t="s">
        <v>26</v>
      </c>
      <c r="G1214">
        <v>15</v>
      </c>
      <c r="H1214">
        <v>25</v>
      </c>
      <c r="I1214" t="b">
        <v>0</v>
      </c>
      <c r="J1214" t="s">
        <v>926</v>
      </c>
      <c r="K1214" t="s">
        <v>32</v>
      </c>
      <c r="Q1214" t="s">
        <v>997</v>
      </c>
      <c r="R1214" t="s">
        <v>997</v>
      </c>
    </row>
    <row r="1215" spans="1:18" hidden="1" x14ac:dyDescent="0.25">
      <c r="A1215" t="s">
        <v>996</v>
      </c>
      <c r="B1215" t="s">
        <v>997</v>
      </c>
      <c r="C1215">
        <v>2</v>
      </c>
      <c r="D1215" t="s">
        <v>927</v>
      </c>
      <c r="E1215" t="s">
        <v>999</v>
      </c>
      <c r="F1215" t="s">
        <v>27</v>
      </c>
      <c r="G1215">
        <v>11</v>
      </c>
      <c r="H1215">
        <v>20</v>
      </c>
      <c r="I1215" t="b">
        <v>0</v>
      </c>
      <c r="J1215" t="s">
        <v>929</v>
      </c>
      <c r="K1215" t="s">
        <v>32</v>
      </c>
      <c r="Q1215" t="s">
        <v>997</v>
      </c>
      <c r="R1215" t="s">
        <v>997</v>
      </c>
    </row>
    <row r="1216" spans="1:18" hidden="1" x14ac:dyDescent="0.25">
      <c r="A1216" t="s">
        <v>996</v>
      </c>
      <c r="B1216" t="s">
        <v>997</v>
      </c>
      <c r="C1216">
        <v>2</v>
      </c>
      <c r="D1216" t="s">
        <v>342</v>
      </c>
      <c r="E1216" t="s">
        <v>1000</v>
      </c>
      <c r="F1216" t="s">
        <v>25</v>
      </c>
      <c r="G1216">
        <v>4.3</v>
      </c>
      <c r="H1216">
        <v>4.8</v>
      </c>
      <c r="I1216" t="b">
        <v>1</v>
      </c>
      <c r="J1216" t="s">
        <v>343</v>
      </c>
      <c r="K1216" t="s">
        <v>32</v>
      </c>
      <c r="Q1216" t="s">
        <v>997</v>
      </c>
      <c r="R1216" t="s">
        <v>997</v>
      </c>
    </row>
    <row r="1217" spans="1:18" hidden="1" x14ac:dyDescent="0.25">
      <c r="A1217" t="s">
        <v>996</v>
      </c>
      <c r="B1217" t="s">
        <v>997</v>
      </c>
      <c r="C1217">
        <v>2</v>
      </c>
      <c r="D1217" t="s">
        <v>11</v>
      </c>
      <c r="E1217" t="s">
        <v>1001</v>
      </c>
      <c r="F1217" t="s">
        <v>24</v>
      </c>
      <c r="G1217">
        <v>65</v>
      </c>
      <c r="H1217">
        <v>75</v>
      </c>
      <c r="I1217" t="b">
        <v>1</v>
      </c>
      <c r="J1217" t="s">
        <v>715</v>
      </c>
      <c r="K1217" t="s">
        <v>32</v>
      </c>
      <c r="L1217" t="s">
        <v>716</v>
      </c>
      <c r="Q1217" t="s">
        <v>997</v>
      </c>
      <c r="R1217" t="s">
        <v>997</v>
      </c>
    </row>
    <row r="1218" spans="1:18" hidden="1" x14ac:dyDescent="0.25">
      <c r="A1218" t="s">
        <v>996</v>
      </c>
      <c r="B1218" t="s">
        <v>997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997</v>
      </c>
      <c r="R1218" t="s">
        <v>997</v>
      </c>
    </row>
    <row r="1219" spans="1:18" hidden="1" x14ac:dyDescent="0.25">
      <c r="A1219" t="s">
        <v>996</v>
      </c>
      <c r="B1219" t="s">
        <v>997</v>
      </c>
      <c r="C1219">
        <v>2</v>
      </c>
      <c r="D1219" t="s">
        <v>936</v>
      </c>
      <c r="E1219" t="s">
        <v>993</v>
      </c>
      <c r="F1219" t="s">
        <v>25</v>
      </c>
      <c r="G1219">
        <v>30</v>
      </c>
      <c r="H1219">
        <v>35</v>
      </c>
      <c r="I1219" t="b">
        <v>1</v>
      </c>
      <c r="J1219" t="s">
        <v>938</v>
      </c>
      <c r="K1219" t="s">
        <v>32</v>
      </c>
      <c r="L1219" t="s">
        <v>716</v>
      </c>
      <c r="Q1219" t="s">
        <v>997</v>
      </c>
      <c r="R1219" t="s">
        <v>997</v>
      </c>
    </row>
    <row r="1220" spans="1:18" hidden="1" x14ac:dyDescent="0.25">
      <c r="A1220" t="s">
        <v>996</v>
      </c>
      <c r="B1220" t="s">
        <v>997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997</v>
      </c>
      <c r="R1220" t="s">
        <v>997</v>
      </c>
    </row>
    <row r="1221" spans="1:18" hidden="1" x14ac:dyDescent="0.25">
      <c r="A1221" t="s">
        <v>996</v>
      </c>
      <c r="B1221" t="s">
        <v>997</v>
      </c>
      <c r="C1221">
        <v>3</v>
      </c>
      <c r="D1221" t="s">
        <v>983</v>
      </c>
      <c r="E1221" t="s">
        <v>1002</v>
      </c>
      <c r="F1221" t="s">
        <v>24</v>
      </c>
      <c r="G1221">
        <v>0</v>
      </c>
      <c r="H1221">
        <v>1</v>
      </c>
      <c r="I1221" t="b">
        <v>1</v>
      </c>
      <c r="J1221" t="s">
        <v>985</v>
      </c>
      <c r="K1221" t="s">
        <v>32</v>
      </c>
      <c r="Q1221" t="s">
        <v>997</v>
      </c>
      <c r="R1221" t="s">
        <v>997</v>
      </c>
    </row>
    <row r="1222" spans="1:18" hidden="1" x14ac:dyDescent="0.25">
      <c r="A1222" t="s">
        <v>996</v>
      </c>
      <c r="B1222" t="s">
        <v>997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997</v>
      </c>
      <c r="R1222" t="s">
        <v>997</v>
      </c>
    </row>
    <row r="1223" spans="1:18" hidden="1" x14ac:dyDescent="0.25">
      <c r="A1223" t="s">
        <v>996</v>
      </c>
      <c r="B1223" t="s">
        <v>997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997</v>
      </c>
      <c r="R1223" t="s">
        <v>997</v>
      </c>
    </row>
    <row r="1224" spans="1:18" hidden="1" x14ac:dyDescent="0.25">
      <c r="A1224" t="s">
        <v>996</v>
      </c>
      <c r="B1224" t="s">
        <v>997</v>
      </c>
      <c r="C1224">
        <v>3</v>
      </c>
      <c r="D1224" t="s">
        <v>912</v>
      </c>
      <c r="E1224" t="s">
        <v>1003</v>
      </c>
      <c r="F1224" t="s">
        <v>25</v>
      </c>
      <c r="G1224">
        <v>2</v>
      </c>
      <c r="H1224">
        <v>6</v>
      </c>
      <c r="I1224" t="b">
        <v>1</v>
      </c>
      <c r="J1224" t="s">
        <v>914</v>
      </c>
      <c r="K1224" t="s">
        <v>32</v>
      </c>
      <c r="Q1224" t="s">
        <v>997</v>
      </c>
      <c r="R1224" t="s">
        <v>997</v>
      </c>
    </row>
    <row r="1225" spans="1:18" hidden="1" x14ac:dyDescent="0.25">
      <c r="A1225" t="s">
        <v>996</v>
      </c>
      <c r="B1225" t="s">
        <v>997</v>
      </c>
      <c r="C1225">
        <v>3</v>
      </c>
      <c r="D1225" t="s">
        <v>915</v>
      </c>
      <c r="E1225" t="s">
        <v>939</v>
      </c>
      <c r="F1225" t="s">
        <v>24</v>
      </c>
      <c r="G1225">
        <v>0</v>
      </c>
      <c r="H1225">
        <v>3</v>
      </c>
      <c r="I1225" t="b">
        <v>1</v>
      </c>
      <c r="J1225" t="s">
        <v>917</v>
      </c>
      <c r="K1225" t="s">
        <v>32</v>
      </c>
      <c r="Q1225" t="s">
        <v>997</v>
      </c>
      <c r="R1225" t="s">
        <v>997</v>
      </c>
    </row>
    <row r="1226" spans="1:18" hidden="1" x14ac:dyDescent="0.25">
      <c r="A1226" t="s">
        <v>996</v>
      </c>
      <c r="B1226" t="s">
        <v>997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997</v>
      </c>
      <c r="R1226" t="s">
        <v>997</v>
      </c>
    </row>
    <row r="1227" spans="1:18" hidden="1" x14ac:dyDescent="0.25">
      <c r="A1227" t="s">
        <v>996</v>
      </c>
      <c r="B1227" t="s">
        <v>997</v>
      </c>
      <c r="C1227">
        <v>3</v>
      </c>
      <c r="D1227" t="s">
        <v>407</v>
      </c>
      <c r="E1227" t="s">
        <v>1004</v>
      </c>
      <c r="F1227" t="s">
        <v>27</v>
      </c>
      <c r="G1227">
        <v>2</v>
      </c>
      <c r="H1227">
        <v>7</v>
      </c>
      <c r="I1227" t="b">
        <v>0</v>
      </c>
      <c r="J1227" t="s">
        <v>748</v>
      </c>
      <c r="K1227" t="s">
        <v>32</v>
      </c>
      <c r="Q1227" t="s">
        <v>997</v>
      </c>
      <c r="R1227" t="s">
        <v>997</v>
      </c>
    </row>
    <row r="1228" spans="1:18" hidden="1" x14ac:dyDescent="0.25">
      <c r="A1228" t="s">
        <v>996</v>
      </c>
      <c r="B1228" t="s">
        <v>997</v>
      </c>
      <c r="C1228">
        <v>3</v>
      </c>
      <c r="D1228" t="s">
        <v>11</v>
      </c>
      <c r="E1228" t="s">
        <v>1005</v>
      </c>
      <c r="F1228" t="s">
        <v>24</v>
      </c>
      <c r="G1228">
        <v>55</v>
      </c>
      <c r="H1228">
        <v>65</v>
      </c>
      <c r="I1228" t="b">
        <v>1</v>
      </c>
      <c r="J1228" t="s">
        <v>715</v>
      </c>
      <c r="K1228" t="s">
        <v>32</v>
      </c>
      <c r="L1228" t="s">
        <v>944</v>
      </c>
      <c r="Q1228" t="s">
        <v>997</v>
      </c>
      <c r="R1228" t="s">
        <v>997</v>
      </c>
    </row>
    <row r="1229" spans="1:18" hidden="1" x14ac:dyDescent="0.25">
      <c r="A1229" t="s">
        <v>996</v>
      </c>
      <c r="B1229" t="s">
        <v>997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997</v>
      </c>
      <c r="R1229" t="s">
        <v>997</v>
      </c>
    </row>
    <row r="1230" spans="1:18" hidden="1" x14ac:dyDescent="0.25">
      <c r="A1230" t="s">
        <v>996</v>
      </c>
      <c r="B1230" t="s">
        <v>997</v>
      </c>
      <c r="C1230">
        <v>3</v>
      </c>
      <c r="D1230" t="s">
        <v>936</v>
      </c>
      <c r="E1230" t="s">
        <v>937</v>
      </c>
      <c r="F1230" t="s">
        <v>24</v>
      </c>
      <c r="G1230">
        <v>20</v>
      </c>
      <c r="H1230">
        <v>30</v>
      </c>
      <c r="I1230" t="b">
        <v>1</v>
      </c>
      <c r="J1230" t="s">
        <v>938</v>
      </c>
      <c r="K1230" t="s">
        <v>32</v>
      </c>
      <c r="L1230" t="s">
        <v>944</v>
      </c>
      <c r="Q1230" t="s">
        <v>997</v>
      </c>
      <c r="R1230" t="s">
        <v>997</v>
      </c>
    </row>
    <row r="1231" spans="1:18" hidden="1" x14ac:dyDescent="0.25">
      <c r="A1231" t="s">
        <v>996</v>
      </c>
      <c r="B1231" t="s">
        <v>997</v>
      </c>
      <c r="C1231">
        <v>3</v>
      </c>
      <c r="D1231" t="s">
        <v>924</v>
      </c>
      <c r="E1231" t="s">
        <v>987</v>
      </c>
      <c r="F1231" t="s">
        <v>26</v>
      </c>
      <c r="G1231">
        <v>25</v>
      </c>
      <c r="H1231">
        <v>35</v>
      </c>
      <c r="I1231" t="b">
        <v>0</v>
      </c>
      <c r="J1231" t="s">
        <v>926</v>
      </c>
      <c r="K1231" t="s">
        <v>32</v>
      </c>
      <c r="L1231" t="s">
        <v>947</v>
      </c>
      <c r="Q1231" t="s">
        <v>997</v>
      </c>
      <c r="R1231" t="s">
        <v>997</v>
      </c>
    </row>
    <row r="1232" spans="1:18" hidden="1" x14ac:dyDescent="0.25">
      <c r="A1232" t="s">
        <v>996</v>
      </c>
      <c r="B1232" t="s">
        <v>997</v>
      </c>
      <c r="C1232">
        <v>3</v>
      </c>
      <c r="D1232" t="s">
        <v>927</v>
      </c>
      <c r="E1232" t="s">
        <v>1006</v>
      </c>
      <c r="F1232" t="s">
        <v>27</v>
      </c>
      <c r="G1232">
        <v>20</v>
      </c>
      <c r="H1232">
        <v>27</v>
      </c>
      <c r="I1232" t="b">
        <v>0</v>
      </c>
      <c r="J1232" t="s">
        <v>929</v>
      </c>
      <c r="K1232" t="s">
        <v>32</v>
      </c>
      <c r="L1232" t="s">
        <v>947</v>
      </c>
      <c r="Q1232" t="s">
        <v>997</v>
      </c>
      <c r="R1232" t="s">
        <v>997</v>
      </c>
    </row>
    <row r="1233" spans="1:18" hidden="1" x14ac:dyDescent="0.25">
      <c r="A1233" t="s">
        <v>996</v>
      </c>
      <c r="B1233" t="s">
        <v>997</v>
      </c>
      <c r="C1233">
        <v>3</v>
      </c>
      <c r="D1233" t="s">
        <v>342</v>
      </c>
      <c r="E1233" t="s">
        <v>1007</v>
      </c>
      <c r="F1233" t="s">
        <v>25</v>
      </c>
      <c r="G1233">
        <v>3.8</v>
      </c>
      <c r="H1233">
        <v>4.3</v>
      </c>
      <c r="I1233" t="b">
        <v>1</v>
      </c>
      <c r="J1233" t="s">
        <v>343</v>
      </c>
      <c r="K1233" t="s">
        <v>32</v>
      </c>
      <c r="L1233" t="s">
        <v>947</v>
      </c>
      <c r="Q1233" t="s">
        <v>997</v>
      </c>
      <c r="R1233" t="s">
        <v>997</v>
      </c>
    </row>
    <row r="1234" spans="1:18" hidden="1" x14ac:dyDescent="0.25">
      <c r="A1234" t="s">
        <v>996</v>
      </c>
      <c r="B1234" t="s">
        <v>997</v>
      </c>
      <c r="C1234">
        <v>4</v>
      </c>
      <c r="D1234" t="s">
        <v>906</v>
      </c>
      <c r="E1234" t="s">
        <v>991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997</v>
      </c>
      <c r="R1234" t="s">
        <v>997</v>
      </c>
    </row>
    <row r="1235" spans="1:18" hidden="1" x14ac:dyDescent="0.25">
      <c r="A1235" t="s">
        <v>996</v>
      </c>
      <c r="B1235" t="s">
        <v>997</v>
      </c>
      <c r="C1235">
        <v>4</v>
      </c>
      <c r="D1235" t="s">
        <v>407</v>
      </c>
      <c r="E1235" t="s">
        <v>992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997</v>
      </c>
      <c r="R1235" t="s">
        <v>997</v>
      </c>
    </row>
    <row r="1236" spans="1:18" hidden="1" x14ac:dyDescent="0.25">
      <c r="A1236" t="s">
        <v>996</v>
      </c>
      <c r="B1236" t="s">
        <v>997</v>
      </c>
      <c r="C1236">
        <v>4</v>
      </c>
      <c r="D1236" t="s">
        <v>11</v>
      </c>
      <c r="E1236" t="s">
        <v>988</v>
      </c>
      <c r="F1236" t="s">
        <v>24</v>
      </c>
      <c r="G1236">
        <v>45</v>
      </c>
      <c r="H1236">
        <v>55</v>
      </c>
      <c r="I1236" t="b">
        <v>1</v>
      </c>
      <c r="J1236" t="s">
        <v>715</v>
      </c>
      <c r="K1236" t="s">
        <v>32</v>
      </c>
      <c r="L1236" t="s">
        <v>944</v>
      </c>
      <c r="Q1236" t="s">
        <v>997</v>
      </c>
      <c r="R1236" t="s">
        <v>997</v>
      </c>
    </row>
    <row r="1237" spans="1:18" hidden="1" x14ac:dyDescent="0.25">
      <c r="A1237" t="s">
        <v>996</v>
      </c>
      <c r="B1237" t="s">
        <v>997</v>
      </c>
      <c r="C1237">
        <v>4</v>
      </c>
      <c r="D1237" t="s">
        <v>933</v>
      </c>
      <c r="E1237" t="s">
        <v>1008</v>
      </c>
      <c r="F1237" t="s">
        <v>24</v>
      </c>
      <c r="G1237">
        <v>8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997</v>
      </c>
      <c r="R1237" t="s">
        <v>997</v>
      </c>
    </row>
    <row r="1238" spans="1:18" hidden="1" x14ac:dyDescent="0.25">
      <c r="A1238" t="s">
        <v>996</v>
      </c>
      <c r="B1238" t="s">
        <v>997</v>
      </c>
      <c r="C1238">
        <v>4</v>
      </c>
      <c r="D1238" t="s">
        <v>936</v>
      </c>
      <c r="E1238" t="s">
        <v>969</v>
      </c>
      <c r="F1238" t="s">
        <v>24</v>
      </c>
      <c r="G1238">
        <v>10</v>
      </c>
      <c r="H1238">
        <v>20</v>
      </c>
      <c r="I1238" t="b">
        <v>1</v>
      </c>
      <c r="J1238" t="s">
        <v>938</v>
      </c>
      <c r="K1238" t="s">
        <v>32</v>
      </c>
      <c r="L1238" t="s">
        <v>944</v>
      </c>
      <c r="Q1238" t="s">
        <v>997</v>
      </c>
      <c r="R1238" t="s">
        <v>997</v>
      </c>
    </row>
    <row r="1239" spans="1:18" hidden="1" x14ac:dyDescent="0.25">
      <c r="A1239" t="s">
        <v>996</v>
      </c>
      <c r="B1239" t="s">
        <v>997</v>
      </c>
      <c r="C1239">
        <v>4</v>
      </c>
      <c r="D1239" t="s">
        <v>924</v>
      </c>
      <c r="E1239" t="s">
        <v>948</v>
      </c>
      <c r="F1239" t="s">
        <v>26</v>
      </c>
      <c r="G1239">
        <v>35</v>
      </c>
      <c r="H1239">
        <v>45</v>
      </c>
      <c r="I1239" t="b">
        <v>0</v>
      </c>
      <c r="J1239" t="s">
        <v>926</v>
      </c>
      <c r="K1239" t="s">
        <v>32</v>
      </c>
      <c r="L1239" t="s">
        <v>947</v>
      </c>
      <c r="Q1239" t="s">
        <v>997</v>
      </c>
      <c r="R1239" t="s">
        <v>997</v>
      </c>
    </row>
    <row r="1240" spans="1:18" hidden="1" x14ac:dyDescent="0.25">
      <c r="A1240" t="s">
        <v>996</v>
      </c>
      <c r="B1240" t="s">
        <v>997</v>
      </c>
      <c r="C1240">
        <v>4</v>
      </c>
      <c r="D1240" t="s">
        <v>927</v>
      </c>
      <c r="E1240" t="s">
        <v>1009</v>
      </c>
      <c r="F1240" t="s">
        <v>27</v>
      </c>
      <c r="G1240">
        <v>27</v>
      </c>
      <c r="H1240">
        <v>37</v>
      </c>
      <c r="I1240" t="b">
        <v>0</v>
      </c>
      <c r="J1240" t="s">
        <v>929</v>
      </c>
      <c r="K1240" t="s">
        <v>32</v>
      </c>
      <c r="L1240" t="s">
        <v>947</v>
      </c>
      <c r="Q1240" t="s">
        <v>997</v>
      </c>
      <c r="R1240" t="s">
        <v>997</v>
      </c>
    </row>
    <row r="1241" spans="1:18" hidden="1" x14ac:dyDescent="0.25">
      <c r="A1241" t="s">
        <v>996</v>
      </c>
      <c r="B1241" t="s">
        <v>997</v>
      </c>
      <c r="C1241">
        <v>4</v>
      </c>
      <c r="D1241" t="s">
        <v>342</v>
      </c>
      <c r="E1241" t="s">
        <v>1010</v>
      </c>
      <c r="F1241" t="s">
        <v>25</v>
      </c>
      <c r="G1241">
        <v>3</v>
      </c>
      <c r="H1241">
        <v>3.8</v>
      </c>
      <c r="I1241" t="b">
        <v>1</v>
      </c>
      <c r="J1241" t="s">
        <v>343</v>
      </c>
      <c r="K1241" t="s">
        <v>32</v>
      </c>
      <c r="L1241" t="s">
        <v>947</v>
      </c>
      <c r="Q1241" t="s">
        <v>997</v>
      </c>
      <c r="R1241" t="s">
        <v>997</v>
      </c>
    </row>
    <row r="1242" spans="1:18" hidden="1" x14ac:dyDescent="0.25">
      <c r="A1242" t="s">
        <v>996</v>
      </c>
      <c r="B1242" t="s">
        <v>997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997</v>
      </c>
      <c r="R1242" t="s">
        <v>997</v>
      </c>
    </row>
    <row r="1243" spans="1:18" hidden="1" x14ac:dyDescent="0.25">
      <c r="A1243" t="s">
        <v>996</v>
      </c>
      <c r="B1243" t="s">
        <v>997</v>
      </c>
      <c r="C1243">
        <v>5</v>
      </c>
      <c r="D1243" t="s">
        <v>12</v>
      </c>
      <c r="E1243" t="s">
        <v>1011</v>
      </c>
      <c r="F1243" t="s">
        <v>24</v>
      </c>
      <c r="G1243">
        <v>175</v>
      </c>
      <c r="H1243">
        <v>225</v>
      </c>
      <c r="I1243" t="b">
        <v>1</v>
      </c>
      <c r="J1243" t="s">
        <v>855</v>
      </c>
      <c r="K1243" t="s">
        <v>32</v>
      </c>
      <c r="L1243" t="s">
        <v>716</v>
      </c>
      <c r="Q1243" t="s">
        <v>997</v>
      </c>
      <c r="R1243" t="s">
        <v>997</v>
      </c>
    </row>
    <row r="1244" spans="1:18" hidden="1" x14ac:dyDescent="0.25">
      <c r="A1244" t="s">
        <v>996</v>
      </c>
      <c r="B1244" t="s">
        <v>997</v>
      </c>
      <c r="C1244">
        <v>5</v>
      </c>
      <c r="D1244" t="s">
        <v>11</v>
      </c>
      <c r="E1244" t="s">
        <v>932</v>
      </c>
      <c r="F1244" t="s">
        <v>25</v>
      </c>
      <c r="G1244">
        <v>35</v>
      </c>
      <c r="H1244">
        <v>45</v>
      </c>
      <c r="I1244" t="b">
        <v>1</v>
      </c>
      <c r="J1244" t="s">
        <v>715</v>
      </c>
      <c r="K1244" t="s">
        <v>32</v>
      </c>
      <c r="L1244" t="s">
        <v>716</v>
      </c>
      <c r="Q1244" t="s">
        <v>997</v>
      </c>
      <c r="R1244" t="s">
        <v>997</v>
      </c>
    </row>
    <row r="1245" spans="1:18" hidden="1" x14ac:dyDescent="0.25">
      <c r="A1245" t="s">
        <v>996</v>
      </c>
      <c r="B1245" t="s">
        <v>997</v>
      </c>
      <c r="C1245">
        <v>5</v>
      </c>
      <c r="D1245" t="s">
        <v>924</v>
      </c>
      <c r="E1245" t="s">
        <v>954</v>
      </c>
      <c r="F1245" t="s">
        <v>26</v>
      </c>
      <c r="G1245">
        <v>45</v>
      </c>
      <c r="H1245">
        <v>55</v>
      </c>
      <c r="I1245" t="b">
        <v>0</v>
      </c>
      <c r="J1245" t="s">
        <v>926</v>
      </c>
      <c r="K1245" t="s">
        <v>32</v>
      </c>
      <c r="L1245" t="s">
        <v>716</v>
      </c>
      <c r="Q1245" t="s">
        <v>997</v>
      </c>
      <c r="R1245" t="s">
        <v>997</v>
      </c>
    </row>
    <row r="1246" spans="1:18" hidden="1" x14ac:dyDescent="0.25">
      <c r="A1246" t="s">
        <v>996</v>
      </c>
      <c r="B1246" t="s">
        <v>997</v>
      </c>
      <c r="C1246">
        <v>5</v>
      </c>
      <c r="D1246" t="s">
        <v>342</v>
      </c>
      <c r="E1246" t="s">
        <v>1012</v>
      </c>
      <c r="F1246" t="s">
        <v>24</v>
      </c>
      <c r="G1246">
        <v>2.2000000000000002</v>
      </c>
      <c r="H1246">
        <v>3</v>
      </c>
      <c r="I1246" t="b">
        <v>1</v>
      </c>
      <c r="J1246" t="s">
        <v>343</v>
      </c>
      <c r="K1246" t="s">
        <v>32</v>
      </c>
      <c r="L1246" t="s">
        <v>716</v>
      </c>
      <c r="Q1246" t="s">
        <v>997</v>
      </c>
      <c r="R1246" t="s">
        <v>997</v>
      </c>
    </row>
    <row r="1247" spans="1:18" hidden="1" x14ac:dyDescent="0.25">
      <c r="A1247" t="s">
        <v>631</v>
      </c>
      <c r="B1247" t="s">
        <v>1034</v>
      </c>
      <c r="C1247">
        <v>1</v>
      </c>
      <c r="D1247" t="s">
        <v>11</v>
      </c>
      <c r="E1247" t="s">
        <v>695</v>
      </c>
      <c r="F1247" t="s">
        <v>27</v>
      </c>
      <c r="G1247">
        <v>2</v>
      </c>
      <c r="H1247">
        <v>5</v>
      </c>
      <c r="I1247" s="72" t="b">
        <v>0</v>
      </c>
      <c r="J1247" t="s">
        <v>715</v>
      </c>
      <c r="K1247" s="68" t="s">
        <v>32</v>
      </c>
      <c r="Q1247" t="s">
        <v>673</v>
      </c>
      <c r="R1247" t="s">
        <v>1053</v>
      </c>
    </row>
    <row r="1248" spans="1:18" hidden="1" x14ac:dyDescent="0.25">
      <c r="A1248" t="s">
        <v>631</v>
      </c>
      <c r="B1248" t="s">
        <v>1034</v>
      </c>
      <c r="C1248">
        <v>1</v>
      </c>
      <c r="D1248" t="s">
        <v>705</v>
      </c>
      <c r="E1248" t="s">
        <v>637</v>
      </c>
      <c r="F1248" t="s">
        <v>25</v>
      </c>
      <c r="G1248">
        <v>0</v>
      </c>
      <c r="H1248">
        <v>1</v>
      </c>
      <c r="I1248" s="73" t="b">
        <v>1</v>
      </c>
      <c r="J1248" t="s">
        <v>1068</v>
      </c>
      <c r="K1248" s="68" t="s">
        <v>32</v>
      </c>
      <c r="Q1248" t="s">
        <v>673</v>
      </c>
      <c r="R1248" t="s">
        <v>1053</v>
      </c>
    </row>
    <row r="1249" spans="1:18" hidden="1" x14ac:dyDescent="0.25">
      <c r="A1249" t="s">
        <v>631</v>
      </c>
      <c r="B1249" t="s">
        <v>1034</v>
      </c>
      <c r="C1249">
        <v>1</v>
      </c>
      <c r="D1249" t="s">
        <v>355</v>
      </c>
      <c r="E1249" t="s">
        <v>696</v>
      </c>
      <c r="F1249" s="69" t="s">
        <v>25</v>
      </c>
      <c r="G1249">
        <v>0</v>
      </c>
      <c r="H1249">
        <v>1</v>
      </c>
      <c r="I1249" s="69" t="b">
        <v>1</v>
      </c>
      <c r="J1249" t="s">
        <v>1059</v>
      </c>
      <c r="K1249" s="68" t="s">
        <v>32</v>
      </c>
      <c r="Q1249" t="s">
        <v>673</v>
      </c>
      <c r="R1249" t="s">
        <v>1053</v>
      </c>
    </row>
    <row r="1250" spans="1:18" hidden="1" x14ac:dyDescent="0.25">
      <c r="A1250" t="s">
        <v>631</v>
      </c>
      <c r="B1250" t="s">
        <v>1034</v>
      </c>
      <c r="C1250">
        <v>1</v>
      </c>
      <c r="D1250" t="s">
        <v>421</v>
      </c>
      <c r="E1250" t="s">
        <v>644</v>
      </c>
      <c r="F1250" t="s">
        <v>25</v>
      </c>
      <c r="G1250">
        <v>45</v>
      </c>
      <c r="H1250">
        <v>55</v>
      </c>
      <c r="I1250" s="73" t="b">
        <v>1</v>
      </c>
      <c r="J1250" t="s">
        <v>1077</v>
      </c>
      <c r="K1250" s="68" t="s">
        <v>32</v>
      </c>
      <c r="Q1250" t="s">
        <v>673</v>
      </c>
      <c r="R1250" t="s">
        <v>1053</v>
      </c>
    </row>
    <row r="1251" spans="1:18" hidden="1" x14ac:dyDescent="0.25">
      <c r="A1251" t="s">
        <v>631</v>
      </c>
      <c r="B1251" t="s">
        <v>1034</v>
      </c>
      <c r="C1251">
        <v>1</v>
      </c>
      <c r="D1251" t="s">
        <v>392</v>
      </c>
      <c r="E1251" t="s">
        <v>607</v>
      </c>
      <c r="F1251" t="s">
        <v>25</v>
      </c>
      <c r="G1251">
        <v>55</v>
      </c>
      <c r="H1251">
        <v>65</v>
      </c>
      <c r="I1251" s="73" t="b">
        <v>1</v>
      </c>
      <c r="J1251" t="s">
        <v>847</v>
      </c>
      <c r="K1251" s="68" t="s">
        <v>32</v>
      </c>
      <c r="Q1251" t="s">
        <v>673</v>
      </c>
      <c r="R1251" t="s">
        <v>1053</v>
      </c>
    </row>
    <row r="1252" spans="1:18" hidden="1" x14ac:dyDescent="0.25">
      <c r="A1252" t="s">
        <v>631</v>
      </c>
      <c r="B1252" t="s">
        <v>1034</v>
      </c>
      <c r="C1252">
        <v>1</v>
      </c>
      <c r="D1252" t="s">
        <v>410</v>
      </c>
      <c r="E1252" t="s">
        <v>697</v>
      </c>
      <c r="F1252" t="s">
        <v>27</v>
      </c>
      <c r="G1252">
        <v>0</v>
      </c>
      <c r="H1252">
        <v>1</v>
      </c>
      <c r="I1252" s="72" t="b">
        <v>0</v>
      </c>
      <c r="J1252" t="s">
        <v>1067</v>
      </c>
      <c r="K1252" s="68" t="s">
        <v>32</v>
      </c>
      <c r="Q1252" t="s">
        <v>673</v>
      </c>
      <c r="R1252" t="s">
        <v>1053</v>
      </c>
    </row>
    <row r="1253" spans="1:18" hidden="1" x14ac:dyDescent="0.25">
      <c r="A1253" t="s">
        <v>631</v>
      </c>
      <c r="B1253" t="s">
        <v>1034</v>
      </c>
      <c r="C1253">
        <v>1</v>
      </c>
      <c r="D1253" t="s">
        <v>682</v>
      </c>
      <c r="E1253" t="s">
        <v>574</v>
      </c>
      <c r="F1253" t="s">
        <v>27</v>
      </c>
      <c r="G1253">
        <v>3</v>
      </c>
      <c r="H1253">
        <v>7</v>
      </c>
      <c r="I1253" s="72" t="b">
        <v>0</v>
      </c>
      <c r="J1253" t="s">
        <v>1065</v>
      </c>
      <c r="K1253" s="68" t="s">
        <v>32</v>
      </c>
      <c r="Q1253" t="s">
        <v>673</v>
      </c>
      <c r="R1253" t="s">
        <v>1053</v>
      </c>
    </row>
    <row r="1254" spans="1:18" hidden="1" x14ac:dyDescent="0.25">
      <c r="A1254" s="77" t="s">
        <v>631</v>
      </c>
      <c r="B1254" s="77" t="s">
        <v>1034</v>
      </c>
      <c r="C1254" s="77">
        <v>2</v>
      </c>
      <c r="D1254" s="77" t="s">
        <v>11</v>
      </c>
      <c r="E1254" s="77" t="s">
        <v>580</v>
      </c>
      <c r="F1254" t="s">
        <v>27</v>
      </c>
      <c r="G1254">
        <v>6</v>
      </c>
      <c r="H1254">
        <v>10</v>
      </c>
      <c r="I1254" s="72" t="b">
        <v>0</v>
      </c>
      <c r="J1254" t="s">
        <v>715</v>
      </c>
      <c r="K1254" s="68" t="s">
        <v>32</v>
      </c>
      <c r="L1254" t="s">
        <v>1094</v>
      </c>
      <c r="N1254" s="77" t="s">
        <v>1033</v>
      </c>
      <c r="O1254" s="77" t="s">
        <v>27</v>
      </c>
      <c r="P1254" s="77">
        <v>10</v>
      </c>
      <c r="Q1254" t="s">
        <v>673</v>
      </c>
      <c r="R1254" t="s">
        <v>1053</v>
      </c>
    </row>
    <row r="1255" spans="1:18" hidden="1" x14ac:dyDescent="0.25">
      <c r="A1255" t="s">
        <v>631</v>
      </c>
      <c r="B1255" t="s">
        <v>1034</v>
      </c>
      <c r="C1255">
        <v>2</v>
      </c>
      <c r="D1255" t="s">
        <v>705</v>
      </c>
      <c r="E1255" t="s">
        <v>637</v>
      </c>
      <c r="F1255" t="s">
        <v>25</v>
      </c>
      <c r="G1255">
        <v>0</v>
      </c>
      <c r="H1255">
        <v>1</v>
      </c>
      <c r="I1255" s="73" t="b">
        <v>1</v>
      </c>
      <c r="J1255" t="s">
        <v>1068</v>
      </c>
      <c r="K1255" s="68" t="s">
        <v>32</v>
      </c>
      <c r="L1255" t="s">
        <v>1094</v>
      </c>
      <c r="Q1255" t="s">
        <v>673</v>
      </c>
      <c r="R1255" t="s">
        <v>1053</v>
      </c>
    </row>
    <row r="1256" spans="1:18" hidden="1" x14ac:dyDescent="0.25">
      <c r="A1256" t="s">
        <v>631</v>
      </c>
      <c r="B1256" t="s">
        <v>1034</v>
      </c>
      <c r="C1256">
        <v>2</v>
      </c>
      <c r="D1256" t="s">
        <v>421</v>
      </c>
      <c r="E1256" t="s">
        <v>625</v>
      </c>
      <c r="F1256" t="s">
        <v>25</v>
      </c>
      <c r="G1256">
        <v>35</v>
      </c>
      <c r="H1256">
        <v>45</v>
      </c>
      <c r="I1256" s="73" t="b">
        <v>1</v>
      </c>
      <c r="J1256" t="s">
        <v>1077</v>
      </c>
      <c r="K1256" s="68" t="s">
        <v>32</v>
      </c>
      <c r="L1256" t="s">
        <v>1094</v>
      </c>
      <c r="Q1256" t="s">
        <v>673</v>
      </c>
      <c r="R1256" t="s">
        <v>1053</v>
      </c>
    </row>
    <row r="1257" spans="1:18" hidden="1" x14ac:dyDescent="0.25">
      <c r="A1257" t="s">
        <v>631</v>
      </c>
      <c r="B1257" t="s">
        <v>1034</v>
      </c>
      <c r="C1257">
        <v>2</v>
      </c>
      <c r="D1257" t="s">
        <v>707</v>
      </c>
      <c r="E1257" t="s">
        <v>625</v>
      </c>
      <c r="F1257" t="s">
        <v>25</v>
      </c>
      <c r="G1257">
        <v>35</v>
      </c>
      <c r="H1257">
        <v>45</v>
      </c>
      <c r="I1257" s="73" t="b">
        <v>1</v>
      </c>
      <c r="J1257" t="s">
        <v>1070</v>
      </c>
      <c r="K1257" s="68" t="s">
        <v>32</v>
      </c>
      <c r="L1257" t="s">
        <v>1094</v>
      </c>
      <c r="Q1257" t="s">
        <v>673</v>
      </c>
      <c r="R1257" t="s">
        <v>1053</v>
      </c>
    </row>
    <row r="1258" spans="1:18" hidden="1" x14ac:dyDescent="0.25">
      <c r="A1258" t="s">
        <v>631</v>
      </c>
      <c r="B1258" t="s">
        <v>1034</v>
      </c>
      <c r="C1258">
        <v>2</v>
      </c>
      <c r="D1258" t="s">
        <v>682</v>
      </c>
      <c r="E1258" t="s">
        <v>585</v>
      </c>
      <c r="F1258" t="s">
        <v>27</v>
      </c>
      <c r="G1258">
        <v>7</v>
      </c>
      <c r="H1258">
        <v>13</v>
      </c>
      <c r="I1258" s="72" t="b">
        <v>0</v>
      </c>
      <c r="J1258" t="s">
        <v>1065</v>
      </c>
      <c r="K1258" s="68" t="s">
        <v>32</v>
      </c>
      <c r="L1258" t="s">
        <v>1094</v>
      </c>
      <c r="Q1258" t="s">
        <v>673</v>
      </c>
      <c r="R1258" t="s">
        <v>1053</v>
      </c>
    </row>
    <row r="1259" spans="1:18" hidden="1" x14ac:dyDescent="0.25">
      <c r="A1259" t="s">
        <v>631</v>
      </c>
      <c r="B1259" t="s">
        <v>1034</v>
      </c>
      <c r="C1259">
        <v>3</v>
      </c>
      <c r="D1259" t="s">
        <v>687</v>
      </c>
      <c r="E1259" t="s">
        <v>615</v>
      </c>
      <c r="F1259" t="s">
        <v>25</v>
      </c>
      <c r="G1259">
        <v>20</v>
      </c>
      <c r="H1259">
        <v>30</v>
      </c>
      <c r="I1259" s="73" t="b">
        <v>1</v>
      </c>
      <c r="J1259" t="s">
        <v>1079</v>
      </c>
      <c r="K1259" s="68" t="s">
        <v>32</v>
      </c>
      <c r="L1259" t="s">
        <v>1094</v>
      </c>
      <c r="Q1259" t="s">
        <v>673</v>
      </c>
      <c r="R1259" t="s">
        <v>1053</v>
      </c>
    </row>
    <row r="1260" spans="1:18" hidden="1" x14ac:dyDescent="0.25">
      <c r="A1260" t="s">
        <v>631</v>
      </c>
      <c r="B1260" t="s">
        <v>1034</v>
      </c>
      <c r="C1260">
        <v>3</v>
      </c>
      <c r="D1260" t="s">
        <v>688</v>
      </c>
      <c r="E1260" t="s">
        <v>619</v>
      </c>
      <c r="F1260" t="s">
        <v>25</v>
      </c>
      <c r="G1260">
        <v>15</v>
      </c>
      <c r="H1260">
        <v>25</v>
      </c>
      <c r="I1260" s="73" t="b">
        <v>1</v>
      </c>
      <c r="J1260" t="s">
        <v>1063</v>
      </c>
      <c r="K1260" s="68" t="s">
        <v>32</v>
      </c>
      <c r="L1260" t="s">
        <v>1094</v>
      </c>
      <c r="Q1260" t="s">
        <v>673</v>
      </c>
      <c r="R1260" t="s">
        <v>1053</v>
      </c>
    </row>
    <row r="1261" spans="1:18" hidden="1" x14ac:dyDescent="0.25">
      <c r="A1261" t="s">
        <v>631</v>
      </c>
      <c r="B1261" t="s">
        <v>1034</v>
      </c>
      <c r="C1261">
        <v>3</v>
      </c>
      <c r="D1261" t="s">
        <v>708</v>
      </c>
      <c r="E1261" t="s">
        <v>637</v>
      </c>
      <c r="F1261" t="s">
        <v>25</v>
      </c>
      <c r="G1261">
        <v>0</v>
      </c>
      <c r="H1261">
        <v>1</v>
      </c>
      <c r="I1261" s="73" t="b">
        <v>1</v>
      </c>
      <c r="J1261" t="s">
        <v>1069</v>
      </c>
      <c r="K1261" s="68" t="s">
        <v>32</v>
      </c>
      <c r="L1261" t="s">
        <v>1094</v>
      </c>
      <c r="Q1261" t="s">
        <v>673</v>
      </c>
      <c r="R1261" t="s">
        <v>1053</v>
      </c>
    </row>
    <row r="1262" spans="1:18" hidden="1" x14ac:dyDescent="0.25">
      <c r="A1262" t="s">
        <v>631</v>
      </c>
      <c r="B1262" t="s">
        <v>1034</v>
      </c>
      <c r="C1262">
        <v>3</v>
      </c>
      <c r="D1262" t="s">
        <v>689</v>
      </c>
      <c r="E1262" t="s">
        <v>586</v>
      </c>
      <c r="F1262" t="s">
        <v>27</v>
      </c>
      <c r="G1262">
        <v>45</v>
      </c>
      <c r="H1262">
        <v>55</v>
      </c>
      <c r="I1262" s="72" t="b">
        <v>0</v>
      </c>
      <c r="J1262" t="s">
        <v>1073</v>
      </c>
      <c r="K1262" s="68" t="s">
        <v>32</v>
      </c>
      <c r="L1262" t="s">
        <v>1094</v>
      </c>
      <c r="Q1262" t="s">
        <v>673</v>
      </c>
      <c r="R1262" t="s">
        <v>1053</v>
      </c>
    </row>
    <row r="1263" spans="1:18" hidden="1" x14ac:dyDescent="0.25">
      <c r="A1263" t="s">
        <v>631</v>
      </c>
      <c r="B1263" t="s">
        <v>1034</v>
      </c>
      <c r="C1263">
        <v>3</v>
      </c>
      <c r="D1263" t="s">
        <v>682</v>
      </c>
      <c r="E1263" t="s">
        <v>585</v>
      </c>
      <c r="F1263" t="s">
        <v>27</v>
      </c>
      <c r="G1263">
        <v>7</v>
      </c>
      <c r="H1263">
        <v>13</v>
      </c>
      <c r="I1263" s="72" t="b">
        <v>0</v>
      </c>
      <c r="J1263" t="s">
        <v>1065</v>
      </c>
      <c r="K1263" s="68" t="s">
        <v>32</v>
      </c>
      <c r="L1263" t="s">
        <v>1094</v>
      </c>
      <c r="Q1263" t="s">
        <v>673</v>
      </c>
      <c r="R1263" t="s">
        <v>1053</v>
      </c>
    </row>
    <row r="1264" spans="1:18" hidden="1" x14ac:dyDescent="0.25">
      <c r="A1264" t="s">
        <v>631</v>
      </c>
      <c r="B1264" t="s">
        <v>1034</v>
      </c>
      <c r="C1264">
        <v>4</v>
      </c>
      <c r="D1264" t="s">
        <v>687</v>
      </c>
      <c r="E1264" t="s">
        <v>636</v>
      </c>
      <c r="F1264" t="s">
        <v>25</v>
      </c>
      <c r="G1264">
        <v>3</v>
      </c>
      <c r="H1264">
        <v>7</v>
      </c>
      <c r="I1264" s="73" t="b">
        <v>1</v>
      </c>
      <c r="J1264" t="s">
        <v>1079</v>
      </c>
      <c r="K1264" s="68" t="s">
        <v>32</v>
      </c>
      <c r="Q1264" t="s">
        <v>673</v>
      </c>
      <c r="R1264" t="s">
        <v>1053</v>
      </c>
    </row>
    <row r="1265" spans="1:18" hidden="1" x14ac:dyDescent="0.25">
      <c r="A1265" t="s">
        <v>631</v>
      </c>
      <c r="B1265" t="s">
        <v>1034</v>
      </c>
      <c r="C1265">
        <v>4</v>
      </c>
      <c r="D1265" t="s">
        <v>688</v>
      </c>
      <c r="E1265" t="s">
        <v>636</v>
      </c>
      <c r="F1265" t="s">
        <v>25</v>
      </c>
      <c r="G1265">
        <v>3</v>
      </c>
      <c r="H1265">
        <v>7</v>
      </c>
      <c r="I1265" s="73" t="b">
        <v>1</v>
      </c>
      <c r="J1265" t="s">
        <v>1063</v>
      </c>
      <c r="K1265" s="68" t="s">
        <v>32</v>
      </c>
      <c r="Q1265" t="s">
        <v>673</v>
      </c>
      <c r="R1265" t="s">
        <v>1053</v>
      </c>
    </row>
    <row r="1266" spans="1:18" hidden="1" x14ac:dyDescent="0.25">
      <c r="A1266" t="s">
        <v>631</v>
      </c>
      <c r="B1266" t="s">
        <v>1034</v>
      </c>
      <c r="C1266">
        <v>4</v>
      </c>
      <c r="D1266" t="s">
        <v>690</v>
      </c>
      <c r="E1266" t="s">
        <v>699</v>
      </c>
      <c r="F1266" t="s">
        <v>27</v>
      </c>
      <c r="G1266">
        <v>40</v>
      </c>
      <c r="H1266">
        <v>50</v>
      </c>
      <c r="I1266" s="72" t="b">
        <v>0</v>
      </c>
      <c r="J1266" t="s">
        <v>1081</v>
      </c>
      <c r="K1266" s="68" t="s">
        <v>32</v>
      </c>
      <c r="Q1266" t="s">
        <v>673</v>
      </c>
      <c r="R1266" t="s">
        <v>1053</v>
      </c>
    </row>
    <row r="1267" spans="1:18" hidden="1" x14ac:dyDescent="0.25">
      <c r="A1267" t="s">
        <v>631</v>
      </c>
      <c r="B1267" t="s">
        <v>1034</v>
      </c>
      <c r="C1267">
        <v>4</v>
      </c>
      <c r="D1267" t="s">
        <v>683</v>
      </c>
      <c r="E1267" t="s">
        <v>585</v>
      </c>
      <c r="F1267" t="s">
        <v>27</v>
      </c>
      <c r="G1267">
        <v>7</v>
      </c>
      <c r="H1267">
        <v>13</v>
      </c>
      <c r="I1267" s="72" t="b">
        <v>0</v>
      </c>
      <c r="J1267" t="s">
        <v>1066</v>
      </c>
      <c r="K1267" s="68" t="s">
        <v>32</v>
      </c>
      <c r="Q1267" t="s">
        <v>673</v>
      </c>
      <c r="R1267" t="s">
        <v>1053</v>
      </c>
    </row>
    <row r="1268" spans="1:18" hidden="1" x14ac:dyDescent="0.25">
      <c r="A1268" t="s">
        <v>631</v>
      </c>
      <c r="B1268" t="s">
        <v>1034</v>
      </c>
      <c r="C1268">
        <v>5</v>
      </c>
      <c r="D1268" t="s">
        <v>11</v>
      </c>
      <c r="E1268" t="s">
        <v>620</v>
      </c>
      <c r="F1268" t="s">
        <v>25</v>
      </c>
      <c r="G1268">
        <v>1</v>
      </c>
      <c r="H1268">
        <v>4</v>
      </c>
      <c r="I1268" s="73" t="b">
        <v>1</v>
      </c>
      <c r="J1268" t="s">
        <v>715</v>
      </c>
      <c r="K1268" s="68" t="s">
        <v>32</v>
      </c>
      <c r="Q1268" t="s">
        <v>673</v>
      </c>
      <c r="R1268" t="s">
        <v>1053</v>
      </c>
    </row>
    <row r="1269" spans="1:18" hidden="1" x14ac:dyDescent="0.25">
      <c r="A1269" t="s">
        <v>631</v>
      </c>
      <c r="B1269" t="s">
        <v>1034</v>
      </c>
      <c r="C1269">
        <v>5</v>
      </c>
      <c r="D1269" t="s">
        <v>662</v>
      </c>
      <c r="E1269" t="s">
        <v>622</v>
      </c>
      <c r="F1269" t="s">
        <v>25</v>
      </c>
      <c r="G1269">
        <v>7</v>
      </c>
      <c r="H1269">
        <v>13</v>
      </c>
      <c r="I1269" s="73" t="b">
        <v>1</v>
      </c>
      <c r="J1269" t="s">
        <v>1078</v>
      </c>
      <c r="K1269" s="68" t="s">
        <v>32</v>
      </c>
      <c r="Q1269" t="s">
        <v>673</v>
      </c>
      <c r="R1269" t="s">
        <v>1053</v>
      </c>
    </row>
    <row r="1270" spans="1:18" hidden="1" x14ac:dyDescent="0.25">
      <c r="A1270" t="s">
        <v>631</v>
      </c>
      <c r="B1270" t="s">
        <v>1034</v>
      </c>
      <c r="C1270">
        <v>2</v>
      </c>
      <c r="D1270" t="s">
        <v>705</v>
      </c>
      <c r="E1270" t="s">
        <v>637</v>
      </c>
      <c r="F1270" t="s">
        <v>25</v>
      </c>
      <c r="G1270">
        <v>0</v>
      </c>
      <c r="H1270">
        <v>1</v>
      </c>
      <c r="I1270" s="73" t="b">
        <v>1</v>
      </c>
      <c r="J1270" t="s">
        <v>1068</v>
      </c>
      <c r="K1270" s="69" t="s">
        <v>447</v>
      </c>
      <c r="L1270" t="s">
        <v>1094</v>
      </c>
      <c r="Q1270" t="s">
        <v>673</v>
      </c>
      <c r="R1270" t="s">
        <v>1053</v>
      </c>
    </row>
    <row r="1271" spans="1:18" hidden="1" x14ac:dyDescent="0.25">
      <c r="A1271" t="s">
        <v>631</v>
      </c>
      <c r="B1271" t="s">
        <v>1034</v>
      </c>
      <c r="C1271">
        <v>2</v>
      </c>
      <c r="D1271" t="s">
        <v>421</v>
      </c>
      <c r="E1271" t="s">
        <v>619</v>
      </c>
      <c r="F1271" t="s">
        <v>25</v>
      </c>
      <c r="G1271">
        <v>15</v>
      </c>
      <c r="H1271">
        <v>25</v>
      </c>
      <c r="I1271" s="73" t="b">
        <v>1</v>
      </c>
      <c r="J1271" t="s">
        <v>1077</v>
      </c>
      <c r="K1271" s="69" t="s">
        <v>447</v>
      </c>
      <c r="L1271" t="s">
        <v>1094</v>
      </c>
      <c r="Q1271" t="s">
        <v>673</v>
      </c>
      <c r="R1271" t="s">
        <v>1053</v>
      </c>
    </row>
    <row r="1272" spans="1:18" hidden="1" x14ac:dyDescent="0.25">
      <c r="A1272" t="s">
        <v>631</v>
      </c>
      <c r="B1272" t="s">
        <v>1034</v>
      </c>
      <c r="C1272">
        <v>2</v>
      </c>
      <c r="D1272" t="s">
        <v>707</v>
      </c>
      <c r="E1272" t="s">
        <v>625</v>
      </c>
      <c r="F1272" t="s">
        <v>25</v>
      </c>
      <c r="G1272">
        <v>35</v>
      </c>
      <c r="H1272">
        <v>45</v>
      </c>
      <c r="I1272" s="73" t="b">
        <v>1</v>
      </c>
      <c r="J1272" t="s">
        <v>1070</v>
      </c>
      <c r="K1272" s="69" t="s">
        <v>447</v>
      </c>
      <c r="L1272" t="s">
        <v>1094</v>
      </c>
      <c r="Q1272" t="s">
        <v>673</v>
      </c>
      <c r="R1272" t="s">
        <v>1053</v>
      </c>
    </row>
    <row r="1273" spans="1:18" hidden="1" x14ac:dyDescent="0.25">
      <c r="A1273" t="s">
        <v>631</v>
      </c>
      <c r="B1273" t="s">
        <v>1034</v>
      </c>
      <c r="C1273">
        <v>2</v>
      </c>
      <c r="D1273" t="s">
        <v>682</v>
      </c>
      <c r="E1273" t="s">
        <v>697</v>
      </c>
      <c r="F1273" t="s">
        <v>27</v>
      </c>
      <c r="G1273">
        <v>0</v>
      </c>
      <c r="H1273">
        <v>1</v>
      </c>
      <c r="I1273" s="72" t="b">
        <v>0</v>
      </c>
      <c r="J1273" t="s">
        <v>1065</v>
      </c>
      <c r="K1273" s="69" t="s">
        <v>447</v>
      </c>
      <c r="L1273" t="s">
        <v>1094</v>
      </c>
      <c r="Q1273" t="s">
        <v>673</v>
      </c>
      <c r="R1273" t="s">
        <v>1053</v>
      </c>
    </row>
    <row r="1274" spans="1:18" hidden="1" x14ac:dyDescent="0.25">
      <c r="A1274" t="s">
        <v>631</v>
      </c>
      <c r="B1274" t="s">
        <v>1034</v>
      </c>
      <c r="C1274">
        <v>3</v>
      </c>
      <c r="D1274" t="s">
        <v>355</v>
      </c>
      <c r="E1274" t="s">
        <v>637</v>
      </c>
      <c r="F1274" t="s">
        <v>25</v>
      </c>
      <c r="G1274">
        <v>0</v>
      </c>
      <c r="H1274">
        <v>1</v>
      </c>
      <c r="I1274" s="73" t="b">
        <v>1</v>
      </c>
      <c r="J1274" t="s">
        <v>1059</v>
      </c>
      <c r="K1274" s="69" t="s">
        <v>447</v>
      </c>
      <c r="L1274" t="s">
        <v>1094</v>
      </c>
      <c r="Q1274" t="s">
        <v>673</v>
      </c>
      <c r="R1274" t="s">
        <v>1053</v>
      </c>
    </row>
    <row r="1275" spans="1:18" hidden="1" x14ac:dyDescent="0.25">
      <c r="A1275" t="s">
        <v>631</v>
      </c>
      <c r="B1275" t="s">
        <v>1034</v>
      </c>
      <c r="C1275">
        <v>3</v>
      </c>
      <c r="D1275" t="s">
        <v>687</v>
      </c>
      <c r="E1275" t="s">
        <v>615</v>
      </c>
      <c r="F1275" t="s">
        <v>25</v>
      </c>
      <c r="G1275">
        <v>20</v>
      </c>
      <c r="H1275">
        <v>30</v>
      </c>
      <c r="I1275" s="73" t="b">
        <v>1</v>
      </c>
      <c r="J1275" t="s">
        <v>1079</v>
      </c>
      <c r="K1275" s="69" t="s">
        <v>447</v>
      </c>
      <c r="L1275" t="s">
        <v>1094</v>
      </c>
      <c r="Q1275" t="s">
        <v>673</v>
      </c>
      <c r="R1275" t="s">
        <v>1053</v>
      </c>
    </row>
    <row r="1276" spans="1:18" hidden="1" x14ac:dyDescent="0.25">
      <c r="A1276" t="s">
        <v>631</v>
      </c>
      <c r="B1276" t="s">
        <v>1034</v>
      </c>
      <c r="C1276">
        <v>3</v>
      </c>
      <c r="D1276" t="s">
        <v>688</v>
      </c>
      <c r="E1276" t="s">
        <v>619</v>
      </c>
      <c r="F1276" t="s">
        <v>25</v>
      </c>
      <c r="G1276">
        <v>15</v>
      </c>
      <c r="H1276">
        <v>25</v>
      </c>
      <c r="I1276" s="73" t="b">
        <v>1</v>
      </c>
      <c r="J1276" t="s">
        <v>1063</v>
      </c>
      <c r="K1276" s="69" t="s">
        <v>447</v>
      </c>
      <c r="L1276" t="s">
        <v>1094</v>
      </c>
      <c r="Q1276" t="s">
        <v>673</v>
      </c>
      <c r="R1276" t="s">
        <v>1053</v>
      </c>
    </row>
    <row r="1277" spans="1:18" hidden="1" x14ac:dyDescent="0.25">
      <c r="A1277" t="s">
        <v>631</v>
      </c>
      <c r="B1277" t="s">
        <v>1034</v>
      </c>
      <c r="C1277">
        <v>3</v>
      </c>
      <c r="D1277" t="s">
        <v>708</v>
      </c>
      <c r="E1277" t="s">
        <v>637</v>
      </c>
      <c r="F1277" t="s">
        <v>25</v>
      </c>
      <c r="G1277">
        <v>0</v>
      </c>
      <c r="H1277">
        <v>1</v>
      </c>
      <c r="I1277" s="73" t="b">
        <v>1</v>
      </c>
      <c r="J1277" t="s">
        <v>1069</v>
      </c>
      <c r="K1277" s="69" t="s">
        <v>447</v>
      </c>
      <c r="L1277" t="s">
        <v>1094</v>
      </c>
      <c r="Q1277" t="s">
        <v>673</v>
      </c>
      <c r="R1277" t="s">
        <v>1053</v>
      </c>
    </row>
    <row r="1278" spans="1:18" hidden="1" x14ac:dyDescent="0.25">
      <c r="A1278" t="s">
        <v>631</v>
      </c>
      <c r="B1278" t="s">
        <v>1034</v>
      </c>
      <c r="C1278">
        <v>3</v>
      </c>
      <c r="D1278" t="s">
        <v>689</v>
      </c>
      <c r="E1278" t="s">
        <v>586</v>
      </c>
      <c r="F1278" t="s">
        <v>27</v>
      </c>
      <c r="G1278">
        <v>45</v>
      </c>
      <c r="H1278">
        <v>55</v>
      </c>
      <c r="I1278" s="72" t="b">
        <v>0</v>
      </c>
      <c r="J1278" t="s">
        <v>1073</v>
      </c>
      <c r="K1278" s="69" t="s">
        <v>447</v>
      </c>
      <c r="L1278" t="s">
        <v>1094</v>
      </c>
      <c r="Q1278" t="s">
        <v>673</v>
      </c>
      <c r="R1278" t="s">
        <v>1053</v>
      </c>
    </row>
    <row r="1279" spans="1:18" hidden="1" x14ac:dyDescent="0.25">
      <c r="A1279" t="s">
        <v>631</v>
      </c>
      <c r="B1279" t="s">
        <v>1034</v>
      </c>
      <c r="C1279">
        <v>3</v>
      </c>
      <c r="D1279" t="s">
        <v>682</v>
      </c>
      <c r="E1279" t="s">
        <v>587</v>
      </c>
      <c r="F1279" t="s">
        <v>27</v>
      </c>
      <c r="G1279">
        <v>35</v>
      </c>
      <c r="H1279">
        <v>45</v>
      </c>
      <c r="I1279" s="72" t="b">
        <v>0</v>
      </c>
      <c r="J1279" t="s">
        <v>1065</v>
      </c>
      <c r="K1279" s="69" t="s">
        <v>447</v>
      </c>
      <c r="L1279" t="s">
        <v>1094</v>
      </c>
      <c r="Q1279" t="s">
        <v>673</v>
      </c>
      <c r="R1279" t="s">
        <v>1053</v>
      </c>
    </row>
    <row r="1280" spans="1:18" hidden="1" x14ac:dyDescent="0.25">
      <c r="A1280" t="s">
        <v>631</v>
      </c>
      <c r="B1280" t="s">
        <v>1035</v>
      </c>
      <c r="C1280">
        <v>1</v>
      </c>
      <c r="D1280" t="s">
        <v>11</v>
      </c>
      <c r="E1280" t="s">
        <v>695</v>
      </c>
      <c r="F1280" t="s">
        <v>27</v>
      </c>
      <c r="G1280">
        <v>2</v>
      </c>
      <c r="H1280">
        <v>5</v>
      </c>
      <c r="I1280" s="72" t="b">
        <v>0</v>
      </c>
      <c r="J1280" t="s">
        <v>715</v>
      </c>
      <c r="K1280" s="68" t="s">
        <v>32</v>
      </c>
      <c r="Q1280" t="s">
        <v>673</v>
      </c>
      <c r="R1280" t="s">
        <v>1053</v>
      </c>
    </row>
    <row r="1281" spans="1:18" hidden="1" x14ac:dyDescent="0.25">
      <c r="A1281" t="s">
        <v>631</v>
      </c>
      <c r="B1281" t="s">
        <v>1035</v>
      </c>
      <c r="C1281">
        <v>1</v>
      </c>
      <c r="D1281" t="s">
        <v>705</v>
      </c>
      <c r="E1281" t="s">
        <v>637</v>
      </c>
      <c r="F1281" t="s">
        <v>25</v>
      </c>
      <c r="G1281">
        <v>0</v>
      </c>
      <c r="H1281">
        <v>1</v>
      </c>
      <c r="I1281" s="73" t="b">
        <v>1</v>
      </c>
      <c r="J1281" t="s">
        <v>1068</v>
      </c>
      <c r="K1281" s="68" t="s">
        <v>32</v>
      </c>
      <c r="Q1281" t="s">
        <v>673</v>
      </c>
      <c r="R1281" t="s">
        <v>1053</v>
      </c>
    </row>
    <row r="1282" spans="1:18" hidden="1" x14ac:dyDescent="0.25">
      <c r="A1282" t="s">
        <v>631</v>
      </c>
      <c r="B1282" t="s">
        <v>1035</v>
      </c>
      <c r="C1282">
        <v>1</v>
      </c>
      <c r="D1282" t="s">
        <v>355</v>
      </c>
      <c r="E1282" t="s">
        <v>696</v>
      </c>
      <c r="F1282" s="69" t="s">
        <v>25</v>
      </c>
      <c r="G1282">
        <v>0</v>
      </c>
      <c r="H1282">
        <v>1</v>
      </c>
      <c r="I1282" s="69" t="b">
        <v>1</v>
      </c>
      <c r="J1282" t="s">
        <v>1059</v>
      </c>
      <c r="K1282" s="68" t="s">
        <v>32</v>
      </c>
      <c r="Q1282" t="s">
        <v>673</v>
      </c>
      <c r="R1282" t="s">
        <v>1053</v>
      </c>
    </row>
    <row r="1283" spans="1:18" hidden="1" x14ac:dyDescent="0.25">
      <c r="A1283" t="s">
        <v>631</v>
      </c>
      <c r="B1283" t="s">
        <v>1035</v>
      </c>
      <c r="C1283">
        <v>1</v>
      </c>
      <c r="D1283" t="s">
        <v>421</v>
      </c>
      <c r="E1283" t="s">
        <v>644</v>
      </c>
      <c r="F1283" t="s">
        <v>25</v>
      </c>
      <c r="G1283">
        <v>45</v>
      </c>
      <c r="H1283">
        <v>55</v>
      </c>
      <c r="I1283" s="73" t="b">
        <v>1</v>
      </c>
      <c r="J1283" t="s">
        <v>1077</v>
      </c>
      <c r="K1283" s="68" t="s">
        <v>32</v>
      </c>
      <c r="Q1283" t="s">
        <v>673</v>
      </c>
      <c r="R1283" t="s">
        <v>1053</v>
      </c>
    </row>
    <row r="1284" spans="1:18" hidden="1" x14ac:dyDescent="0.25">
      <c r="A1284" t="s">
        <v>631</v>
      </c>
      <c r="B1284" t="s">
        <v>1035</v>
      </c>
      <c r="C1284">
        <v>1</v>
      </c>
      <c r="D1284" t="s">
        <v>392</v>
      </c>
      <c r="E1284" t="s">
        <v>607</v>
      </c>
      <c r="F1284" t="s">
        <v>25</v>
      </c>
      <c r="G1284">
        <v>55</v>
      </c>
      <c r="H1284">
        <v>65</v>
      </c>
      <c r="I1284" s="73" t="b">
        <v>1</v>
      </c>
      <c r="J1284" t="s">
        <v>847</v>
      </c>
      <c r="K1284" s="68" t="s">
        <v>32</v>
      </c>
      <c r="Q1284" t="s">
        <v>673</v>
      </c>
      <c r="R1284" t="s">
        <v>1053</v>
      </c>
    </row>
    <row r="1285" spans="1:18" hidden="1" x14ac:dyDescent="0.25">
      <c r="A1285" t="s">
        <v>631</v>
      </c>
      <c r="B1285" t="s">
        <v>1035</v>
      </c>
      <c r="C1285">
        <v>1</v>
      </c>
      <c r="D1285" t="s">
        <v>410</v>
      </c>
      <c r="E1285" t="s">
        <v>697</v>
      </c>
      <c r="F1285" t="s">
        <v>27</v>
      </c>
      <c r="G1285">
        <v>0</v>
      </c>
      <c r="H1285">
        <v>1</v>
      </c>
      <c r="I1285" s="72" t="b">
        <v>0</v>
      </c>
      <c r="J1285" t="s">
        <v>1067</v>
      </c>
      <c r="K1285" s="68" t="s">
        <v>32</v>
      </c>
      <c r="Q1285" t="s">
        <v>673</v>
      </c>
      <c r="R1285" t="s">
        <v>1053</v>
      </c>
    </row>
    <row r="1286" spans="1:18" hidden="1" x14ac:dyDescent="0.25">
      <c r="A1286" t="s">
        <v>631</v>
      </c>
      <c r="B1286" t="s">
        <v>1035</v>
      </c>
      <c r="C1286">
        <v>1</v>
      </c>
      <c r="D1286" t="s">
        <v>682</v>
      </c>
      <c r="E1286" t="s">
        <v>574</v>
      </c>
      <c r="F1286" t="s">
        <v>27</v>
      </c>
      <c r="G1286">
        <v>3</v>
      </c>
      <c r="H1286">
        <v>7</v>
      </c>
      <c r="I1286" s="72" t="b">
        <v>0</v>
      </c>
      <c r="J1286" t="s">
        <v>1065</v>
      </c>
      <c r="K1286" s="68" t="s">
        <v>32</v>
      </c>
      <c r="Q1286" t="s">
        <v>673</v>
      </c>
      <c r="R1286" t="s">
        <v>1053</v>
      </c>
    </row>
    <row r="1287" spans="1:18" hidden="1" x14ac:dyDescent="0.25">
      <c r="A1287" s="77" t="s">
        <v>631</v>
      </c>
      <c r="B1287" s="77" t="s">
        <v>1035</v>
      </c>
      <c r="C1287" s="77">
        <v>2</v>
      </c>
      <c r="D1287" s="77" t="s">
        <v>11</v>
      </c>
      <c r="E1287" s="77" t="s">
        <v>698</v>
      </c>
      <c r="F1287" t="s">
        <v>25</v>
      </c>
      <c r="G1287">
        <v>2</v>
      </c>
      <c r="H1287">
        <v>11</v>
      </c>
      <c r="I1287" s="73" t="b">
        <v>1</v>
      </c>
      <c r="J1287" t="s">
        <v>715</v>
      </c>
      <c r="K1287" s="68" t="s">
        <v>32</v>
      </c>
      <c r="L1287" t="s">
        <v>1094</v>
      </c>
      <c r="N1287" s="77" t="s">
        <v>1033</v>
      </c>
      <c r="O1287" s="77" t="s">
        <v>24</v>
      </c>
      <c r="P1287" s="77">
        <v>10</v>
      </c>
      <c r="Q1287" t="s">
        <v>673</v>
      </c>
      <c r="R1287" t="s">
        <v>1053</v>
      </c>
    </row>
    <row r="1288" spans="1:18" hidden="1" x14ac:dyDescent="0.25">
      <c r="A1288" s="77" t="s">
        <v>631</v>
      </c>
      <c r="B1288" s="77" t="s">
        <v>1035</v>
      </c>
      <c r="C1288" s="77">
        <v>2</v>
      </c>
      <c r="D1288" s="77" t="s">
        <v>11</v>
      </c>
      <c r="E1288" s="77" t="s">
        <v>1029</v>
      </c>
      <c r="F1288" t="s">
        <v>25</v>
      </c>
      <c r="G1288">
        <v>5</v>
      </c>
      <c r="H1288">
        <v>16</v>
      </c>
      <c r="I1288" s="73" t="b">
        <v>1</v>
      </c>
      <c r="J1288" t="s">
        <v>715</v>
      </c>
      <c r="K1288" s="69" t="s">
        <v>447</v>
      </c>
      <c r="L1288" t="s">
        <v>1094</v>
      </c>
      <c r="N1288" s="77" t="s">
        <v>1033</v>
      </c>
      <c r="O1288" s="77" t="s">
        <v>24</v>
      </c>
      <c r="P1288" s="77">
        <v>10</v>
      </c>
      <c r="Q1288" t="s">
        <v>673</v>
      </c>
      <c r="R1288" t="s">
        <v>1053</v>
      </c>
    </row>
    <row r="1289" spans="1:18" hidden="1" x14ac:dyDescent="0.25">
      <c r="A1289" t="s">
        <v>631</v>
      </c>
      <c r="B1289" t="s">
        <v>1035</v>
      </c>
      <c r="C1289">
        <v>2</v>
      </c>
      <c r="D1289" t="s">
        <v>705</v>
      </c>
      <c r="E1289" t="s">
        <v>637</v>
      </c>
      <c r="F1289" t="s">
        <v>25</v>
      </c>
      <c r="G1289">
        <v>0</v>
      </c>
      <c r="H1289">
        <v>1</v>
      </c>
      <c r="I1289" s="73" t="b">
        <v>1</v>
      </c>
      <c r="J1289" t="s">
        <v>1068</v>
      </c>
      <c r="K1289" s="68" t="s">
        <v>32</v>
      </c>
      <c r="L1289" t="s">
        <v>1094</v>
      </c>
      <c r="Q1289" t="s">
        <v>673</v>
      </c>
      <c r="R1289" t="s">
        <v>1053</v>
      </c>
    </row>
    <row r="1290" spans="1:18" hidden="1" x14ac:dyDescent="0.25">
      <c r="A1290" t="s">
        <v>631</v>
      </c>
      <c r="B1290" t="s">
        <v>1035</v>
      </c>
      <c r="C1290">
        <v>2</v>
      </c>
      <c r="D1290" t="s">
        <v>421</v>
      </c>
      <c r="E1290" t="s">
        <v>625</v>
      </c>
      <c r="F1290" t="s">
        <v>25</v>
      </c>
      <c r="G1290">
        <v>35</v>
      </c>
      <c r="H1290">
        <v>45</v>
      </c>
      <c r="I1290" s="73" t="b">
        <v>1</v>
      </c>
      <c r="J1290" t="s">
        <v>1077</v>
      </c>
      <c r="K1290" s="68" t="s">
        <v>32</v>
      </c>
      <c r="L1290" t="s">
        <v>1094</v>
      </c>
      <c r="Q1290" t="s">
        <v>673</v>
      </c>
      <c r="R1290" t="s">
        <v>1053</v>
      </c>
    </row>
    <row r="1291" spans="1:18" hidden="1" x14ac:dyDescent="0.25">
      <c r="A1291" t="s">
        <v>631</v>
      </c>
      <c r="B1291" t="s">
        <v>1035</v>
      </c>
      <c r="C1291">
        <v>2</v>
      </c>
      <c r="D1291" t="s">
        <v>707</v>
      </c>
      <c r="E1291" t="s">
        <v>625</v>
      </c>
      <c r="F1291" t="s">
        <v>25</v>
      </c>
      <c r="G1291">
        <v>35</v>
      </c>
      <c r="H1291">
        <v>45</v>
      </c>
      <c r="I1291" s="73" t="b">
        <v>1</v>
      </c>
      <c r="J1291" t="s">
        <v>1070</v>
      </c>
      <c r="K1291" s="68" t="s">
        <v>32</v>
      </c>
      <c r="L1291" t="s">
        <v>1094</v>
      </c>
      <c r="Q1291" t="s">
        <v>673</v>
      </c>
      <c r="R1291" t="s">
        <v>1053</v>
      </c>
    </row>
    <row r="1292" spans="1:18" hidden="1" x14ac:dyDescent="0.25">
      <c r="A1292" t="s">
        <v>631</v>
      </c>
      <c r="B1292" t="s">
        <v>1035</v>
      </c>
      <c r="C1292">
        <v>2</v>
      </c>
      <c r="D1292" t="s">
        <v>682</v>
      </c>
      <c r="E1292" t="s">
        <v>585</v>
      </c>
      <c r="F1292" t="s">
        <v>27</v>
      </c>
      <c r="G1292">
        <v>7</v>
      </c>
      <c r="H1292">
        <v>13</v>
      </c>
      <c r="I1292" s="72" t="b">
        <v>0</v>
      </c>
      <c r="J1292" t="s">
        <v>1065</v>
      </c>
      <c r="K1292" s="68" t="s">
        <v>32</v>
      </c>
      <c r="L1292" t="s">
        <v>1094</v>
      </c>
      <c r="Q1292" t="s">
        <v>673</v>
      </c>
      <c r="R1292" t="s">
        <v>1053</v>
      </c>
    </row>
    <row r="1293" spans="1:18" hidden="1" x14ac:dyDescent="0.25">
      <c r="A1293" t="s">
        <v>631</v>
      </c>
      <c r="B1293" t="s">
        <v>1035</v>
      </c>
      <c r="C1293">
        <v>3</v>
      </c>
      <c r="D1293" t="s">
        <v>687</v>
      </c>
      <c r="E1293" t="s">
        <v>615</v>
      </c>
      <c r="F1293" t="s">
        <v>25</v>
      </c>
      <c r="G1293">
        <v>20</v>
      </c>
      <c r="H1293">
        <v>30</v>
      </c>
      <c r="I1293" s="73" t="b">
        <v>1</v>
      </c>
      <c r="J1293" t="s">
        <v>1079</v>
      </c>
      <c r="K1293" s="68" t="s">
        <v>32</v>
      </c>
      <c r="L1293" t="s">
        <v>1094</v>
      </c>
      <c r="Q1293" t="s">
        <v>673</v>
      </c>
      <c r="R1293" t="s">
        <v>1053</v>
      </c>
    </row>
    <row r="1294" spans="1:18" hidden="1" x14ac:dyDescent="0.25">
      <c r="A1294" t="s">
        <v>631</v>
      </c>
      <c r="B1294" t="s">
        <v>1035</v>
      </c>
      <c r="C1294">
        <v>3</v>
      </c>
      <c r="D1294" t="s">
        <v>688</v>
      </c>
      <c r="E1294" t="s">
        <v>619</v>
      </c>
      <c r="F1294" t="s">
        <v>25</v>
      </c>
      <c r="G1294">
        <v>15</v>
      </c>
      <c r="H1294">
        <v>25</v>
      </c>
      <c r="I1294" s="73" t="b">
        <v>1</v>
      </c>
      <c r="J1294" t="s">
        <v>1063</v>
      </c>
      <c r="K1294" s="68" t="s">
        <v>32</v>
      </c>
      <c r="L1294" t="s">
        <v>1094</v>
      </c>
      <c r="Q1294" t="s">
        <v>673</v>
      </c>
      <c r="R1294" t="s">
        <v>1053</v>
      </c>
    </row>
    <row r="1295" spans="1:18" hidden="1" x14ac:dyDescent="0.25">
      <c r="A1295" t="s">
        <v>631</v>
      </c>
      <c r="B1295" t="s">
        <v>1035</v>
      </c>
      <c r="C1295">
        <v>3</v>
      </c>
      <c r="D1295" t="s">
        <v>708</v>
      </c>
      <c r="E1295" t="s">
        <v>637</v>
      </c>
      <c r="F1295" t="s">
        <v>25</v>
      </c>
      <c r="G1295">
        <v>0</v>
      </c>
      <c r="H1295">
        <v>1</v>
      </c>
      <c r="I1295" s="73" t="b">
        <v>1</v>
      </c>
      <c r="J1295" t="s">
        <v>1069</v>
      </c>
      <c r="K1295" s="68" t="s">
        <v>32</v>
      </c>
      <c r="L1295" t="s">
        <v>1094</v>
      </c>
      <c r="Q1295" t="s">
        <v>673</v>
      </c>
      <c r="R1295" t="s">
        <v>1053</v>
      </c>
    </row>
    <row r="1296" spans="1:18" hidden="1" x14ac:dyDescent="0.25">
      <c r="A1296" t="s">
        <v>631</v>
      </c>
      <c r="B1296" t="s">
        <v>1035</v>
      </c>
      <c r="C1296">
        <v>3</v>
      </c>
      <c r="D1296" t="s">
        <v>689</v>
      </c>
      <c r="E1296" t="s">
        <v>586</v>
      </c>
      <c r="F1296" t="s">
        <v>27</v>
      </c>
      <c r="G1296">
        <v>45</v>
      </c>
      <c r="H1296">
        <v>55</v>
      </c>
      <c r="I1296" s="72" t="b">
        <v>0</v>
      </c>
      <c r="J1296" t="s">
        <v>1073</v>
      </c>
      <c r="K1296" s="68" t="s">
        <v>32</v>
      </c>
      <c r="L1296" t="s">
        <v>1094</v>
      </c>
      <c r="Q1296" t="s">
        <v>673</v>
      </c>
      <c r="R1296" t="s">
        <v>1053</v>
      </c>
    </row>
    <row r="1297" spans="1:18" hidden="1" x14ac:dyDescent="0.25">
      <c r="A1297" t="s">
        <v>631</v>
      </c>
      <c r="B1297" t="s">
        <v>1035</v>
      </c>
      <c r="C1297">
        <v>3</v>
      </c>
      <c r="D1297" t="s">
        <v>682</v>
      </c>
      <c r="E1297" t="s">
        <v>585</v>
      </c>
      <c r="F1297" t="s">
        <v>27</v>
      </c>
      <c r="G1297">
        <v>7</v>
      </c>
      <c r="H1297">
        <v>13</v>
      </c>
      <c r="I1297" s="72" t="b">
        <v>0</v>
      </c>
      <c r="J1297" t="s">
        <v>1065</v>
      </c>
      <c r="K1297" s="68" t="s">
        <v>32</v>
      </c>
      <c r="L1297" t="s">
        <v>1094</v>
      </c>
      <c r="Q1297" t="s">
        <v>673</v>
      </c>
      <c r="R1297" t="s">
        <v>1053</v>
      </c>
    </row>
    <row r="1298" spans="1:18" hidden="1" x14ac:dyDescent="0.25">
      <c r="A1298" t="s">
        <v>631</v>
      </c>
      <c r="B1298" t="s">
        <v>1035</v>
      </c>
      <c r="C1298">
        <v>4</v>
      </c>
      <c r="D1298" t="s">
        <v>687</v>
      </c>
      <c r="E1298" t="s">
        <v>636</v>
      </c>
      <c r="F1298" t="s">
        <v>25</v>
      </c>
      <c r="G1298">
        <v>3</v>
      </c>
      <c r="H1298">
        <v>7</v>
      </c>
      <c r="I1298" s="73" t="b">
        <v>1</v>
      </c>
      <c r="J1298" t="s">
        <v>1079</v>
      </c>
      <c r="K1298" s="68" t="s">
        <v>32</v>
      </c>
      <c r="Q1298" t="s">
        <v>673</v>
      </c>
      <c r="R1298" t="s">
        <v>1053</v>
      </c>
    </row>
    <row r="1299" spans="1:18" hidden="1" x14ac:dyDescent="0.25">
      <c r="A1299" t="s">
        <v>631</v>
      </c>
      <c r="B1299" t="s">
        <v>1035</v>
      </c>
      <c r="C1299">
        <v>4</v>
      </c>
      <c r="D1299" t="s">
        <v>688</v>
      </c>
      <c r="E1299" t="s">
        <v>636</v>
      </c>
      <c r="F1299" t="s">
        <v>25</v>
      </c>
      <c r="G1299">
        <v>3</v>
      </c>
      <c r="H1299">
        <v>7</v>
      </c>
      <c r="I1299" s="73" t="b">
        <v>1</v>
      </c>
      <c r="J1299" t="s">
        <v>1063</v>
      </c>
      <c r="K1299" s="68" t="s">
        <v>32</v>
      </c>
      <c r="Q1299" t="s">
        <v>673</v>
      </c>
      <c r="R1299" t="s">
        <v>1053</v>
      </c>
    </row>
    <row r="1300" spans="1:18" hidden="1" x14ac:dyDescent="0.25">
      <c r="A1300" t="s">
        <v>631</v>
      </c>
      <c r="B1300" t="s">
        <v>1035</v>
      </c>
      <c r="C1300">
        <v>4</v>
      </c>
      <c r="D1300" t="s">
        <v>690</v>
      </c>
      <c r="E1300" t="s">
        <v>699</v>
      </c>
      <c r="F1300" t="s">
        <v>27</v>
      </c>
      <c r="G1300">
        <v>40</v>
      </c>
      <c r="H1300">
        <v>50</v>
      </c>
      <c r="I1300" s="72" t="b">
        <v>0</v>
      </c>
      <c r="J1300" t="s">
        <v>1081</v>
      </c>
      <c r="K1300" s="68" t="s">
        <v>32</v>
      </c>
      <c r="Q1300" t="s">
        <v>673</v>
      </c>
      <c r="R1300" t="s">
        <v>1053</v>
      </c>
    </row>
    <row r="1301" spans="1:18" hidden="1" x14ac:dyDescent="0.25">
      <c r="A1301" t="s">
        <v>631</v>
      </c>
      <c r="B1301" t="s">
        <v>1035</v>
      </c>
      <c r="C1301">
        <v>4</v>
      </c>
      <c r="D1301" t="s">
        <v>683</v>
      </c>
      <c r="E1301" t="s">
        <v>585</v>
      </c>
      <c r="F1301" t="s">
        <v>27</v>
      </c>
      <c r="G1301">
        <v>7</v>
      </c>
      <c r="H1301">
        <v>13</v>
      </c>
      <c r="I1301" s="72" t="b">
        <v>0</v>
      </c>
      <c r="J1301" t="s">
        <v>1066</v>
      </c>
      <c r="K1301" s="68" t="s">
        <v>32</v>
      </c>
      <c r="Q1301" t="s">
        <v>673</v>
      </c>
      <c r="R1301" t="s">
        <v>1053</v>
      </c>
    </row>
    <row r="1302" spans="1:18" hidden="1" x14ac:dyDescent="0.25">
      <c r="A1302" t="s">
        <v>631</v>
      </c>
      <c r="B1302" t="s">
        <v>1035</v>
      </c>
      <c r="C1302">
        <v>5</v>
      </c>
      <c r="D1302" t="s">
        <v>11</v>
      </c>
      <c r="E1302" t="s">
        <v>620</v>
      </c>
      <c r="F1302" t="s">
        <v>25</v>
      </c>
      <c r="G1302">
        <v>1</v>
      </c>
      <c r="H1302">
        <v>4</v>
      </c>
      <c r="I1302" s="73" t="b">
        <v>1</v>
      </c>
      <c r="J1302" t="s">
        <v>715</v>
      </c>
      <c r="K1302" s="68" t="s">
        <v>32</v>
      </c>
      <c r="Q1302" t="s">
        <v>673</v>
      </c>
      <c r="R1302" t="s">
        <v>1053</v>
      </c>
    </row>
    <row r="1303" spans="1:18" hidden="1" x14ac:dyDescent="0.25">
      <c r="A1303" t="s">
        <v>631</v>
      </c>
      <c r="B1303" t="s">
        <v>1035</v>
      </c>
      <c r="C1303">
        <v>5</v>
      </c>
      <c r="D1303" t="s">
        <v>662</v>
      </c>
      <c r="E1303" t="s">
        <v>622</v>
      </c>
      <c r="F1303" t="s">
        <v>25</v>
      </c>
      <c r="G1303">
        <v>7</v>
      </c>
      <c r="H1303">
        <v>13</v>
      </c>
      <c r="I1303" s="73" t="b">
        <v>1</v>
      </c>
      <c r="J1303" t="s">
        <v>1078</v>
      </c>
      <c r="K1303" s="68" t="s">
        <v>32</v>
      </c>
      <c r="Q1303" t="s">
        <v>673</v>
      </c>
      <c r="R1303" t="s">
        <v>1053</v>
      </c>
    </row>
    <row r="1304" spans="1:18" hidden="1" x14ac:dyDescent="0.25">
      <c r="A1304" t="s">
        <v>631</v>
      </c>
      <c r="B1304" t="s">
        <v>1035</v>
      </c>
      <c r="C1304">
        <v>2</v>
      </c>
      <c r="D1304" t="s">
        <v>705</v>
      </c>
      <c r="E1304" t="s">
        <v>637</v>
      </c>
      <c r="F1304" t="s">
        <v>25</v>
      </c>
      <c r="G1304">
        <v>0</v>
      </c>
      <c r="H1304">
        <v>1</v>
      </c>
      <c r="I1304" s="73" t="b">
        <v>1</v>
      </c>
      <c r="J1304" t="s">
        <v>1068</v>
      </c>
      <c r="K1304" s="69" t="s">
        <v>447</v>
      </c>
      <c r="L1304" t="s">
        <v>1094</v>
      </c>
      <c r="Q1304" t="s">
        <v>673</v>
      </c>
      <c r="R1304" t="s">
        <v>1053</v>
      </c>
    </row>
    <row r="1305" spans="1:18" hidden="1" x14ac:dyDescent="0.25">
      <c r="A1305" t="s">
        <v>631</v>
      </c>
      <c r="B1305" t="s">
        <v>1035</v>
      </c>
      <c r="C1305">
        <v>2</v>
      </c>
      <c r="D1305" t="s">
        <v>421</v>
      </c>
      <c r="E1305" t="s">
        <v>619</v>
      </c>
      <c r="F1305" t="s">
        <v>25</v>
      </c>
      <c r="G1305">
        <v>15</v>
      </c>
      <c r="H1305">
        <v>25</v>
      </c>
      <c r="I1305" s="73" t="b">
        <v>1</v>
      </c>
      <c r="J1305" t="s">
        <v>1077</v>
      </c>
      <c r="K1305" s="69" t="s">
        <v>447</v>
      </c>
      <c r="L1305" t="s">
        <v>1094</v>
      </c>
      <c r="Q1305" t="s">
        <v>673</v>
      </c>
      <c r="R1305" t="s">
        <v>1053</v>
      </c>
    </row>
    <row r="1306" spans="1:18" hidden="1" x14ac:dyDescent="0.25">
      <c r="A1306" t="s">
        <v>631</v>
      </c>
      <c r="B1306" t="s">
        <v>1035</v>
      </c>
      <c r="C1306">
        <v>2</v>
      </c>
      <c r="D1306" t="s">
        <v>707</v>
      </c>
      <c r="E1306" t="s">
        <v>625</v>
      </c>
      <c r="F1306" t="s">
        <v>25</v>
      </c>
      <c r="G1306">
        <v>35</v>
      </c>
      <c r="H1306">
        <v>45</v>
      </c>
      <c r="I1306" s="73" t="b">
        <v>1</v>
      </c>
      <c r="J1306" t="s">
        <v>1070</v>
      </c>
      <c r="K1306" s="69" t="s">
        <v>447</v>
      </c>
      <c r="L1306" t="s">
        <v>1094</v>
      </c>
      <c r="Q1306" t="s">
        <v>673</v>
      </c>
      <c r="R1306" t="s">
        <v>1053</v>
      </c>
    </row>
    <row r="1307" spans="1:18" hidden="1" x14ac:dyDescent="0.25">
      <c r="A1307" t="s">
        <v>631</v>
      </c>
      <c r="B1307" t="s">
        <v>1035</v>
      </c>
      <c r="C1307">
        <v>2</v>
      </c>
      <c r="D1307" t="s">
        <v>682</v>
      </c>
      <c r="E1307" t="s">
        <v>697</v>
      </c>
      <c r="F1307" t="s">
        <v>27</v>
      </c>
      <c r="G1307">
        <v>0</v>
      </c>
      <c r="H1307">
        <v>1</v>
      </c>
      <c r="I1307" s="72" t="b">
        <v>0</v>
      </c>
      <c r="J1307" t="s">
        <v>1065</v>
      </c>
      <c r="K1307" s="69" t="s">
        <v>447</v>
      </c>
      <c r="L1307" t="s">
        <v>1094</v>
      </c>
      <c r="Q1307" t="s">
        <v>673</v>
      </c>
      <c r="R1307" t="s">
        <v>1053</v>
      </c>
    </row>
    <row r="1308" spans="1:18" hidden="1" x14ac:dyDescent="0.25">
      <c r="A1308" t="s">
        <v>631</v>
      </c>
      <c r="B1308" t="s">
        <v>1035</v>
      </c>
      <c r="C1308">
        <v>3</v>
      </c>
      <c r="D1308" t="s">
        <v>355</v>
      </c>
      <c r="E1308" t="s">
        <v>637</v>
      </c>
      <c r="F1308" t="s">
        <v>25</v>
      </c>
      <c r="G1308">
        <v>0</v>
      </c>
      <c r="H1308">
        <v>1</v>
      </c>
      <c r="I1308" s="73" t="b">
        <v>1</v>
      </c>
      <c r="J1308" t="s">
        <v>1059</v>
      </c>
      <c r="K1308" s="69" t="s">
        <v>447</v>
      </c>
      <c r="L1308" t="s">
        <v>1094</v>
      </c>
      <c r="Q1308" t="s">
        <v>673</v>
      </c>
      <c r="R1308" t="s">
        <v>1053</v>
      </c>
    </row>
    <row r="1309" spans="1:18" hidden="1" x14ac:dyDescent="0.25">
      <c r="A1309" t="s">
        <v>631</v>
      </c>
      <c r="B1309" t="s">
        <v>1035</v>
      </c>
      <c r="C1309">
        <v>3</v>
      </c>
      <c r="D1309" t="s">
        <v>687</v>
      </c>
      <c r="E1309" t="s">
        <v>615</v>
      </c>
      <c r="F1309" t="s">
        <v>25</v>
      </c>
      <c r="G1309">
        <v>20</v>
      </c>
      <c r="H1309">
        <v>30</v>
      </c>
      <c r="I1309" s="73" t="b">
        <v>1</v>
      </c>
      <c r="J1309" t="s">
        <v>1079</v>
      </c>
      <c r="K1309" s="69" t="s">
        <v>447</v>
      </c>
      <c r="L1309" t="s">
        <v>1094</v>
      </c>
      <c r="Q1309" t="s">
        <v>673</v>
      </c>
      <c r="R1309" t="s">
        <v>1053</v>
      </c>
    </row>
    <row r="1310" spans="1:18" hidden="1" x14ac:dyDescent="0.25">
      <c r="A1310" t="s">
        <v>631</v>
      </c>
      <c r="B1310" t="s">
        <v>1035</v>
      </c>
      <c r="C1310">
        <v>3</v>
      </c>
      <c r="D1310" t="s">
        <v>688</v>
      </c>
      <c r="E1310" t="s">
        <v>619</v>
      </c>
      <c r="F1310" t="s">
        <v>25</v>
      </c>
      <c r="G1310">
        <v>15</v>
      </c>
      <c r="H1310">
        <v>25</v>
      </c>
      <c r="I1310" s="73" t="b">
        <v>1</v>
      </c>
      <c r="J1310" t="s">
        <v>1063</v>
      </c>
      <c r="K1310" s="69" t="s">
        <v>447</v>
      </c>
      <c r="L1310" t="s">
        <v>1094</v>
      </c>
      <c r="Q1310" t="s">
        <v>673</v>
      </c>
      <c r="R1310" t="s">
        <v>1053</v>
      </c>
    </row>
    <row r="1311" spans="1:18" hidden="1" x14ac:dyDescent="0.25">
      <c r="A1311" t="s">
        <v>631</v>
      </c>
      <c r="B1311" t="s">
        <v>1035</v>
      </c>
      <c r="C1311">
        <v>3</v>
      </c>
      <c r="D1311" t="s">
        <v>708</v>
      </c>
      <c r="E1311" t="s">
        <v>637</v>
      </c>
      <c r="F1311" t="s">
        <v>25</v>
      </c>
      <c r="G1311">
        <v>0</v>
      </c>
      <c r="H1311">
        <v>1</v>
      </c>
      <c r="I1311" s="73" t="b">
        <v>1</v>
      </c>
      <c r="J1311" t="s">
        <v>1069</v>
      </c>
      <c r="K1311" s="69" t="s">
        <v>447</v>
      </c>
      <c r="L1311" t="s">
        <v>1094</v>
      </c>
      <c r="Q1311" t="s">
        <v>673</v>
      </c>
      <c r="R1311" t="s">
        <v>1053</v>
      </c>
    </row>
    <row r="1312" spans="1:18" hidden="1" x14ac:dyDescent="0.25">
      <c r="A1312" t="s">
        <v>631</v>
      </c>
      <c r="B1312" t="s">
        <v>1035</v>
      </c>
      <c r="C1312">
        <v>3</v>
      </c>
      <c r="D1312" t="s">
        <v>689</v>
      </c>
      <c r="E1312" t="s">
        <v>586</v>
      </c>
      <c r="F1312" t="s">
        <v>27</v>
      </c>
      <c r="G1312">
        <v>45</v>
      </c>
      <c r="H1312">
        <v>55</v>
      </c>
      <c r="I1312" s="72" t="b">
        <v>0</v>
      </c>
      <c r="J1312" t="s">
        <v>1073</v>
      </c>
      <c r="K1312" s="69" t="s">
        <v>447</v>
      </c>
      <c r="L1312" t="s">
        <v>1094</v>
      </c>
      <c r="Q1312" t="s">
        <v>673</v>
      </c>
      <c r="R1312" t="s">
        <v>1053</v>
      </c>
    </row>
    <row r="1313" spans="1:18" hidden="1" x14ac:dyDescent="0.25">
      <c r="A1313" t="s">
        <v>631</v>
      </c>
      <c r="B1313" t="s">
        <v>1035</v>
      </c>
      <c r="C1313">
        <v>3</v>
      </c>
      <c r="D1313" t="s">
        <v>682</v>
      </c>
      <c r="E1313" t="s">
        <v>587</v>
      </c>
      <c r="F1313" t="s">
        <v>27</v>
      </c>
      <c r="G1313">
        <v>35</v>
      </c>
      <c r="H1313">
        <v>45</v>
      </c>
      <c r="I1313" s="72" t="b">
        <v>0</v>
      </c>
      <c r="J1313" t="s">
        <v>1065</v>
      </c>
      <c r="K1313" s="69" t="s">
        <v>447</v>
      </c>
      <c r="L1313" t="s">
        <v>1094</v>
      </c>
      <c r="Q1313" t="s">
        <v>673</v>
      </c>
      <c r="R1313" t="s">
        <v>1053</v>
      </c>
    </row>
    <row r="1314" spans="1:18" hidden="1" x14ac:dyDescent="0.25">
      <c r="A1314" t="s">
        <v>631</v>
      </c>
      <c r="B1314" t="s">
        <v>1038</v>
      </c>
      <c r="C1314">
        <v>1</v>
      </c>
      <c r="D1314" t="s">
        <v>11</v>
      </c>
      <c r="E1314" t="s">
        <v>695</v>
      </c>
      <c r="F1314" t="s">
        <v>27</v>
      </c>
      <c r="G1314">
        <v>2</v>
      </c>
      <c r="H1314">
        <v>5</v>
      </c>
      <c r="I1314" s="72" t="b">
        <v>0</v>
      </c>
      <c r="J1314" t="s">
        <v>715</v>
      </c>
      <c r="K1314" s="68" t="s">
        <v>32</v>
      </c>
      <c r="Q1314" t="s">
        <v>674</v>
      </c>
      <c r="R1314" t="s">
        <v>1054</v>
      </c>
    </row>
    <row r="1315" spans="1:18" hidden="1" x14ac:dyDescent="0.25">
      <c r="A1315" t="s">
        <v>631</v>
      </c>
      <c r="B1315" t="s">
        <v>1038</v>
      </c>
      <c r="C1315">
        <v>1</v>
      </c>
      <c r="D1315" t="s">
        <v>705</v>
      </c>
      <c r="E1315" t="s">
        <v>697</v>
      </c>
      <c r="F1315" t="s">
        <v>27</v>
      </c>
      <c r="G1315">
        <v>0</v>
      </c>
      <c r="H1315">
        <v>1</v>
      </c>
      <c r="I1315" s="72" t="b">
        <v>0</v>
      </c>
      <c r="J1315" t="s">
        <v>1068</v>
      </c>
      <c r="K1315" s="68" t="s">
        <v>32</v>
      </c>
      <c r="Q1315" t="s">
        <v>674</v>
      </c>
      <c r="R1315" t="s">
        <v>1054</v>
      </c>
    </row>
    <row r="1316" spans="1:18" hidden="1" x14ac:dyDescent="0.25">
      <c r="A1316" t="s">
        <v>631</v>
      </c>
      <c r="B1316" t="s">
        <v>1038</v>
      </c>
      <c r="C1316">
        <v>1</v>
      </c>
      <c r="D1316" t="s">
        <v>355</v>
      </c>
      <c r="E1316" t="s">
        <v>696</v>
      </c>
      <c r="F1316" s="69" t="s">
        <v>25</v>
      </c>
      <c r="G1316">
        <v>0</v>
      </c>
      <c r="H1316">
        <v>1</v>
      </c>
      <c r="I1316" s="69" t="b">
        <v>1</v>
      </c>
      <c r="J1316" t="s">
        <v>1059</v>
      </c>
      <c r="K1316" s="68" t="s">
        <v>32</v>
      </c>
      <c r="Q1316" t="s">
        <v>674</v>
      </c>
      <c r="R1316" t="s">
        <v>1054</v>
      </c>
    </row>
    <row r="1317" spans="1:18" hidden="1" x14ac:dyDescent="0.25">
      <c r="A1317" t="s">
        <v>631</v>
      </c>
      <c r="B1317" t="s">
        <v>1038</v>
      </c>
      <c r="C1317">
        <v>1</v>
      </c>
      <c r="D1317" t="s">
        <v>421</v>
      </c>
      <c r="E1317" t="s">
        <v>644</v>
      </c>
      <c r="F1317" t="s">
        <v>25</v>
      </c>
      <c r="G1317">
        <v>45</v>
      </c>
      <c r="H1317">
        <v>55</v>
      </c>
      <c r="I1317" s="73" t="b">
        <v>1</v>
      </c>
      <c r="J1317" t="s">
        <v>1077</v>
      </c>
      <c r="K1317" s="68" t="s">
        <v>32</v>
      </c>
      <c r="Q1317" t="s">
        <v>674</v>
      </c>
      <c r="R1317" t="s">
        <v>1054</v>
      </c>
    </row>
    <row r="1318" spans="1:18" hidden="1" x14ac:dyDescent="0.25">
      <c r="A1318" t="s">
        <v>631</v>
      </c>
      <c r="B1318" t="s">
        <v>1038</v>
      </c>
      <c r="C1318">
        <v>1</v>
      </c>
      <c r="D1318" t="s">
        <v>392</v>
      </c>
      <c r="E1318" t="s">
        <v>607</v>
      </c>
      <c r="F1318" t="s">
        <v>25</v>
      </c>
      <c r="G1318">
        <v>55</v>
      </c>
      <c r="H1318">
        <v>65</v>
      </c>
      <c r="I1318" s="73" t="b">
        <v>1</v>
      </c>
      <c r="J1318" t="s">
        <v>847</v>
      </c>
      <c r="K1318" s="68" t="s">
        <v>32</v>
      </c>
      <c r="Q1318" t="s">
        <v>674</v>
      </c>
      <c r="R1318" t="s">
        <v>1054</v>
      </c>
    </row>
    <row r="1319" spans="1:18" hidden="1" x14ac:dyDescent="0.25">
      <c r="A1319" t="s">
        <v>631</v>
      </c>
      <c r="B1319" t="s">
        <v>1038</v>
      </c>
      <c r="C1319">
        <v>1</v>
      </c>
      <c r="D1319" t="s">
        <v>410</v>
      </c>
      <c r="E1319" t="s">
        <v>697</v>
      </c>
      <c r="F1319" t="s">
        <v>27</v>
      </c>
      <c r="G1319">
        <v>0</v>
      </c>
      <c r="H1319">
        <v>1</v>
      </c>
      <c r="I1319" s="72" t="b">
        <v>0</v>
      </c>
      <c r="J1319" t="s">
        <v>1067</v>
      </c>
      <c r="K1319" s="68" t="s">
        <v>32</v>
      </c>
      <c r="Q1319" t="s">
        <v>674</v>
      </c>
      <c r="R1319" t="s">
        <v>1054</v>
      </c>
    </row>
    <row r="1320" spans="1:18" hidden="1" x14ac:dyDescent="0.25">
      <c r="A1320" t="s">
        <v>631</v>
      </c>
      <c r="B1320" t="s">
        <v>1038</v>
      </c>
      <c r="C1320">
        <v>1</v>
      </c>
      <c r="D1320" t="s">
        <v>682</v>
      </c>
      <c r="E1320" t="s">
        <v>574</v>
      </c>
      <c r="F1320" t="s">
        <v>27</v>
      </c>
      <c r="G1320">
        <v>3</v>
      </c>
      <c r="H1320">
        <v>7</v>
      </c>
      <c r="I1320" s="72" t="b">
        <v>0</v>
      </c>
      <c r="J1320" t="s">
        <v>1065</v>
      </c>
      <c r="K1320" s="68" t="s">
        <v>32</v>
      </c>
      <c r="Q1320" t="s">
        <v>674</v>
      </c>
      <c r="R1320" t="s">
        <v>1054</v>
      </c>
    </row>
    <row r="1321" spans="1:18" hidden="1" x14ac:dyDescent="0.25">
      <c r="A1321" s="76" t="s">
        <v>631</v>
      </c>
      <c r="B1321" s="76" t="s">
        <v>1038</v>
      </c>
      <c r="C1321" s="76">
        <v>2</v>
      </c>
      <c r="D1321" s="76" t="s">
        <v>11</v>
      </c>
      <c r="E1321" s="76" t="s">
        <v>580</v>
      </c>
      <c r="F1321" t="s">
        <v>27</v>
      </c>
      <c r="G1321">
        <v>6</v>
      </c>
      <c r="H1321">
        <v>10</v>
      </c>
      <c r="I1321" s="72" t="b">
        <v>0</v>
      </c>
      <c r="J1321" t="s">
        <v>715</v>
      </c>
      <c r="K1321" s="68" t="s">
        <v>32</v>
      </c>
      <c r="L1321" t="s">
        <v>1094</v>
      </c>
      <c r="N1321" s="77" t="s">
        <v>1033</v>
      </c>
      <c r="O1321" s="77" t="s">
        <v>27</v>
      </c>
      <c r="P1321" s="77">
        <v>10</v>
      </c>
      <c r="Q1321" t="s">
        <v>674</v>
      </c>
      <c r="R1321" t="s">
        <v>1054</v>
      </c>
    </row>
    <row r="1322" spans="1:18" hidden="1" x14ac:dyDescent="0.25">
      <c r="A1322" t="s">
        <v>631</v>
      </c>
      <c r="B1322" t="s">
        <v>1038</v>
      </c>
      <c r="C1322">
        <v>2</v>
      </c>
      <c r="D1322" t="s">
        <v>688</v>
      </c>
      <c r="E1322" t="s">
        <v>700</v>
      </c>
      <c r="F1322" t="s">
        <v>25</v>
      </c>
      <c r="G1322">
        <v>65</v>
      </c>
      <c r="H1322">
        <v>75</v>
      </c>
      <c r="I1322" s="73" t="b">
        <v>1</v>
      </c>
      <c r="J1322" t="s">
        <v>1063</v>
      </c>
      <c r="K1322" s="68" t="s">
        <v>32</v>
      </c>
      <c r="L1322" t="s">
        <v>1094</v>
      </c>
      <c r="Q1322" t="s">
        <v>674</v>
      </c>
      <c r="R1322" t="s">
        <v>1054</v>
      </c>
    </row>
    <row r="1323" spans="1:18" hidden="1" x14ac:dyDescent="0.25">
      <c r="A1323" t="s">
        <v>631</v>
      </c>
      <c r="B1323" t="s">
        <v>1038</v>
      </c>
      <c r="C1323">
        <v>3</v>
      </c>
      <c r="D1323" t="s">
        <v>687</v>
      </c>
      <c r="E1323" t="s">
        <v>615</v>
      </c>
      <c r="F1323" t="s">
        <v>25</v>
      </c>
      <c r="G1323">
        <v>20</v>
      </c>
      <c r="H1323">
        <v>30</v>
      </c>
      <c r="I1323" s="73" t="b">
        <v>1</v>
      </c>
      <c r="J1323" t="s">
        <v>1079</v>
      </c>
      <c r="K1323" s="68" t="s">
        <v>32</v>
      </c>
      <c r="L1323" t="s">
        <v>1094</v>
      </c>
      <c r="Q1323" t="s">
        <v>674</v>
      </c>
      <c r="R1323" t="s">
        <v>1054</v>
      </c>
    </row>
    <row r="1324" spans="1:18" hidden="1" x14ac:dyDescent="0.25">
      <c r="A1324" t="s">
        <v>631</v>
      </c>
      <c r="B1324" t="s">
        <v>1038</v>
      </c>
      <c r="C1324">
        <v>3</v>
      </c>
      <c r="D1324" t="s">
        <v>688</v>
      </c>
      <c r="E1324" t="s">
        <v>619</v>
      </c>
      <c r="F1324" t="s">
        <v>25</v>
      </c>
      <c r="G1324">
        <v>15</v>
      </c>
      <c r="H1324">
        <v>25</v>
      </c>
      <c r="I1324" s="73" t="b">
        <v>1</v>
      </c>
      <c r="J1324" t="s">
        <v>1063</v>
      </c>
      <c r="K1324" s="68" t="s">
        <v>32</v>
      </c>
      <c r="L1324" t="s">
        <v>1094</v>
      </c>
      <c r="Q1324" t="s">
        <v>674</v>
      </c>
      <c r="R1324" t="s">
        <v>1054</v>
      </c>
    </row>
    <row r="1325" spans="1:18" hidden="1" x14ac:dyDescent="0.25">
      <c r="A1325" t="s">
        <v>631</v>
      </c>
      <c r="B1325" t="s">
        <v>1038</v>
      </c>
      <c r="C1325">
        <v>3</v>
      </c>
      <c r="D1325" t="s">
        <v>708</v>
      </c>
      <c r="E1325" t="s">
        <v>637</v>
      </c>
      <c r="F1325" t="s">
        <v>25</v>
      </c>
      <c r="G1325">
        <v>0</v>
      </c>
      <c r="H1325">
        <v>1</v>
      </c>
      <c r="I1325" s="73" t="b">
        <v>1</v>
      </c>
      <c r="J1325" t="s">
        <v>1069</v>
      </c>
      <c r="K1325" s="68" t="s">
        <v>32</v>
      </c>
      <c r="L1325" t="s">
        <v>1094</v>
      </c>
      <c r="Q1325" t="s">
        <v>674</v>
      </c>
      <c r="R1325" t="s">
        <v>1054</v>
      </c>
    </row>
    <row r="1326" spans="1:18" hidden="1" x14ac:dyDescent="0.25">
      <c r="A1326" t="s">
        <v>631</v>
      </c>
      <c r="B1326" t="s">
        <v>1038</v>
      </c>
      <c r="C1326">
        <v>3</v>
      </c>
      <c r="D1326" t="s">
        <v>689</v>
      </c>
      <c r="E1326" t="s">
        <v>586</v>
      </c>
      <c r="F1326" t="s">
        <v>27</v>
      </c>
      <c r="G1326">
        <v>45</v>
      </c>
      <c r="H1326">
        <v>55</v>
      </c>
      <c r="I1326" s="72" t="b">
        <v>0</v>
      </c>
      <c r="J1326" t="s">
        <v>1073</v>
      </c>
      <c r="K1326" s="68" t="s">
        <v>32</v>
      </c>
      <c r="L1326" t="s">
        <v>1094</v>
      </c>
      <c r="Q1326" t="s">
        <v>674</v>
      </c>
      <c r="R1326" t="s">
        <v>1054</v>
      </c>
    </row>
    <row r="1327" spans="1:18" hidden="1" x14ac:dyDescent="0.25">
      <c r="A1327" t="s">
        <v>631</v>
      </c>
      <c r="B1327" t="s">
        <v>1038</v>
      </c>
      <c r="C1327">
        <v>3</v>
      </c>
      <c r="D1327" t="s">
        <v>682</v>
      </c>
      <c r="E1327" t="s">
        <v>585</v>
      </c>
      <c r="F1327" t="s">
        <v>27</v>
      </c>
      <c r="G1327">
        <v>7</v>
      </c>
      <c r="H1327">
        <v>13</v>
      </c>
      <c r="I1327" s="72" t="b">
        <v>0</v>
      </c>
      <c r="J1327" t="s">
        <v>1065</v>
      </c>
      <c r="K1327" s="68" t="s">
        <v>32</v>
      </c>
      <c r="L1327" t="s">
        <v>1094</v>
      </c>
      <c r="Q1327" t="s">
        <v>674</v>
      </c>
      <c r="R1327" t="s">
        <v>1054</v>
      </c>
    </row>
    <row r="1328" spans="1:18" hidden="1" x14ac:dyDescent="0.25">
      <c r="A1328" t="s">
        <v>631</v>
      </c>
      <c r="B1328" t="s">
        <v>1038</v>
      </c>
      <c r="C1328">
        <v>4</v>
      </c>
      <c r="D1328" t="s">
        <v>687</v>
      </c>
      <c r="E1328" t="s">
        <v>636</v>
      </c>
      <c r="F1328" t="s">
        <v>25</v>
      </c>
      <c r="G1328">
        <v>3</v>
      </c>
      <c r="H1328">
        <v>7</v>
      </c>
      <c r="I1328" s="73" t="b">
        <v>1</v>
      </c>
      <c r="J1328" t="s">
        <v>1079</v>
      </c>
      <c r="K1328" s="68" t="s">
        <v>32</v>
      </c>
      <c r="Q1328" t="s">
        <v>674</v>
      </c>
      <c r="R1328" t="s">
        <v>1054</v>
      </c>
    </row>
    <row r="1329" spans="1:18" hidden="1" x14ac:dyDescent="0.25">
      <c r="A1329" t="s">
        <v>631</v>
      </c>
      <c r="B1329" t="s">
        <v>1038</v>
      </c>
      <c r="C1329">
        <v>4</v>
      </c>
      <c r="D1329" t="s">
        <v>688</v>
      </c>
      <c r="E1329" t="s">
        <v>636</v>
      </c>
      <c r="F1329" t="s">
        <v>25</v>
      </c>
      <c r="G1329">
        <v>3</v>
      </c>
      <c r="H1329">
        <v>7</v>
      </c>
      <c r="I1329" s="73" t="b">
        <v>1</v>
      </c>
      <c r="J1329" t="s">
        <v>1063</v>
      </c>
      <c r="K1329" s="68" t="s">
        <v>32</v>
      </c>
      <c r="Q1329" t="s">
        <v>674</v>
      </c>
      <c r="R1329" t="s">
        <v>1054</v>
      </c>
    </row>
    <row r="1330" spans="1:18" hidden="1" x14ac:dyDescent="0.25">
      <c r="A1330" t="s">
        <v>631</v>
      </c>
      <c r="B1330" t="s">
        <v>1038</v>
      </c>
      <c r="C1330">
        <v>4</v>
      </c>
      <c r="D1330" t="s">
        <v>690</v>
      </c>
      <c r="E1330" t="s">
        <v>699</v>
      </c>
      <c r="F1330" t="s">
        <v>27</v>
      </c>
      <c r="G1330">
        <v>40</v>
      </c>
      <c r="H1330">
        <v>50</v>
      </c>
      <c r="I1330" s="72" t="b">
        <v>0</v>
      </c>
      <c r="J1330" t="s">
        <v>1081</v>
      </c>
      <c r="K1330" s="68" t="s">
        <v>32</v>
      </c>
      <c r="Q1330" t="s">
        <v>674</v>
      </c>
      <c r="R1330" t="s">
        <v>1054</v>
      </c>
    </row>
    <row r="1331" spans="1:18" hidden="1" x14ac:dyDescent="0.25">
      <c r="A1331" t="s">
        <v>631</v>
      </c>
      <c r="B1331" t="s">
        <v>1038</v>
      </c>
      <c r="C1331">
        <v>4</v>
      </c>
      <c r="D1331" t="s">
        <v>683</v>
      </c>
      <c r="E1331" t="s">
        <v>585</v>
      </c>
      <c r="F1331" t="s">
        <v>27</v>
      </c>
      <c r="G1331">
        <v>7</v>
      </c>
      <c r="H1331">
        <v>13</v>
      </c>
      <c r="I1331" s="72" t="b">
        <v>0</v>
      </c>
      <c r="J1331" t="s">
        <v>1066</v>
      </c>
      <c r="K1331" s="68" t="s">
        <v>32</v>
      </c>
      <c r="Q1331" t="s">
        <v>674</v>
      </c>
      <c r="R1331" t="s">
        <v>1054</v>
      </c>
    </row>
    <row r="1332" spans="1:18" hidden="1" x14ac:dyDescent="0.25">
      <c r="A1332" t="s">
        <v>631</v>
      </c>
      <c r="B1332" t="s">
        <v>1038</v>
      </c>
      <c r="C1332">
        <v>5</v>
      </c>
      <c r="D1332" t="s">
        <v>11</v>
      </c>
      <c r="E1332" t="s">
        <v>620</v>
      </c>
      <c r="F1332" t="s">
        <v>25</v>
      </c>
      <c r="G1332">
        <v>1</v>
      </c>
      <c r="H1332">
        <v>4</v>
      </c>
      <c r="I1332" s="73" t="b">
        <v>1</v>
      </c>
      <c r="J1332" t="s">
        <v>715</v>
      </c>
      <c r="K1332" s="68" t="s">
        <v>32</v>
      </c>
      <c r="Q1332" t="s">
        <v>674</v>
      </c>
      <c r="R1332" t="s">
        <v>1054</v>
      </c>
    </row>
    <row r="1333" spans="1:18" hidden="1" x14ac:dyDescent="0.25">
      <c r="A1333" t="s">
        <v>631</v>
      </c>
      <c r="B1333" t="s">
        <v>1038</v>
      </c>
      <c r="C1333">
        <v>5</v>
      </c>
      <c r="D1333" t="s">
        <v>662</v>
      </c>
      <c r="E1333" t="s">
        <v>622</v>
      </c>
      <c r="F1333" t="s">
        <v>25</v>
      </c>
      <c r="G1333">
        <v>7</v>
      </c>
      <c r="H1333">
        <v>13</v>
      </c>
      <c r="I1333" s="73" t="b">
        <v>1</v>
      </c>
      <c r="J1333" t="s">
        <v>1078</v>
      </c>
      <c r="K1333" s="68" t="s">
        <v>32</v>
      </c>
      <c r="Q1333" t="s">
        <v>674</v>
      </c>
      <c r="R1333" t="s">
        <v>1054</v>
      </c>
    </row>
    <row r="1334" spans="1:18" hidden="1" x14ac:dyDescent="0.25">
      <c r="A1334" t="s">
        <v>631</v>
      </c>
      <c r="B1334" t="s">
        <v>1038</v>
      </c>
      <c r="C1334">
        <v>2</v>
      </c>
      <c r="D1334" t="s">
        <v>421</v>
      </c>
      <c r="E1334" t="s">
        <v>704</v>
      </c>
      <c r="F1334" t="s">
        <v>25</v>
      </c>
      <c r="G1334">
        <v>15</v>
      </c>
      <c r="H1334">
        <v>25</v>
      </c>
      <c r="I1334" s="69" t="b">
        <v>1</v>
      </c>
      <c r="J1334" t="s">
        <v>1077</v>
      </c>
      <c r="K1334" s="69" t="s">
        <v>447</v>
      </c>
      <c r="L1334" t="s">
        <v>1094</v>
      </c>
      <c r="Q1334" t="s">
        <v>674</v>
      </c>
      <c r="R1334" t="s">
        <v>1054</v>
      </c>
    </row>
    <row r="1335" spans="1:18" hidden="1" x14ac:dyDescent="0.25">
      <c r="A1335" t="s">
        <v>631</v>
      </c>
      <c r="B1335" t="s">
        <v>1038</v>
      </c>
      <c r="C1335">
        <v>2</v>
      </c>
      <c r="D1335" t="s">
        <v>682</v>
      </c>
      <c r="E1335" t="s">
        <v>585</v>
      </c>
      <c r="F1335" t="s">
        <v>27</v>
      </c>
      <c r="G1335">
        <v>7</v>
      </c>
      <c r="H1335">
        <v>13</v>
      </c>
      <c r="I1335" s="72" t="b">
        <v>0</v>
      </c>
      <c r="J1335" t="s">
        <v>1065</v>
      </c>
      <c r="K1335" s="69" t="s">
        <v>447</v>
      </c>
      <c r="L1335" t="s">
        <v>1094</v>
      </c>
      <c r="Q1335" t="s">
        <v>674</v>
      </c>
      <c r="R1335" t="s">
        <v>1054</v>
      </c>
    </row>
    <row r="1336" spans="1:18" hidden="1" x14ac:dyDescent="0.25">
      <c r="A1336" t="s">
        <v>631</v>
      </c>
      <c r="B1336" t="s">
        <v>1038</v>
      </c>
      <c r="C1336">
        <v>3</v>
      </c>
      <c r="D1336" t="s">
        <v>355</v>
      </c>
      <c r="E1336" t="s">
        <v>637</v>
      </c>
      <c r="F1336" t="s">
        <v>25</v>
      </c>
      <c r="G1336">
        <v>0</v>
      </c>
      <c r="H1336">
        <v>1</v>
      </c>
      <c r="I1336" s="73" t="b">
        <v>1</v>
      </c>
      <c r="J1336" t="s">
        <v>1059</v>
      </c>
      <c r="K1336" s="69" t="s">
        <v>447</v>
      </c>
      <c r="L1336" t="s">
        <v>1094</v>
      </c>
      <c r="Q1336" t="s">
        <v>674</v>
      </c>
      <c r="R1336" t="s">
        <v>1054</v>
      </c>
    </row>
    <row r="1337" spans="1:18" hidden="1" x14ac:dyDescent="0.25">
      <c r="A1337" t="s">
        <v>631</v>
      </c>
      <c r="B1337" t="s">
        <v>1038</v>
      </c>
      <c r="C1337">
        <v>3</v>
      </c>
      <c r="D1337" t="s">
        <v>687</v>
      </c>
      <c r="E1337" t="s">
        <v>615</v>
      </c>
      <c r="F1337" t="s">
        <v>25</v>
      </c>
      <c r="G1337">
        <v>20</v>
      </c>
      <c r="H1337">
        <v>30</v>
      </c>
      <c r="I1337" s="73" t="b">
        <v>1</v>
      </c>
      <c r="J1337" t="s">
        <v>1079</v>
      </c>
      <c r="K1337" s="69" t="s">
        <v>447</v>
      </c>
      <c r="L1337" t="s">
        <v>1094</v>
      </c>
      <c r="Q1337" t="s">
        <v>674</v>
      </c>
      <c r="R1337" t="s">
        <v>1054</v>
      </c>
    </row>
    <row r="1338" spans="1:18" hidden="1" x14ac:dyDescent="0.25">
      <c r="A1338" t="s">
        <v>631</v>
      </c>
      <c r="B1338" t="s">
        <v>1038</v>
      </c>
      <c r="C1338">
        <v>3</v>
      </c>
      <c r="D1338" t="s">
        <v>688</v>
      </c>
      <c r="E1338" t="s">
        <v>619</v>
      </c>
      <c r="F1338" t="s">
        <v>25</v>
      </c>
      <c r="G1338">
        <v>15</v>
      </c>
      <c r="H1338">
        <v>25</v>
      </c>
      <c r="I1338" s="73" t="b">
        <v>1</v>
      </c>
      <c r="J1338" t="s">
        <v>1063</v>
      </c>
      <c r="K1338" s="69" t="s">
        <v>447</v>
      </c>
      <c r="L1338" t="s">
        <v>1094</v>
      </c>
      <c r="Q1338" t="s">
        <v>674</v>
      </c>
      <c r="R1338" t="s">
        <v>1054</v>
      </c>
    </row>
    <row r="1339" spans="1:18" hidden="1" x14ac:dyDescent="0.25">
      <c r="A1339" t="s">
        <v>631</v>
      </c>
      <c r="B1339" t="s">
        <v>1038</v>
      </c>
      <c r="C1339">
        <v>3</v>
      </c>
      <c r="D1339" t="s">
        <v>708</v>
      </c>
      <c r="E1339" t="s">
        <v>637</v>
      </c>
      <c r="F1339" t="s">
        <v>25</v>
      </c>
      <c r="G1339">
        <v>0</v>
      </c>
      <c r="H1339">
        <v>1</v>
      </c>
      <c r="I1339" s="73" t="b">
        <v>1</v>
      </c>
      <c r="J1339" t="s">
        <v>1069</v>
      </c>
      <c r="K1339" s="69" t="s">
        <v>447</v>
      </c>
      <c r="L1339" t="s">
        <v>1094</v>
      </c>
      <c r="Q1339" t="s">
        <v>674</v>
      </c>
      <c r="R1339" t="s">
        <v>1054</v>
      </c>
    </row>
    <row r="1340" spans="1:18" hidden="1" x14ac:dyDescent="0.25">
      <c r="A1340" t="s">
        <v>631</v>
      </c>
      <c r="B1340" t="s">
        <v>1038</v>
      </c>
      <c r="C1340">
        <v>3</v>
      </c>
      <c r="D1340" t="s">
        <v>689</v>
      </c>
      <c r="E1340" t="s">
        <v>586</v>
      </c>
      <c r="F1340" t="s">
        <v>27</v>
      </c>
      <c r="G1340">
        <v>45</v>
      </c>
      <c r="H1340">
        <v>55</v>
      </c>
      <c r="I1340" s="72" t="b">
        <v>0</v>
      </c>
      <c r="J1340" t="s">
        <v>1073</v>
      </c>
      <c r="K1340" s="69" t="s">
        <v>447</v>
      </c>
      <c r="L1340" t="s">
        <v>1094</v>
      </c>
      <c r="Q1340" t="s">
        <v>674</v>
      </c>
      <c r="R1340" t="s">
        <v>1054</v>
      </c>
    </row>
    <row r="1341" spans="1:18" hidden="1" x14ac:dyDescent="0.25">
      <c r="A1341" t="s">
        <v>631</v>
      </c>
      <c r="B1341" t="s">
        <v>1038</v>
      </c>
      <c r="C1341">
        <v>3</v>
      </c>
      <c r="D1341" t="s">
        <v>682</v>
      </c>
      <c r="E1341" t="s">
        <v>587</v>
      </c>
      <c r="F1341" t="s">
        <v>27</v>
      </c>
      <c r="G1341">
        <v>35</v>
      </c>
      <c r="H1341">
        <v>45</v>
      </c>
      <c r="I1341" s="72" t="b">
        <v>0</v>
      </c>
      <c r="J1341" t="s">
        <v>1065</v>
      </c>
      <c r="K1341" s="69" t="s">
        <v>447</v>
      </c>
      <c r="L1341" t="s">
        <v>1094</v>
      </c>
      <c r="Q1341" t="s">
        <v>674</v>
      </c>
      <c r="R1341" t="s">
        <v>1054</v>
      </c>
    </row>
    <row r="1342" spans="1:18" hidden="1" x14ac:dyDescent="0.25">
      <c r="A1342" t="s">
        <v>631</v>
      </c>
      <c r="B1342" t="s">
        <v>1037</v>
      </c>
      <c r="C1342">
        <v>1</v>
      </c>
      <c r="D1342" t="s">
        <v>11</v>
      </c>
      <c r="E1342" t="s">
        <v>695</v>
      </c>
      <c r="F1342" t="s">
        <v>27</v>
      </c>
      <c r="G1342">
        <v>2</v>
      </c>
      <c r="H1342">
        <v>5</v>
      </c>
      <c r="I1342" s="72" t="b">
        <v>0</v>
      </c>
      <c r="J1342" t="s">
        <v>715</v>
      </c>
      <c r="K1342" s="68" t="s">
        <v>32</v>
      </c>
      <c r="Q1342" t="s">
        <v>674</v>
      </c>
      <c r="R1342" t="s">
        <v>1054</v>
      </c>
    </row>
    <row r="1343" spans="1:18" hidden="1" x14ac:dyDescent="0.25">
      <c r="A1343" t="s">
        <v>631</v>
      </c>
      <c r="B1343" t="s">
        <v>1037</v>
      </c>
      <c r="C1343">
        <v>1</v>
      </c>
      <c r="D1343" t="s">
        <v>705</v>
      </c>
      <c r="E1343" t="s">
        <v>697</v>
      </c>
      <c r="F1343" t="s">
        <v>27</v>
      </c>
      <c r="G1343">
        <v>0</v>
      </c>
      <c r="H1343">
        <v>1</v>
      </c>
      <c r="I1343" s="72" t="b">
        <v>0</v>
      </c>
      <c r="J1343" t="s">
        <v>1068</v>
      </c>
      <c r="K1343" s="68" t="s">
        <v>32</v>
      </c>
      <c r="Q1343" t="s">
        <v>674</v>
      </c>
      <c r="R1343" t="s">
        <v>1054</v>
      </c>
    </row>
    <row r="1344" spans="1:18" hidden="1" x14ac:dyDescent="0.25">
      <c r="A1344" t="s">
        <v>631</v>
      </c>
      <c r="B1344" t="s">
        <v>1037</v>
      </c>
      <c r="C1344">
        <v>1</v>
      </c>
      <c r="D1344" t="s">
        <v>355</v>
      </c>
      <c r="E1344" t="s">
        <v>696</v>
      </c>
      <c r="F1344" s="69" t="s">
        <v>25</v>
      </c>
      <c r="G1344">
        <v>0</v>
      </c>
      <c r="H1344">
        <v>1</v>
      </c>
      <c r="I1344" s="69" t="b">
        <v>1</v>
      </c>
      <c r="J1344" t="s">
        <v>1059</v>
      </c>
      <c r="K1344" s="68" t="s">
        <v>32</v>
      </c>
      <c r="Q1344" t="s">
        <v>674</v>
      </c>
      <c r="R1344" t="s">
        <v>1054</v>
      </c>
    </row>
    <row r="1345" spans="1:18" hidden="1" x14ac:dyDescent="0.25">
      <c r="A1345" t="s">
        <v>631</v>
      </c>
      <c r="B1345" t="s">
        <v>1037</v>
      </c>
      <c r="C1345">
        <v>1</v>
      </c>
      <c r="D1345" t="s">
        <v>421</v>
      </c>
      <c r="E1345" t="s">
        <v>644</v>
      </c>
      <c r="F1345" t="s">
        <v>25</v>
      </c>
      <c r="G1345">
        <v>45</v>
      </c>
      <c r="H1345">
        <v>55</v>
      </c>
      <c r="I1345" s="73" t="b">
        <v>1</v>
      </c>
      <c r="J1345" t="s">
        <v>1077</v>
      </c>
      <c r="K1345" s="68" t="s">
        <v>32</v>
      </c>
      <c r="Q1345" t="s">
        <v>674</v>
      </c>
      <c r="R1345" t="s">
        <v>1054</v>
      </c>
    </row>
    <row r="1346" spans="1:18" hidden="1" x14ac:dyDescent="0.25">
      <c r="A1346" t="s">
        <v>631</v>
      </c>
      <c r="B1346" t="s">
        <v>1037</v>
      </c>
      <c r="C1346">
        <v>1</v>
      </c>
      <c r="D1346" t="s">
        <v>392</v>
      </c>
      <c r="E1346" t="s">
        <v>607</v>
      </c>
      <c r="F1346" t="s">
        <v>25</v>
      </c>
      <c r="G1346">
        <v>55</v>
      </c>
      <c r="H1346">
        <v>65</v>
      </c>
      <c r="I1346" s="73" t="b">
        <v>1</v>
      </c>
      <c r="J1346" t="s">
        <v>847</v>
      </c>
      <c r="K1346" s="68" t="s">
        <v>32</v>
      </c>
      <c r="Q1346" t="s">
        <v>674</v>
      </c>
      <c r="R1346" t="s">
        <v>1054</v>
      </c>
    </row>
    <row r="1347" spans="1:18" hidden="1" x14ac:dyDescent="0.25">
      <c r="A1347" t="s">
        <v>631</v>
      </c>
      <c r="B1347" t="s">
        <v>1037</v>
      </c>
      <c r="C1347">
        <v>1</v>
      </c>
      <c r="D1347" t="s">
        <v>410</v>
      </c>
      <c r="E1347" t="s">
        <v>697</v>
      </c>
      <c r="F1347" t="s">
        <v>27</v>
      </c>
      <c r="G1347">
        <v>0</v>
      </c>
      <c r="H1347">
        <v>1</v>
      </c>
      <c r="I1347" s="72" t="b">
        <v>0</v>
      </c>
      <c r="J1347" t="s">
        <v>1067</v>
      </c>
      <c r="K1347" s="68" t="s">
        <v>32</v>
      </c>
      <c r="Q1347" t="s">
        <v>674</v>
      </c>
      <c r="R1347" t="s">
        <v>1054</v>
      </c>
    </row>
    <row r="1348" spans="1:18" hidden="1" x14ac:dyDescent="0.25">
      <c r="A1348" t="s">
        <v>631</v>
      </c>
      <c r="B1348" t="s">
        <v>1037</v>
      </c>
      <c r="C1348">
        <v>1</v>
      </c>
      <c r="D1348" t="s">
        <v>682</v>
      </c>
      <c r="E1348" t="s">
        <v>574</v>
      </c>
      <c r="F1348" t="s">
        <v>27</v>
      </c>
      <c r="G1348">
        <v>3</v>
      </c>
      <c r="H1348">
        <v>7</v>
      </c>
      <c r="I1348" s="72" t="b">
        <v>0</v>
      </c>
      <c r="J1348" t="s">
        <v>1065</v>
      </c>
      <c r="K1348" s="68" t="s">
        <v>32</v>
      </c>
      <c r="Q1348" t="s">
        <v>674</v>
      </c>
      <c r="R1348" t="s">
        <v>1054</v>
      </c>
    </row>
    <row r="1349" spans="1:18" hidden="1" x14ac:dyDescent="0.25">
      <c r="A1349" s="76" t="s">
        <v>631</v>
      </c>
      <c r="B1349" s="76" t="s">
        <v>1037</v>
      </c>
      <c r="C1349" s="76">
        <v>2</v>
      </c>
      <c r="D1349" s="76" t="s">
        <v>11</v>
      </c>
      <c r="E1349" s="76" t="s">
        <v>698</v>
      </c>
      <c r="F1349" t="s">
        <v>25</v>
      </c>
      <c r="G1349">
        <v>2</v>
      </c>
      <c r="H1349">
        <v>11</v>
      </c>
      <c r="I1349" s="73" t="b">
        <v>1</v>
      </c>
      <c r="J1349" t="s">
        <v>715</v>
      </c>
      <c r="K1349" s="68" t="s">
        <v>32</v>
      </c>
      <c r="L1349" t="s">
        <v>1094</v>
      </c>
      <c r="N1349" s="77" t="s">
        <v>1033</v>
      </c>
      <c r="O1349" s="77" t="s">
        <v>24</v>
      </c>
      <c r="P1349" s="77">
        <v>10</v>
      </c>
      <c r="Q1349" t="s">
        <v>674</v>
      </c>
      <c r="R1349" t="s">
        <v>1054</v>
      </c>
    </row>
    <row r="1350" spans="1:18" hidden="1" x14ac:dyDescent="0.25">
      <c r="A1350" s="76" t="s">
        <v>631</v>
      </c>
      <c r="B1350" s="76" t="s">
        <v>1037</v>
      </c>
      <c r="C1350" s="76">
        <v>2</v>
      </c>
      <c r="D1350" s="76" t="s">
        <v>11</v>
      </c>
      <c r="E1350" s="76" t="s">
        <v>1029</v>
      </c>
      <c r="F1350" t="s">
        <v>25</v>
      </c>
      <c r="G1350">
        <v>5</v>
      </c>
      <c r="H1350">
        <v>16</v>
      </c>
      <c r="I1350" s="73" t="b">
        <v>1</v>
      </c>
      <c r="J1350" t="s">
        <v>715</v>
      </c>
      <c r="K1350" s="69" t="s">
        <v>447</v>
      </c>
      <c r="L1350" t="s">
        <v>1094</v>
      </c>
      <c r="N1350" s="77" t="s">
        <v>1033</v>
      </c>
      <c r="O1350" s="77" t="s">
        <v>24</v>
      </c>
      <c r="P1350" s="77">
        <v>10</v>
      </c>
      <c r="Q1350" t="s">
        <v>674</v>
      </c>
      <c r="R1350" t="s">
        <v>1054</v>
      </c>
    </row>
    <row r="1351" spans="1:18" hidden="1" x14ac:dyDescent="0.25">
      <c r="A1351" t="s">
        <v>631</v>
      </c>
      <c r="B1351" t="s">
        <v>1037</v>
      </c>
      <c r="C1351">
        <v>2</v>
      </c>
      <c r="D1351" t="s">
        <v>688</v>
      </c>
      <c r="E1351" t="s">
        <v>700</v>
      </c>
      <c r="F1351" t="s">
        <v>25</v>
      </c>
      <c r="G1351">
        <v>65</v>
      </c>
      <c r="H1351">
        <v>75</v>
      </c>
      <c r="I1351" s="73" t="b">
        <v>1</v>
      </c>
      <c r="J1351" t="s">
        <v>1063</v>
      </c>
      <c r="K1351" s="68" t="s">
        <v>32</v>
      </c>
      <c r="L1351" t="s">
        <v>1094</v>
      </c>
      <c r="Q1351" t="s">
        <v>674</v>
      </c>
      <c r="R1351" t="s">
        <v>1054</v>
      </c>
    </row>
    <row r="1352" spans="1:18" hidden="1" x14ac:dyDescent="0.25">
      <c r="A1352" t="s">
        <v>631</v>
      </c>
      <c r="B1352" t="s">
        <v>1037</v>
      </c>
      <c r="C1352">
        <v>3</v>
      </c>
      <c r="D1352" t="s">
        <v>687</v>
      </c>
      <c r="E1352" t="s">
        <v>615</v>
      </c>
      <c r="F1352" t="s">
        <v>25</v>
      </c>
      <c r="G1352">
        <v>20</v>
      </c>
      <c r="H1352">
        <v>30</v>
      </c>
      <c r="I1352" s="73" t="b">
        <v>1</v>
      </c>
      <c r="J1352" t="s">
        <v>1079</v>
      </c>
      <c r="K1352" s="68" t="s">
        <v>32</v>
      </c>
      <c r="L1352" t="s">
        <v>1094</v>
      </c>
      <c r="Q1352" t="s">
        <v>674</v>
      </c>
      <c r="R1352" t="s">
        <v>1054</v>
      </c>
    </row>
    <row r="1353" spans="1:18" hidden="1" x14ac:dyDescent="0.25">
      <c r="A1353" t="s">
        <v>631</v>
      </c>
      <c r="B1353" t="s">
        <v>1037</v>
      </c>
      <c r="C1353">
        <v>3</v>
      </c>
      <c r="D1353" t="s">
        <v>688</v>
      </c>
      <c r="E1353" t="s">
        <v>619</v>
      </c>
      <c r="F1353" t="s">
        <v>25</v>
      </c>
      <c r="G1353">
        <v>15</v>
      </c>
      <c r="H1353">
        <v>25</v>
      </c>
      <c r="I1353" s="73" t="b">
        <v>1</v>
      </c>
      <c r="J1353" t="s">
        <v>1063</v>
      </c>
      <c r="K1353" s="68" t="s">
        <v>32</v>
      </c>
      <c r="L1353" t="s">
        <v>1094</v>
      </c>
      <c r="Q1353" t="s">
        <v>674</v>
      </c>
      <c r="R1353" t="s">
        <v>1054</v>
      </c>
    </row>
    <row r="1354" spans="1:18" hidden="1" x14ac:dyDescent="0.25">
      <c r="A1354" t="s">
        <v>631</v>
      </c>
      <c r="B1354" t="s">
        <v>1037</v>
      </c>
      <c r="C1354">
        <v>3</v>
      </c>
      <c r="D1354" t="s">
        <v>708</v>
      </c>
      <c r="E1354" t="s">
        <v>637</v>
      </c>
      <c r="F1354" t="s">
        <v>25</v>
      </c>
      <c r="G1354">
        <v>0</v>
      </c>
      <c r="H1354">
        <v>1</v>
      </c>
      <c r="I1354" s="73" t="b">
        <v>1</v>
      </c>
      <c r="J1354" t="s">
        <v>1069</v>
      </c>
      <c r="K1354" s="68" t="s">
        <v>32</v>
      </c>
      <c r="L1354" t="s">
        <v>1094</v>
      </c>
      <c r="Q1354" t="s">
        <v>674</v>
      </c>
      <c r="R1354" t="s">
        <v>1054</v>
      </c>
    </row>
    <row r="1355" spans="1:18" hidden="1" x14ac:dyDescent="0.25">
      <c r="A1355" t="s">
        <v>631</v>
      </c>
      <c r="B1355" t="s">
        <v>1037</v>
      </c>
      <c r="C1355">
        <v>3</v>
      </c>
      <c r="D1355" t="s">
        <v>689</v>
      </c>
      <c r="E1355" t="s">
        <v>586</v>
      </c>
      <c r="F1355" t="s">
        <v>27</v>
      </c>
      <c r="G1355">
        <v>45</v>
      </c>
      <c r="H1355">
        <v>55</v>
      </c>
      <c r="I1355" s="72" t="b">
        <v>0</v>
      </c>
      <c r="J1355" t="s">
        <v>1073</v>
      </c>
      <c r="K1355" s="68" t="s">
        <v>32</v>
      </c>
      <c r="L1355" t="s">
        <v>1094</v>
      </c>
      <c r="Q1355" t="s">
        <v>674</v>
      </c>
      <c r="R1355" t="s">
        <v>1054</v>
      </c>
    </row>
    <row r="1356" spans="1:18" hidden="1" x14ac:dyDescent="0.25">
      <c r="A1356" t="s">
        <v>631</v>
      </c>
      <c r="B1356" t="s">
        <v>1037</v>
      </c>
      <c r="C1356">
        <v>3</v>
      </c>
      <c r="D1356" t="s">
        <v>682</v>
      </c>
      <c r="E1356" t="s">
        <v>585</v>
      </c>
      <c r="F1356" t="s">
        <v>27</v>
      </c>
      <c r="G1356">
        <v>7</v>
      </c>
      <c r="H1356">
        <v>13</v>
      </c>
      <c r="I1356" s="72" t="b">
        <v>0</v>
      </c>
      <c r="J1356" t="s">
        <v>1065</v>
      </c>
      <c r="K1356" s="68" t="s">
        <v>32</v>
      </c>
      <c r="L1356" t="s">
        <v>1094</v>
      </c>
      <c r="Q1356" t="s">
        <v>674</v>
      </c>
      <c r="R1356" t="s">
        <v>1054</v>
      </c>
    </row>
    <row r="1357" spans="1:18" hidden="1" x14ac:dyDescent="0.25">
      <c r="A1357" t="s">
        <v>631</v>
      </c>
      <c r="B1357" t="s">
        <v>1037</v>
      </c>
      <c r="C1357">
        <v>4</v>
      </c>
      <c r="D1357" t="s">
        <v>687</v>
      </c>
      <c r="E1357" t="s">
        <v>636</v>
      </c>
      <c r="F1357" t="s">
        <v>25</v>
      </c>
      <c r="G1357">
        <v>3</v>
      </c>
      <c r="H1357">
        <v>7</v>
      </c>
      <c r="I1357" s="73" t="b">
        <v>1</v>
      </c>
      <c r="J1357" t="s">
        <v>1079</v>
      </c>
      <c r="K1357" s="68" t="s">
        <v>32</v>
      </c>
      <c r="Q1357" t="s">
        <v>674</v>
      </c>
      <c r="R1357" t="s">
        <v>1054</v>
      </c>
    </row>
    <row r="1358" spans="1:18" hidden="1" x14ac:dyDescent="0.25">
      <c r="A1358" t="s">
        <v>631</v>
      </c>
      <c r="B1358" t="s">
        <v>1037</v>
      </c>
      <c r="C1358">
        <v>4</v>
      </c>
      <c r="D1358" t="s">
        <v>688</v>
      </c>
      <c r="E1358" t="s">
        <v>636</v>
      </c>
      <c r="F1358" t="s">
        <v>25</v>
      </c>
      <c r="G1358">
        <v>3</v>
      </c>
      <c r="H1358">
        <v>7</v>
      </c>
      <c r="I1358" s="73" t="b">
        <v>1</v>
      </c>
      <c r="J1358" t="s">
        <v>1063</v>
      </c>
      <c r="K1358" s="68" t="s">
        <v>32</v>
      </c>
      <c r="Q1358" t="s">
        <v>674</v>
      </c>
      <c r="R1358" t="s">
        <v>1054</v>
      </c>
    </row>
    <row r="1359" spans="1:18" hidden="1" x14ac:dyDescent="0.25">
      <c r="A1359" t="s">
        <v>631</v>
      </c>
      <c r="B1359" t="s">
        <v>1037</v>
      </c>
      <c r="C1359">
        <v>4</v>
      </c>
      <c r="D1359" t="s">
        <v>690</v>
      </c>
      <c r="E1359" t="s">
        <v>699</v>
      </c>
      <c r="F1359" t="s">
        <v>27</v>
      </c>
      <c r="G1359">
        <v>40</v>
      </c>
      <c r="H1359">
        <v>50</v>
      </c>
      <c r="I1359" s="72" t="b">
        <v>0</v>
      </c>
      <c r="J1359" t="s">
        <v>1081</v>
      </c>
      <c r="K1359" s="68" t="s">
        <v>32</v>
      </c>
      <c r="Q1359" t="s">
        <v>674</v>
      </c>
      <c r="R1359" t="s">
        <v>1054</v>
      </c>
    </row>
    <row r="1360" spans="1:18" hidden="1" x14ac:dyDescent="0.25">
      <c r="A1360" t="s">
        <v>631</v>
      </c>
      <c r="B1360" t="s">
        <v>1037</v>
      </c>
      <c r="C1360">
        <v>4</v>
      </c>
      <c r="D1360" t="s">
        <v>683</v>
      </c>
      <c r="E1360" t="s">
        <v>585</v>
      </c>
      <c r="F1360" t="s">
        <v>27</v>
      </c>
      <c r="G1360">
        <v>7</v>
      </c>
      <c r="H1360">
        <v>13</v>
      </c>
      <c r="I1360" s="72" t="b">
        <v>0</v>
      </c>
      <c r="J1360" t="s">
        <v>1066</v>
      </c>
      <c r="K1360" s="68" t="s">
        <v>32</v>
      </c>
      <c r="Q1360" t="s">
        <v>674</v>
      </c>
      <c r="R1360" t="s">
        <v>1054</v>
      </c>
    </row>
    <row r="1361" spans="1:18" hidden="1" x14ac:dyDescent="0.25">
      <c r="A1361" t="s">
        <v>631</v>
      </c>
      <c r="B1361" t="s">
        <v>1037</v>
      </c>
      <c r="C1361">
        <v>5</v>
      </c>
      <c r="D1361" t="s">
        <v>11</v>
      </c>
      <c r="E1361" t="s">
        <v>620</v>
      </c>
      <c r="F1361" t="s">
        <v>25</v>
      </c>
      <c r="G1361">
        <v>1</v>
      </c>
      <c r="H1361">
        <v>4</v>
      </c>
      <c r="I1361" s="73" t="b">
        <v>1</v>
      </c>
      <c r="J1361" t="s">
        <v>715</v>
      </c>
      <c r="K1361" s="68" t="s">
        <v>32</v>
      </c>
      <c r="Q1361" t="s">
        <v>674</v>
      </c>
      <c r="R1361" t="s">
        <v>1054</v>
      </c>
    </row>
    <row r="1362" spans="1:18" hidden="1" x14ac:dyDescent="0.25">
      <c r="A1362" t="s">
        <v>631</v>
      </c>
      <c r="B1362" t="s">
        <v>1037</v>
      </c>
      <c r="C1362">
        <v>5</v>
      </c>
      <c r="D1362" t="s">
        <v>662</v>
      </c>
      <c r="E1362" t="s">
        <v>622</v>
      </c>
      <c r="F1362" t="s">
        <v>25</v>
      </c>
      <c r="G1362">
        <v>7</v>
      </c>
      <c r="H1362">
        <v>13</v>
      </c>
      <c r="I1362" s="73" t="b">
        <v>1</v>
      </c>
      <c r="J1362" t="s">
        <v>1078</v>
      </c>
      <c r="K1362" s="68" t="s">
        <v>32</v>
      </c>
      <c r="Q1362" t="s">
        <v>674</v>
      </c>
      <c r="R1362" t="s">
        <v>1054</v>
      </c>
    </row>
    <row r="1363" spans="1:18" hidden="1" x14ac:dyDescent="0.25">
      <c r="A1363" t="s">
        <v>631</v>
      </c>
      <c r="B1363" t="s">
        <v>1037</v>
      </c>
      <c r="C1363">
        <v>2</v>
      </c>
      <c r="D1363" t="s">
        <v>421</v>
      </c>
      <c r="E1363" t="s">
        <v>704</v>
      </c>
      <c r="F1363" t="s">
        <v>25</v>
      </c>
      <c r="G1363">
        <v>15</v>
      </c>
      <c r="H1363">
        <v>25</v>
      </c>
      <c r="I1363" s="69" t="b">
        <v>1</v>
      </c>
      <c r="J1363" t="s">
        <v>1077</v>
      </c>
      <c r="K1363" s="69" t="s">
        <v>447</v>
      </c>
      <c r="L1363" t="s">
        <v>1094</v>
      </c>
      <c r="Q1363" t="s">
        <v>674</v>
      </c>
      <c r="R1363" t="s">
        <v>1054</v>
      </c>
    </row>
    <row r="1364" spans="1:18" hidden="1" x14ac:dyDescent="0.25">
      <c r="A1364" t="s">
        <v>631</v>
      </c>
      <c r="B1364" t="s">
        <v>1037</v>
      </c>
      <c r="C1364">
        <v>2</v>
      </c>
      <c r="D1364" t="s">
        <v>682</v>
      </c>
      <c r="E1364" t="s">
        <v>585</v>
      </c>
      <c r="F1364" t="s">
        <v>27</v>
      </c>
      <c r="G1364">
        <v>7</v>
      </c>
      <c r="H1364">
        <v>13</v>
      </c>
      <c r="I1364" s="72" t="b">
        <v>0</v>
      </c>
      <c r="J1364" t="s">
        <v>1065</v>
      </c>
      <c r="K1364" s="69" t="s">
        <v>447</v>
      </c>
      <c r="L1364" t="s">
        <v>1094</v>
      </c>
      <c r="Q1364" t="s">
        <v>674</v>
      </c>
      <c r="R1364" t="s">
        <v>1054</v>
      </c>
    </row>
    <row r="1365" spans="1:18" hidden="1" x14ac:dyDescent="0.25">
      <c r="A1365" t="s">
        <v>631</v>
      </c>
      <c r="B1365" t="s">
        <v>1037</v>
      </c>
      <c r="C1365">
        <v>3</v>
      </c>
      <c r="D1365" t="s">
        <v>355</v>
      </c>
      <c r="E1365" t="s">
        <v>637</v>
      </c>
      <c r="F1365" t="s">
        <v>25</v>
      </c>
      <c r="G1365">
        <v>0</v>
      </c>
      <c r="H1365">
        <v>1</v>
      </c>
      <c r="I1365" s="73" t="b">
        <v>1</v>
      </c>
      <c r="J1365" t="s">
        <v>1059</v>
      </c>
      <c r="K1365" s="69" t="s">
        <v>447</v>
      </c>
      <c r="L1365" t="s">
        <v>1094</v>
      </c>
      <c r="Q1365" t="s">
        <v>674</v>
      </c>
      <c r="R1365" t="s">
        <v>1054</v>
      </c>
    </row>
    <row r="1366" spans="1:18" hidden="1" x14ac:dyDescent="0.25">
      <c r="A1366" t="s">
        <v>631</v>
      </c>
      <c r="B1366" t="s">
        <v>1037</v>
      </c>
      <c r="C1366">
        <v>3</v>
      </c>
      <c r="D1366" t="s">
        <v>687</v>
      </c>
      <c r="E1366" t="s">
        <v>615</v>
      </c>
      <c r="F1366" t="s">
        <v>25</v>
      </c>
      <c r="G1366">
        <v>20</v>
      </c>
      <c r="H1366">
        <v>30</v>
      </c>
      <c r="I1366" s="73" t="b">
        <v>1</v>
      </c>
      <c r="J1366" t="s">
        <v>1079</v>
      </c>
      <c r="K1366" s="69" t="s">
        <v>447</v>
      </c>
      <c r="L1366" t="s">
        <v>1094</v>
      </c>
      <c r="Q1366" t="s">
        <v>674</v>
      </c>
      <c r="R1366" t="s">
        <v>1054</v>
      </c>
    </row>
    <row r="1367" spans="1:18" hidden="1" x14ac:dyDescent="0.25">
      <c r="A1367" t="s">
        <v>631</v>
      </c>
      <c r="B1367" t="s">
        <v>1037</v>
      </c>
      <c r="C1367">
        <v>3</v>
      </c>
      <c r="D1367" t="s">
        <v>688</v>
      </c>
      <c r="E1367" t="s">
        <v>619</v>
      </c>
      <c r="F1367" t="s">
        <v>25</v>
      </c>
      <c r="G1367">
        <v>15</v>
      </c>
      <c r="H1367">
        <v>25</v>
      </c>
      <c r="I1367" s="73" t="b">
        <v>1</v>
      </c>
      <c r="J1367" t="s">
        <v>1063</v>
      </c>
      <c r="K1367" s="69" t="s">
        <v>447</v>
      </c>
      <c r="L1367" t="s">
        <v>1094</v>
      </c>
      <c r="Q1367" t="s">
        <v>674</v>
      </c>
      <c r="R1367" t="s">
        <v>1054</v>
      </c>
    </row>
    <row r="1368" spans="1:18" hidden="1" x14ac:dyDescent="0.25">
      <c r="A1368" t="s">
        <v>631</v>
      </c>
      <c r="B1368" t="s">
        <v>1037</v>
      </c>
      <c r="C1368">
        <v>3</v>
      </c>
      <c r="D1368" t="s">
        <v>708</v>
      </c>
      <c r="E1368" t="s">
        <v>637</v>
      </c>
      <c r="F1368" t="s">
        <v>25</v>
      </c>
      <c r="G1368">
        <v>0</v>
      </c>
      <c r="H1368">
        <v>1</v>
      </c>
      <c r="I1368" s="73" t="b">
        <v>1</v>
      </c>
      <c r="J1368" t="s">
        <v>1069</v>
      </c>
      <c r="K1368" s="69" t="s">
        <v>447</v>
      </c>
      <c r="L1368" t="s">
        <v>1094</v>
      </c>
      <c r="Q1368" t="s">
        <v>674</v>
      </c>
      <c r="R1368" t="s">
        <v>1054</v>
      </c>
    </row>
    <row r="1369" spans="1:18" hidden="1" x14ac:dyDescent="0.25">
      <c r="A1369" t="s">
        <v>631</v>
      </c>
      <c r="B1369" t="s">
        <v>1037</v>
      </c>
      <c r="C1369">
        <v>3</v>
      </c>
      <c r="D1369" t="s">
        <v>689</v>
      </c>
      <c r="E1369" t="s">
        <v>586</v>
      </c>
      <c r="F1369" t="s">
        <v>27</v>
      </c>
      <c r="G1369">
        <v>45</v>
      </c>
      <c r="H1369">
        <v>55</v>
      </c>
      <c r="I1369" s="72" t="b">
        <v>0</v>
      </c>
      <c r="J1369" t="s">
        <v>1073</v>
      </c>
      <c r="K1369" s="69" t="s">
        <v>447</v>
      </c>
      <c r="L1369" t="s">
        <v>1094</v>
      </c>
      <c r="Q1369" t="s">
        <v>674</v>
      </c>
      <c r="R1369" t="s">
        <v>1054</v>
      </c>
    </row>
    <row r="1370" spans="1:18" hidden="1" x14ac:dyDescent="0.25">
      <c r="A1370" t="s">
        <v>631</v>
      </c>
      <c r="B1370" t="s">
        <v>1037</v>
      </c>
      <c r="C1370">
        <v>3</v>
      </c>
      <c r="D1370" t="s">
        <v>682</v>
      </c>
      <c r="E1370" t="s">
        <v>587</v>
      </c>
      <c r="F1370" t="s">
        <v>27</v>
      </c>
      <c r="G1370">
        <v>35</v>
      </c>
      <c r="H1370">
        <v>45</v>
      </c>
      <c r="I1370" s="72" t="b">
        <v>0</v>
      </c>
      <c r="J1370" t="s">
        <v>1065</v>
      </c>
      <c r="K1370" s="69" t="s">
        <v>447</v>
      </c>
      <c r="L1370" t="s">
        <v>1094</v>
      </c>
      <c r="Q1370" t="s">
        <v>674</v>
      </c>
      <c r="R1370" t="s">
        <v>1054</v>
      </c>
    </row>
    <row r="1371" spans="1:18" hidden="1" x14ac:dyDescent="0.25">
      <c r="A1371" s="79" t="s">
        <v>1098</v>
      </c>
      <c r="B1371" s="1" t="s">
        <v>474</v>
      </c>
      <c r="C1371" s="5">
        <v>2</v>
      </c>
      <c r="D1371" s="1" t="s">
        <v>11</v>
      </c>
      <c r="E1371" s="44" t="s">
        <v>535</v>
      </c>
      <c r="F1371" s="5" t="s">
        <v>24</v>
      </c>
      <c r="G1371" s="5">
        <v>45</v>
      </c>
      <c r="H1371" s="5">
        <v>55</v>
      </c>
      <c r="I1371" s="80" t="b">
        <v>1</v>
      </c>
      <c r="J1371" s="1" t="s">
        <v>0</v>
      </c>
      <c r="K1371" s="81" t="s">
        <v>32</v>
      </c>
      <c r="L1371" s="1"/>
      <c r="M1371" s="1"/>
      <c r="N1371" s="1"/>
      <c r="O1371" s="1"/>
      <c r="P1371" s="1"/>
      <c r="Q1371" s="81" t="str">
        <f t="shared" ref="Q1371:Q1434" si="12">B1371</f>
        <v>HiGrad-LoElev</v>
      </c>
      <c r="R1371" s="81" t="str">
        <f t="shared" ref="R1371:R1434" si="13">B1371</f>
        <v>HiGrad-LoElev</v>
      </c>
    </row>
    <row r="1372" spans="1:18" hidden="1" x14ac:dyDescent="0.25">
      <c r="A1372" s="79" t="s">
        <v>1098</v>
      </c>
      <c r="B1372" s="1" t="s">
        <v>474</v>
      </c>
      <c r="C1372" s="5">
        <v>2</v>
      </c>
      <c r="D1372" s="1" t="s">
        <v>33</v>
      </c>
      <c r="E1372" s="44" t="s">
        <v>536</v>
      </c>
      <c r="F1372" s="5" t="s">
        <v>24</v>
      </c>
      <c r="G1372" s="5">
        <v>1</v>
      </c>
      <c r="H1372" s="5">
        <v>5</v>
      </c>
      <c r="I1372" s="80" t="b">
        <v>1</v>
      </c>
      <c r="J1372" s="1" t="s">
        <v>1</v>
      </c>
      <c r="K1372" s="81" t="s">
        <v>32</v>
      </c>
      <c r="L1372" s="1"/>
      <c r="M1372" s="1"/>
      <c r="N1372" s="1"/>
      <c r="O1372" s="1"/>
      <c r="P1372" s="1"/>
      <c r="Q1372" s="81" t="str">
        <f t="shared" si="12"/>
        <v>HiGrad-LoElev</v>
      </c>
      <c r="R1372" s="81" t="str">
        <f t="shared" si="13"/>
        <v>HiGrad-LoElev</v>
      </c>
    </row>
    <row r="1373" spans="1:18" hidden="1" x14ac:dyDescent="0.25">
      <c r="A1373" s="79" t="s">
        <v>1098</v>
      </c>
      <c r="B1373" s="1" t="s">
        <v>474</v>
      </c>
      <c r="C1373" s="5">
        <v>2</v>
      </c>
      <c r="D1373" s="1" t="s">
        <v>390</v>
      </c>
      <c r="E1373" s="44" t="s">
        <v>537</v>
      </c>
      <c r="F1373" s="5" t="s">
        <v>24</v>
      </c>
      <c r="G1373" s="5">
        <v>0</v>
      </c>
      <c r="H1373" s="5">
        <v>4</v>
      </c>
      <c r="I1373" s="80" t="b">
        <v>1</v>
      </c>
      <c r="J1373" s="1" t="s">
        <v>475</v>
      </c>
      <c r="K1373" s="81" t="s">
        <v>32</v>
      </c>
      <c r="L1373" s="1"/>
      <c r="M1373" s="1"/>
      <c r="N1373" s="1"/>
      <c r="O1373" s="1"/>
      <c r="P1373" s="1"/>
      <c r="Q1373" s="81" t="str">
        <f t="shared" si="12"/>
        <v>HiGrad-LoElev</v>
      </c>
      <c r="R1373" s="81" t="str">
        <f t="shared" si="13"/>
        <v>HiGrad-LoElev</v>
      </c>
    </row>
    <row r="1374" spans="1:18" hidden="1" x14ac:dyDescent="0.25">
      <c r="A1374" s="79" t="s">
        <v>1098</v>
      </c>
      <c r="B1374" s="1" t="s">
        <v>474</v>
      </c>
      <c r="C1374" s="5">
        <v>2</v>
      </c>
      <c r="D1374" s="1" t="s">
        <v>29</v>
      </c>
      <c r="E1374" s="44" t="s">
        <v>529</v>
      </c>
      <c r="F1374" s="5" t="s">
        <v>24</v>
      </c>
      <c r="G1374" s="5">
        <v>15</v>
      </c>
      <c r="H1374" s="5">
        <v>25</v>
      </c>
      <c r="I1374" s="80" t="b">
        <v>1</v>
      </c>
      <c r="J1374" s="1" t="s">
        <v>6</v>
      </c>
      <c r="K1374" s="81" t="s">
        <v>32</v>
      </c>
      <c r="L1374" s="1"/>
      <c r="M1374" s="1"/>
      <c r="N1374" s="1"/>
      <c r="O1374" s="1"/>
      <c r="P1374" s="1"/>
      <c r="Q1374" s="81" t="str">
        <f t="shared" si="12"/>
        <v>HiGrad-LoElev</v>
      </c>
      <c r="R1374" s="81" t="str">
        <f t="shared" si="13"/>
        <v>HiGrad-LoElev</v>
      </c>
    </row>
    <row r="1375" spans="1:18" hidden="1" x14ac:dyDescent="0.25">
      <c r="A1375" s="79" t="s">
        <v>1098</v>
      </c>
      <c r="B1375" s="1" t="s">
        <v>474</v>
      </c>
      <c r="C1375" s="5">
        <v>2</v>
      </c>
      <c r="D1375" s="1" t="s">
        <v>34</v>
      </c>
      <c r="E1375" s="44" t="s">
        <v>538</v>
      </c>
      <c r="F1375" s="5" t="s">
        <v>24</v>
      </c>
      <c r="G1375" s="5">
        <v>40</v>
      </c>
      <c r="H1375" s="5">
        <v>50</v>
      </c>
      <c r="I1375" s="80" t="b">
        <v>1</v>
      </c>
      <c r="J1375" s="1" t="s">
        <v>2</v>
      </c>
      <c r="K1375" s="81" t="s">
        <v>32</v>
      </c>
      <c r="L1375" s="1"/>
      <c r="M1375" s="1"/>
      <c r="N1375" s="1"/>
      <c r="O1375" s="1"/>
      <c r="P1375" s="1"/>
      <c r="Q1375" s="81" t="str">
        <f t="shared" si="12"/>
        <v>HiGrad-LoElev</v>
      </c>
      <c r="R1375" s="81" t="str">
        <f t="shared" si="13"/>
        <v>HiGrad-LoElev</v>
      </c>
    </row>
    <row r="1376" spans="1:18" hidden="1" x14ac:dyDescent="0.25">
      <c r="A1376" s="79" t="s">
        <v>1098</v>
      </c>
      <c r="B1376" s="1" t="s">
        <v>474</v>
      </c>
      <c r="C1376" s="5">
        <v>2</v>
      </c>
      <c r="D1376" s="1" t="s">
        <v>35</v>
      </c>
      <c r="E1376" s="44" t="s">
        <v>539</v>
      </c>
      <c r="F1376" s="5" t="s">
        <v>24</v>
      </c>
      <c r="G1376" s="5">
        <v>25</v>
      </c>
      <c r="H1376" s="5">
        <v>35</v>
      </c>
      <c r="I1376" s="80" t="b">
        <v>1</v>
      </c>
      <c r="J1376" s="1" t="s">
        <v>3</v>
      </c>
      <c r="K1376" s="81" t="s">
        <v>32</v>
      </c>
      <c r="L1376" s="1"/>
      <c r="M1376" s="1"/>
      <c r="N1376" s="1"/>
      <c r="O1376" s="1"/>
      <c r="P1376" s="1"/>
      <c r="Q1376" s="81" t="str">
        <f t="shared" si="12"/>
        <v>HiGrad-LoElev</v>
      </c>
      <c r="R1376" s="81" t="str">
        <f t="shared" si="13"/>
        <v>HiGrad-LoElev</v>
      </c>
    </row>
    <row r="1377" spans="1:18" hidden="1" x14ac:dyDescent="0.25">
      <c r="A1377" s="79" t="s">
        <v>1098</v>
      </c>
      <c r="B1377" s="1" t="s">
        <v>474</v>
      </c>
      <c r="C1377" s="5">
        <v>2</v>
      </c>
      <c r="D1377" s="1" t="s">
        <v>48</v>
      </c>
      <c r="E1377" s="44" t="s">
        <v>560</v>
      </c>
      <c r="F1377" s="5" t="s">
        <v>26</v>
      </c>
      <c r="G1377" s="5">
        <v>10</v>
      </c>
      <c r="H1377" s="5">
        <v>20</v>
      </c>
      <c r="I1377" s="80" t="b">
        <v>0</v>
      </c>
      <c r="J1377" s="1" t="s">
        <v>15</v>
      </c>
      <c r="K1377" s="81" t="s">
        <v>32</v>
      </c>
      <c r="L1377" s="1"/>
      <c r="M1377" s="1"/>
      <c r="N1377" s="1"/>
      <c r="O1377" s="1"/>
      <c r="P1377" s="1"/>
      <c r="Q1377" s="81" t="str">
        <f t="shared" si="12"/>
        <v>HiGrad-LoElev</v>
      </c>
      <c r="R1377" s="81" t="str">
        <f t="shared" si="13"/>
        <v>HiGrad-LoElev</v>
      </c>
    </row>
    <row r="1378" spans="1:18" hidden="1" x14ac:dyDescent="0.25">
      <c r="A1378" s="79" t="s">
        <v>1098</v>
      </c>
      <c r="B1378" s="1" t="s">
        <v>474</v>
      </c>
      <c r="C1378" s="5">
        <v>2</v>
      </c>
      <c r="D1378" s="1" t="s">
        <v>476</v>
      </c>
      <c r="E1378" s="44" t="s">
        <v>560</v>
      </c>
      <c r="F1378" s="5" t="s">
        <v>26</v>
      </c>
      <c r="G1378" s="5">
        <v>10</v>
      </c>
      <c r="H1378" s="5">
        <v>20</v>
      </c>
      <c r="I1378" s="80" t="b">
        <v>0</v>
      </c>
      <c r="J1378" s="1" t="s">
        <v>477</v>
      </c>
      <c r="K1378" s="81" t="s">
        <v>32</v>
      </c>
      <c r="L1378" s="1"/>
      <c r="M1378" s="1"/>
      <c r="N1378" s="1"/>
      <c r="O1378" s="1"/>
      <c r="P1378" s="1"/>
      <c r="Q1378" s="81" t="str">
        <f t="shared" si="12"/>
        <v>HiGrad-LoElev</v>
      </c>
      <c r="R1378" s="81" t="str">
        <f t="shared" si="13"/>
        <v>HiGrad-LoElev</v>
      </c>
    </row>
    <row r="1379" spans="1:18" hidden="1" x14ac:dyDescent="0.25">
      <c r="A1379" s="79" t="s">
        <v>1098</v>
      </c>
      <c r="B1379" s="7" t="s">
        <v>474</v>
      </c>
      <c r="C1379" s="6">
        <v>2</v>
      </c>
      <c r="D1379" s="7" t="s">
        <v>478</v>
      </c>
      <c r="E1379" s="55" t="s">
        <v>521</v>
      </c>
      <c r="F1379" s="6" t="s">
        <v>24</v>
      </c>
      <c r="G1379" s="6">
        <v>25</v>
      </c>
      <c r="H1379" s="6">
        <v>35</v>
      </c>
      <c r="I1379" s="80" t="b">
        <v>1</v>
      </c>
      <c r="J1379" s="7" t="s">
        <v>479</v>
      </c>
      <c r="K1379" s="81" t="s">
        <v>32</v>
      </c>
      <c r="L1379" s="7" t="s">
        <v>485</v>
      </c>
      <c r="M1379" s="1" t="s">
        <v>482</v>
      </c>
      <c r="N1379" s="1"/>
      <c r="O1379" s="1"/>
      <c r="P1379" s="1"/>
      <c r="Q1379" s="81" t="str">
        <f t="shared" si="12"/>
        <v>HiGrad-LoElev</v>
      </c>
      <c r="R1379" s="81" t="str">
        <f t="shared" si="13"/>
        <v>HiGrad-LoElev</v>
      </c>
    </row>
    <row r="1380" spans="1:18" hidden="1" x14ac:dyDescent="0.25">
      <c r="A1380" s="79" t="s">
        <v>1098</v>
      </c>
      <c r="B1380" s="7" t="s">
        <v>474</v>
      </c>
      <c r="C1380" s="6">
        <v>2</v>
      </c>
      <c r="D1380" s="7" t="s">
        <v>342</v>
      </c>
      <c r="E1380" s="55" t="s">
        <v>540</v>
      </c>
      <c r="F1380" s="6" t="s">
        <v>24</v>
      </c>
      <c r="G1380" s="6">
        <v>4.3</v>
      </c>
      <c r="H1380" s="6">
        <v>4.7</v>
      </c>
      <c r="I1380" s="80" t="b">
        <v>1</v>
      </c>
      <c r="J1380" s="7" t="s">
        <v>480</v>
      </c>
      <c r="K1380" s="81" t="s">
        <v>32</v>
      </c>
      <c r="L1380" s="7" t="s">
        <v>485</v>
      </c>
      <c r="M1380" s="1" t="s">
        <v>482</v>
      </c>
      <c r="N1380" s="1"/>
      <c r="O1380" s="1"/>
      <c r="P1380" s="1"/>
      <c r="Q1380" s="81" t="str">
        <f t="shared" si="12"/>
        <v>HiGrad-LoElev</v>
      </c>
      <c r="R1380" s="81" t="str">
        <f t="shared" si="13"/>
        <v>HiGrad-LoElev</v>
      </c>
    </row>
    <row r="1381" spans="1:18" hidden="1" x14ac:dyDescent="0.25">
      <c r="A1381" s="79" t="s">
        <v>1098</v>
      </c>
      <c r="B1381" s="7" t="s">
        <v>474</v>
      </c>
      <c r="C1381" s="6">
        <v>2</v>
      </c>
      <c r="D1381" s="7" t="s">
        <v>295</v>
      </c>
      <c r="E1381" s="55" t="s">
        <v>524</v>
      </c>
      <c r="F1381" s="6" t="s">
        <v>24</v>
      </c>
      <c r="G1381" s="6">
        <v>10</v>
      </c>
      <c r="H1381" s="6">
        <v>20</v>
      </c>
      <c r="I1381" s="80" t="b">
        <v>1</v>
      </c>
      <c r="J1381" s="7" t="s">
        <v>481</v>
      </c>
      <c r="K1381" s="81" t="s">
        <v>32</v>
      </c>
      <c r="L1381" s="7" t="s">
        <v>485</v>
      </c>
      <c r="M1381" s="1" t="s">
        <v>482</v>
      </c>
      <c r="N1381" s="1"/>
      <c r="O1381" s="1"/>
      <c r="P1381" s="1"/>
      <c r="Q1381" s="81" t="str">
        <f t="shared" si="12"/>
        <v>HiGrad-LoElev</v>
      </c>
      <c r="R1381" s="81" t="str">
        <f t="shared" si="13"/>
        <v>HiGrad-LoElev</v>
      </c>
    </row>
    <row r="1382" spans="1:18" hidden="1" x14ac:dyDescent="0.25">
      <c r="A1382" s="79" t="s">
        <v>1098</v>
      </c>
      <c r="B1382" s="1" t="s">
        <v>474</v>
      </c>
      <c r="C1382" s="5">
        <v>3</v>
      </c>
      <c r="D1382" s="1" t="s">
        <v>11</v>
      </c>
      <c r="E1382" s="44" t="s">
        <v>541</v>
      </c>
      <c r="F1382" s="5" t="s">
        <v>24</v>
      </c>
      <c r="G1382" s="5">
        <v>35</v>
      </c>
      <c r="H1382" s="5">
        <v>45</v>
      </c>
      <c r="I1382" s="80" t="b">
        <v>1</v>
      </c>
      <c r="J1382" s="1" t="s">
        <v>0</v>
      </c>
      <c r="K1382" s="81" t="s">
        <v>32</v>
      </c>
      <c r="L1382" s="1"/>
      <c r="M1382" s="1"/>
      <c r="N1382" s="1"/>
      <c r="O1382" s="1"/>
      <c r="P1382" s="1"/>
      <c r="Q1382" s="81" t="str">
        <f t="shared" si="12"/>
        <v>HiGrad-LoElev</v>
      </c>
      <c r="R1382" s="81" t="str">
        <f t="shared" si="13"/>
        <v>HiGrad-LoElev</v>
      </c>
    </row>
    <row r="1383" spans="1:18" hidden="1" x14ac:dyDescent="0.25">
      <c r="A1383" s="79" t="s">
        <v>1098</v>
      </c>
      <c r="B1383" s="1" t="s">
        <v>474</v>
      </c>
      <c r="C1383" s="5">
        <v>3</v>
      </c>
      <c r="D1383" s="1" t="s">
        <v>13</v>
      </c>
      <c r="E1383" s="56" t="s">
        <v>529</v>
      </c>
      <c r="F1383" s="5" t="s">
        <v>24</v>
      </c>
      <c r="G1383" s="5">
        <v>15</v>
      </c>
      <c r="H1383" s="5">
        <v>25</v>
      </c>
      <c r="I1383" s="80" t="b">
        <v>1</v>
      </c>
      <c r="J1383" s="57" t="s">
        <v>10</v>
      </c>
      <c r="K1383" s="81" t="s">
        <v>32</v>
      </c>
      <c r="L1383" s="1"/>
      <c r="M1383" s="1"/>
      <c r="N1383" s="1"/>
      <c r="O1383" s="1"/>
      <c r="P1383" s="1"/>
      <c r="Q1383" s="81" t="str">
        <f t="shared" si="12"/>
        <v>HiGrad-LoElev</v>
      </c>
      <c r="R1383" s="81" t="str">
        <f t="shared" si="13"/>
        <v>HiGrad-LoElev</v>
      </c>
    </row>
    <row r="1384" spans="1:18" hidden="1" x14ac:dyDescent="0.25">
      <c r="A1384" s="79" t="s">
        <v>1098</v>
      </c>
      <c r="B1384" s="1" t="s">
        <v>474</v>
      </c>
      <c r="C1384" s="5">
        <v>3</v>
      </c>
      <c r="D1384" s="1" t="s">
        <v>34</v>
      </c>
      <c r="E1384" s="44" t="s">
        <v>523</v>
      </c>
      <c r="F1384" s="5" t="s">
        <v>24</v>
      </c>
      <c r="G1384" s="5">
        <v>15</v>
      </c>
      <c r="H1384" s="5">
        <v>25</v>
      </c>
      <c r="I1384" s="80" t="b">
        <v>1</v>
      </c>
      <c r="J1384" s="1" t="s">
        <v>2</v>
      </c>
      <c r="K1384" s="81" t="s">
        <v>32</v>
      </c>
      <c r="L1384" s="1"/>
      <c r="M1384" s="1"/>
      <c r="N1384" s="1"/>
      <c r="O1384" s="1"/>
      <c r="P1384" s="1"/>
      <c r="Q1384" s="81" t="str">
        <f t="shared" si="12"/>
        <v>HiGrad-LoElev</v>
      </c>
      <c r="R1384" s="81" t="str">
        <f t="shared" si="13"/>
        <v>HiGrad-LoElev</v>
      </c>
    </row>
    <row r="1385" spans="1:18" hidden="1" x14ac:dyDescent="0.25">
      <c r="A1385" s="79" t="s">
        <v>1098</v>
      </c>
      <c r="B1385" s="1" t="s">
        <v>474</v>
      </c>
      <c r="C1385" s="5">
        <v>3</v>
      </c>
      <c r="D1385" s="1" t="s">
        <v>35</v>
      </c>
      <c r="E1385" s="44" t="s">
        <v>526</v>
      </c>
      <c r="F1385" s="5" t="s">
        <v>24</v>
      </c>
      <c r="G1385" s="5">
        <v>5</v>
      </c>
      <c r="H1385" s="5">
        <v>15</v>
      </c>
      <c r="I1385" s="80" t="b">
        <v>1</v>
      </c>
      <c r="J1385" s="1" t="s">
        <v>3</v>
      </c>
      <c r="K1385" s="81" t="s">
        <v>32</v>
      </c>
      <c r="L1385" s="1"/>
      <c r="M1385" s="1"/>
      <c r="N1385" s="1"/>
      <c r="O1385" s="1"/>
      <c r="P1385" s="1"/>
      <c r="Q1385" s="81" t="str">
        <f t="shared" si="12"/>
        <v>HiGrad-LoElev</v>
      </c>
      <c r="R1385" s="81" t="str">
        <f t="shared" si="13"/>
        <v>HiGrad-LoElev</v>
      </c>
    </row>
    <row r="1386" spans="1:18" hidden="1" x14ac:dyDescent="0.25">
      <c r="A1386" s="79" t="s">
        <v>1098</v>
      </c>
      <c r="B1386" s="1" t="s">
        <v>474</v>
      </c>
      <c r="C1386" s="5">
        <v>3</v>
      </c>
      <c r="D1386" s="1" t="s">
        <v>48</v>
      </c>
      <c r="E1386" s="44" t="s">
        <v>563</v>
      </c>
      <c r="F1386" s="5" t="s">
        <v>26</v>
      </c>
      <c r="G1386" s="5">
        <v>15</v>
      </c>
      <c r="H1386" s="5">
        <v>25</v>
      </c>
      <c r="I1386" s="80" t="b">
        <v>0</v>
      </c>
      <c r="J1386" s="57" t="s">
        <v>15</v>
      </c>
      <c r="K1386" s="81" t="s">
        <v>32</v>
      </c>
      <c r="L1386" s="1"/>
      <c r="M1386" s="1"/>
      <c r="N1386" s="1"/>
      <c r="O1386" s="1"/>
      <c r="P1386" s="1"/>
      <c r="Q1386" s="81" t="str">
        <f t="shared" si="12"/>
        <v>HiGrad-LoElev</v>
      </c>
      <c r="R1386" s="81" t="str">
        <f t="shared" si="13"/>
        <v>HiGrad-LoElev</v>
      </c>
    </row>
    <row r="1387" spans="1:18" hidden="1" x14ac:dyDescent="0.25">
      <c r="A1387" s="79" t="s">
        <v>1098</v>
      </c>
      <c r="B1387" s="1" t="s">
        <v>474</v>
      </c>
      <c r="C1387" s="5">
        <v>3</v>
      </c>
      <c r="D1387" s="1" t="s">
        <v>476</v>
      </c>
      <c r="E1387" s="44" t="s">
        <v>563</v>
      </c>
      <c r="F1387" s="5" t="s">
        <v>26</v>
      </c>
      <c r="G1387" s="5">
        <v>15</v>
      </c>
      <c r="H1387" s="5">
        <v>25</v>
      </c>
      <c r="I1387" s="80" t="b">
        <v>0</v>
      </c>
      <c r="J1387" s="1" t="s">
        <v>477</v>
      </c>
      <c r="K1387" s="81" t="s">
        <v>32</v>
      </c>
      <c r="L1387" s="1"/>
      <c r="M1387" s="1"/>
      <c r="N1387" s="1"/>
      <c r="O1387" s="1"/>
      <c r="P1387" s="1"/>
      <c r="Q1387" s="81" t="str">
        <f t="shared" si="12"/>
        <v>HiGrad-LoElev</v>
      </c>
      <c r="R1387" s="81" t="str">
        <f t="shared" si="13"/>
        <v>HiGrad-LoElev</v>
      </c>
    </row>
    <row r="1388" spans="1:18" hidden="1" x14ac:dyDescent="0.25">
      <c r="A1388" s="79" t="s">
        <v>1098</v>
      </c>
      <c r="B1388" s="7" t="s">
        <v>474</v>
      </c>
      <c r="C1388" s="6">
        <v>3</v>
      </c>
      <c r="D1388" s="7" t="s">
        <v>478</v>
      </c>
      <c r="E1388" s="55" t="s">
        <v>525</v>
      </c>
      <c r="F1388" s="6" t="s">
        <v>24</v>
      </c>
      <c r="G1388" s="6">
        <v>20</v>
      </c>
      <c r="H1388" s="6">
        <v>30</v>
      </c>
      <c r="I1388" s="80" t="b">
        <v>1</v>
      </c>
      <c r="J1388" s="7" t="s">
        <v>479</v>
      </c>
      <c r="K1388" s="81" t="s">
        <v>32</v>
      </c>
      <c r="L1388" s="7" t="s">
        <v>485</v>
      </c>
      <c r="M1388" s="1" t="s">
        <v>482</v>
      </c>
      <c r="N1388" s="1"/>
      <c r="O1388" s="1"/>
      <c r="P1388" s="1"/>
      <c r="Q1388" s="81" t="str">
        <f t="shared" si="12"/>
        <v>HiGrad-LoElev</v>
      </c>
      <c r="R1388" s="81" t="str">
        <f t="shared" si="13"/>
        <v>HiGrad-LoElev</v>
      </c>
    </row>
    <row r="1389" spans="1:18" hidden="1" x14ac:dyDescent="0.25">
      <c r="A1389" s="79" t="s">
        <v>1098</v>
      </c>
      <c r="B1389" s="7" t="s">
        <v>474</v>
      </c>
      <c r="C1389" s="6">
        <v>3</v>
      </c>
      <c r="D1389" s="7" t="s">
        <v>29</v>
      </c>
      <c r="E1389" s="58" t="s">
        <v>542</v>
      </c>
      <c r="F1389" s="6" t="s">
        <v>24</v>
      </c>
      <c r="G1389" s="6">
        <v>5</v>
      </c>
      <c r="H1389" s="6">
        <v>15</v>
      </c>
      <c r="I1389" s="80" t="b">
        <v>1</v>
      </c>
      <c r="J1389" s="7" t="s">
        <v>6</v>
      </c>
      <c r="K1389" s="81" t="s">
        <v>32</v>
      </c>
      <c r="L1389" s="7" t="s">
        <v>485</v>
      </c>
      <c r="M1389" s="1" t="s">
        <v>482</v>
      </c>
      <c r="N1389" s="1"/>
      <c r="O1389" s="1"/>
      <c r="P1389" s="1"/>
      <c r="Q1389" s="81" t="str">
        <f t="shared" si="12"/>
        <v>HiGrad-LoElev</v>
      </c>
      <c r="R1389" s="81" t="str">
        <f t="shared" si="13"/>
        <v>HiGrad-LoElev</v>
      </c>
    </row>
    <row r="1390" spans="1:18" hidden="1" x14ac:dyDescent="0.25">
      <c r="A1390" s="79" t="s">
        <v>1098</v>
      </c>
      <c r="B1390" s="7" t="s">
        <v>474</v>
      </c>
      <c r="C1390" s="6">
        <v>3</v>
      </c>
      <c r="D1390" s="7" t="s">
        <v>342</v>
      </c>
      <c r="E1390" s="55" t="s">
        <v>543</v>
      </c>
      <c r="F1390" s="6" t="s">
        <v>24</v>
      </c>
      <c r="G1390" s="6">
        <v>3.8</v>
      </c>
      <c r="H1390" s="6">
        <v>4.2</v>
      </c>
      <c r="I1390" s="80" t="b">
        <v>1</v>
      </c>
      <c r="J1390" s="7" t="s">
        <v>480</v>
      </c>
      <c r="K1390" s="81" t="s">
        <v>32</v>
      </c>
      <c r="L1390" s="7" t="s">
        <v>485</v>
      </c>
      <c r="M1390" s="1" t="s">
        <v>482</v>
      </c>
      <c r="N1390" s="1"/>
      <c r="O1390" s="1"/>
      <c r="P1390" s="1"/>
      <c r="Q1390" s="81" t="str">
        <f t="shared" si="12"/>
        <v>HiGrad-LoElev</v>
      </c>
      <c r="R1390" s="81" t="str">
        <f t="shared" si="13"/>
        <v>HiGrad-LoElev</v>
      </c>
    </row>
    <row r="1391" spans="1:18" hidden="1" x14ac:dyDescent="0.25">
      <c r="A1391" s="79" t="s">
        <v>1098</v>
      </c>
      <c r="B1391" s="1" t="s">
        <v>474</v>
      </c>
      <c r="C1391" s="5">
        <v>4</v>
      </c>
      <c r="D1391" s="1" t="s">
        <v>11</v>
      </c>
      <c r="E1391" s="44" t="s">
        <v>521</v>
      </c>
      <c r="F1391" s="5" t="s">
        <v>24</v>
      </c>
      <c r="G1391" s="5">
        <v>25</v>
      </c>
      <c r="H1391" s="5">
        <v>35</v>
      </c>
      <c r="I1391" s="80" t="b">
        <v>1</v>
      </c>
      <c r="J1391" s="1" t="s">
        <v>0</v>
      </c>
      <c r="K1391" s="81" t="s">
        <v>32</v>
      </c>
      <c r="L1391" s="1"/>
      <c r="M1391" s="1"/>
      <c r="N1391" s="1"/>
      <c r="O1391" s="1"/>
      <c r="P1391" s="1"/>
      <c r="Q1391" s="81" t="str">
        <f t="shared" si="12"/>
        <v>HiGrad-LoElev</v>
      </c>
      <c r="R1391" s="81" t="str">
        <f t="shared" si="13"/>
        <v>HiGrad-LoElev</v>
      </c>
    </row>
    <row r="1392" spans="1:18" hidden="1" x14ac:dyDescent="0.25">
      <c r="A1392" s="79" t="s">
        <v>1098</v>
      </c>
      <c r="B1392" s="1" t="s">
        <v>474</v>
      </c>
      <c r="C1392" s="5">
        <v>4</v>
      </c>
      <c r="D1392" s="1" t="s">
        <v>13</v>
      </c>
      <c r="E1392" s="56" t="s">
        <v>528</v>
      </c>
      <c r="F1392" s="5" t="s">
        <v>24</v>
      </c>
      <c r="G1392" s="5">
        <v>6</v>
      </c>
      <c r="H1392" s="5">
        <v>12</v>
      </c>
      <c r="I1392" s="80" t="b">
        <v>1</v>
      </c>
      <c r="J1392" s="57" t="s">
        <v>10</v>
      </c>
      <c r="K1392" s="81" t="s">
        <v>32</v>
      </c>
      <c r="L1392" s="1"/>
      <c r="M1392" s="1"/>
      <c r="N1392" s="1"/>
      <c r="O1392" s="1"/>
      <c r="P1392" s="1"/>
      <c r="Q1392" s="81" t="str">
        <f t="shared" si="12"/>
        <v>HiGrad-LoElev</v>
      </c>
      <c r="R1392" s="81" t="str">
        <f t="shared" si="13"/>
        <v>HiGrad-LoElev</v>
      </c>
    </row>
    <row r="1393" spans="1:18" hidden="1" x14ac:dyDescent="0.25">
      <c r="A1393" s="79" t="s">
        <v>1098</v>
      </c>
      <c r="B1393" s="1" t="s">
        <v>474</v>
      </c>
      <c r="C1393" s="5">
        <v>4</v>
      </c>
      <c r="D1393" s="1" t="s">
        <v>34</v>
      </c>
      <c r="E1393" s="44" t="s">
        <v>526</v>
      </c>
      <c r="F1393" s="5" t="s">
        <v>24</v>
      </c>
      <c r="G1393" s="5">
        <v>5</v>
      </c>
      <c r="H1393" s="5">
        <v>15</v>
      </c>
      <c r="I1393" s="80" t="b">
        <v>1</v>
      </c>
      <c r="J1393" s="1" t="s">
        <v>2</v>
      </c>
      <c r="K1393" s="81" t="s">
        <v>32</v>
      </c>
      <c r="L1393" s="1"/>
      <c r="M1393" s="1"/>
      <c r="N1393" s="1"/>
      <c r="O1393" s="1"/>
      <c r="P1393" s="1"/>
      <c r="Q1393" s="81" t="str">
        <f t="shared" si="12"/>
        <v>HiGrad-LoElev</v>
      </c>
      <c r="R1393" s="81" t="str">
        <f t="shared" si="13"/>
        <v>HiGrad-LoElev</v>
      </c>
    </row>
    <row r="1394" spans="1:18" hidden="1" x14ac:dyDescent="0.25">
      <c r="A1394" s="79" t="s">
        <v>1098</v>
      </c>
      <c r="B1394" s="1" t="s">
        <v>474</v>
      </c>
      <c r="C1394" s="5">
        <v>4</v>
      </c>
      <c r="D1394" s="1" t="s">
        <v>48</v>
      </c>
      <c r="E1394" s="44" t="s">
        <v>564</v>
      </c>
      <c r="F1394" s="5" t="s">
        <v>26</v>
      </c>
      <c r="G1394" s="5">
        <v>20</v>
      </c>
      <c r="H1394" s="5">
        <v>30</v>
      </c>
      <c r="I1394" s="80" t="b">
        <v>0</v>
      </c>
      <c r="J1394" s="57" t="s">
        <v>15</v>
      </c>
      <c r="K1394" s="81" t="s">
        <v>32</v>
      </c>
      <c r="L1394" s="1"/>
      <c r="M1394" s="1"/>
      <c r="N1394" s="1"/>
      <c r="O1394" s="1"/>
      <c r="P1394" s="1"/>
      <c r="Q1394" s="81" t="str">
        <f t="shared" si="12"/>
        <v>HiGrad-LoElev</v>
      </c>
      <c r="R1394" s="81" t="str">
        <f t="shared" si="13"/>
        <v>HiGrad-LoElev</v>
      </c>
    </row>
    <row r="1395" spans="1:18" ht="30" hidden="1" x14ac:dyDescent="0.25">
      <c r="A1395" s="79" t="s">
        <v>1098</v>
      </c>
      <c r="B1395" s="1" t="s">
        <v>474</v>
      </c>
      <c r="C1395" s="5">
        <v>4</v>
      </c>
      <c r="D1395" s="1" t="s">
        <v>476</v>
      </c>
      <c r="E1395" s="44" t="s">
        <v>565</v>
      </c>
      <c r="F1395" s="5" t="s">
        <v>26</v>
      </c>
      <c r="G1395" s="5">
        <v>45</v>
      </c>
      <c r="H1395" s="5">
        <v>55</v>
      </c>
      <c r="I1395" s="80" t="b">
        <v>0</v>
      </c>
      <c r="J1395" s="57" t="s">
        <v>477</v>
      </c>
      <c r="K1395" s="81" t="s">
        <v>32</v>
      </c>
      <c r="L1395" s="1"/>
      <c r="M1395" s="1"/>
      <c r="N1395" s="1"/>
      <c r="O1395" s="1"/>
      <c r="P1395" s="1"/>
      <c r="Q1395" s="81" t="str">
        <f t="shared" si="12"/>
        <v>HiGrad-LoElev</v>
      </c>
      <c r="R1395" s="81" t="str">
        <f t="shared" si="13"/>
        <v>HiGrad-LoElev</v>
      </c>
    </row>
    <row r="1396" spans="1:18" hidden="1" x14ac:dyDescent="0.25">
      <c r="A1396" s="79" t="s">
        <v>1098</v>
      </c>
      <c r="B1396" s="1" t="s">
        <v>474</v>
      </c>
      <c r="C1396" s="5">
        <v>4</v>
      </c>
      <c r="D1396" s="1" t="s">
        <v>478</v>
      </c>
      <c r="E1396" s="44" t="s">
        <v>524</v>
      </c>
      <c r="F1396" s="5" t="s">
        <v>24</v>
      </c>
      <c r="G1396" s="5">
        <v>10</v>
      </c>
      <c r="H1396" s="5">
        <v>20</v>
      </c>
      <c r="I1396" s="80" t="b">
        <v>1</v>
      </c>
      <c r="J1396" s="57" t="s">
        <v>479</v>
      </c>
      <c r="K1396" s="81" t="s">
        <v>32</v>
      </c>
      <c r="L1396" s="1"/>
      <c r="M1396" s="1"/>
      <c r="N1396" s="1"/>
      <c r="O1396" s="1"/>
      <c r="P1396" s="1"/>
      <c r="Q1396" s="81" t="str">
        <f t="shared" si="12"/>
        <v>HiGrad-LoElev</v>
      </c>
      <c r="R1396" s="81" t="str">
        <f t="shared" si="13"/>
        <v>HiGrad-LoElev</v>
      </c>
    </row>
    <row r="1397" spans="1:18" hidden="1" x14ac:dyDescent="0.25">
      <c r="A1397" s="79" t="s">
        <v>1098</v>
      </c>
      <c r="B1397" s="1" t="s">
        <v>474</v>
      </c>
      <c r="C1397" s="5">
        <v>5</v>
      </c>
      <c r="D1397" s="1" t="s">
        <v>11</v>
      </c>
      <c r="E1397" s="59" t="s">
        <v>524</v>
      </c>
      <c r="F1397" s="5" t="s">
        <v>24</v>
      </c>
      <c r="G1397" s="5">
        <v>10</v>
      </c>
      <c r="H1397" s="5">
        <v>20</v>
      </c>
      <c r="I1397" s="80" t="b">
        <v>1</v>
      </c>
      <c r="J1397" s="57" t="s">
        <v>0</v>
      </c>
      <c r="K1397" s="81" t="s">
        <v>32</v>
      </c>
      <c r="L1397" s="1"/>
      <c r="M1397" s="1"/>
      <c r="N1397" s="1"/>
      <c r="O1397" s="1"/>
      <c r="P1397" s="1"/>
      <c r="Q1397" s="81" t="str">
        <f t="shared" si="12"/>
        <v>HiGrad-LoElev</v>
      </c>
      <c r="R1397" s="81" t="str">
        <f t="shared" si="13"/>
        <v>HiGrad-LoElev</v>
      </c>
    </row>
    <row r="1398" spans="1:18" hidden="1" x14ac:dyDescent="0.25">
      <c r="A1398" s="79" t="s">
        <v>1098</v>
      </c>
      <c r="B1398" s="1" t="s">
        <v>474</v>
      </c>
      <c r="C1398" s="5">
        <v>5</v>
      </c>
      <c r="D1398" s="1" t="s">
        <v>13</v>
      </c>
      <c r="E1398" s="59" t="s">
        <v>536</v>
      </c>
      <c r="F1398" s="5" t="s">
        <v>24</v>
      </c>
      <c r="G1398" s="5">
        <v>1</v>
      </c>
      <c r="H1398" s="5">
        <v>5</v>
      </c>
      <c r="I1398" s="80" t="b">
        <v>1</v>
      </c>
      <c r="J1398" s="57" t="s">
        <v>10</v>
      </c>
      <c r="K1398" s="81" t="s">
        <v>32</v>
      </c>
      <c r="L1398" s="1"/>
      <c r="M1398" s="1"/>
      <c r="N1398" s="1"/>
      <c r="O1398" s="1"/>
      <c r="P1398" s="1"/>
      <c r="Q1398" s="81" t="str">
        <f t="shared" si="12"/>
        <v>HiGrad-LoElev</v>
      </c>
      <c r="R1398" s="81" t="str">
        <f t="shared" si="13"/>
        <v>HiGrad-LoElev</v>
      </c>
    </row>
    <row r="1399" spans="1:18" hidden="1" x14ac:dyDescent="0.25">
      <c r="A1399" s="79" t="s">
        <v>1098</v>
      </c>
      <c r="B1399" s="1" t="s">
        <v>474</v>
      </c>
      <c r="C1399" s="5">
        <v>5</v>
      </c>
      <c r="D1399" s="1" t="s">
        <v>48</v>
      </c>
      <c r="E1399" s="44" t="s">
        <v>566</v>
      </c>
      <c r="F1399" s="5" t="s">
        <v>26</v>
      </c>
      <c r="G1399" s="5">
        <v>30</v>
      </c>
      <c r="H1399" s="5">
        <v>40</v>
      </c>
      <c r="I1399" s="80" t="b">
        <v>0</v>
      </c>
      <c r="J1399" s="1" t="s">
        <v>15</v>
      </c>
      <c r="K1399" s="81" t="s">
        <v>32</v>
      </c>
      <c r="L1399" s="1"/>
      <c r="M1399" s="1"/>
      <c r="N1399" s="1"/>
      <c r="O1399" s="1"/>
      <c r="P1399" s="1"/>
      <c r="Q1399" s="81" t="str">
        <f t="shared" si="12"/>
        <v>HiGrad-LoElev</v>
      </c>
      <c r="R1399" s="81" t="str">
        <f t="shared" si="13"/>
        <v>HiGrad-LoElev</v>
      </c>
    </row>
    <row r="1400" spans="1:18" hidden="1" x14ac:dyDescent="0.25">
      <c r="A1400" s="79" t="s">
        <v>1098</v>
      </c>
      <c r="B1400" s="1" t="s">
        <v>474</v>
      </c>
      <c r="C1400" s="5">
        <v>5</v>
      </c>
      <c r="D1400" s="1" t="s">
        <v>478</v>
      </c>
      <c r="E1400" s="59" t="s">
        <v>544</v>
      </c>
      <c r="F1400" s="5" t="s">
        <v>24</v>
      </c>
      <c r="G1400" s="5">
        <v>3</v>
      </c>
      <c r="H1400" s="5">
        <v>7</v>
      </c>
      <c r="I1400" s="80" t="b">
        <v>1</v>
      </c>
      <c r="J1400" s="57" t="s">
        <v>479</v>
      </c>
      <c r="K1400" s="81" t="s">
        <v>32</v>
      </c>
      <c r="L1400" s="1"/>
      <c r="M1400" s="1"/>
      <c r="N1400" s="1"/>
      <c r="O1400" s="1"/>
      <c r="P1400" s="1"/>
      <c r="Q1400" s="81" t="str">
        <f t="shared" si="12"/>
        <v>HiGrad-LoElev</v>
      </c>
      <c r="R1400" s="81" t="str">
        <f t="shared" si="13"/>
        <v>HiGrad-LoElev</v>
      </c>
    </row>
    <row r="1401" spans="1:18" hidden="1" x14ac:dyDescent="0.25">
      <c r="A1401" s="79" t="s">
        <v>1098</v>
      </c>
      <c r="B1401" s="1" t="s">
        <v>487</v>
      </c>
      <c r="C1401" s="5">
        <v>2</v>
      </c>
      <c r="D1401" s="1" t="s">
        <v>11</v>
      </c>
      <c r="E1401" s="61" t="s">
        <v>545</v>
      </c>
      <c r="F1401" s="5" t="s">
        <v>24</v>
      </c>
      <c r="G1401" s="5">
        <v>40</v>
      </c>
      <c r="H1401" s="5">
        <v>50</v>
      </c>
      <c r="I1401" s="80" t="b">
        <v>1</v>
      </c>
      <c r="J1401" s="1" t="s">
        <v>0</v>
      </c>
      <c r="K1401" s="81" t="s">
        <v>32</v>
      </c>
      <c r="L1401" s="1"/>
      <c r="M1401" s="1"/>
      <c r="N1401" s="1"/>
      <c r="O1401" s="1"/>
      <c r="P1401" s="1"/>
      <c r="Q1401" s="81" t="str">
        <f t="shared" si="12"/>
        <v>HiGrad-HiElev</v>
      </c>
      <c r="R1401" s="81" t="str">
        <f t="shared" si="13"/>
        <v>HiGrad-HiElev</v>
      </c>
    </row>
    <row r="1402" spans="1:18" hidden="1" x14ac:dyDescent="0.25">
      <c r="A1402" s="79" t="s">
        <v>1098</v>
      </c>
      <c r="B1402" s="1" t="s">
        <v>487</v>
      </c>
      <c r="C1402" s="5">
        <v>2</v>
      </c>
      <c r="D1402" s="1" t="s">
        <v>33</v>
      </c>
      <c r="E1402" s="61" t="s">
        <v>546</v>
      </c>
      <c r="F1402" s="5" t="s">
        <v>24</v>
      </c>
      <c r="G1402" s="5">
        <v>3</v>
      </c>
      <c r="H1402" s="5">
        <v>9</v>
      </c>
      <c r="I1402" s="80" t="b">
        <v>1</v>
      </c>
      <c r="J1402" s="1" t="s">
        <v>1</v>
      </c>
      <c r="K1402" s="81" t="s">
        <v>32</v>
      </c>
      <c r="L1402" s="1"/>
      <c r="M1402" s="1"/>
      <c r="N1402" s="1"/>
      <c r="O1402" s="1"/>
      <c r="P1402" s="1"/>
      <c r="Q1402" s="81" t="str">
        <f t="shared" si="12"/>
        <v>HiGrad-HiElev</v>
      </c>
      <c r="R1402" s="81" t="str">
        <f t="shared" si="13"/>
        <v>HiGrad-HiElev</v>
      </c>
    </row>
    <row r="1403" spans="1:18" hidden="1" x14ac:dyDescent="0.25">
      <c r="A1403" s="79" t="s">
        <v>1098</v>
      </c>
      <c r="B1403" s="1" t="s">
        <v>487</v>
      </c>
      <c r="C1403" s="5">
        <v>2</v>
      </c>
      <c r="D1403" s="1" t="s">
        <v>390</v>
      </c>
      <c r="E1403" s="5" t="s">
        <v>547</v>
      </c>
      <c r="F1403" s="5" t="s">
        <v>24</v>
      </c>
      <c r="G1403" s="5">
        <v>3</v>
      </c>
      <c r="H1403" s="5">
        <v>7</v>
      </c>
      <c r="I1403" s="80" t="b">
        <v>1</v>
      </c>
      <c r="J1403" s="1" t="s">
        <v>475</v>
      </c>
      <c r="K1403" s="81" t="s">
        <v>32</v>
      </c>
      <c r="L1403" s="1"/>
      <c r="M1403" s="1"/>
      <c r="N1403" s="1"/>
      <c r="O1403" s="1"/>
      <c r="P1403" s="1"/>
      <c r="Q1403" s="81" t="str">
        <f t="shared" si="12"/>
        <v>HiGrad-HiElev</v>
      </c>
      <c r="R1403" s="81" t="str">
        <f t="shared" si="13"/>
        <v>HiGrad-HiElev</v>
      </c>
    </row>
    <row r="1404" spans="1:18" hidden="1" x14ac:dyDescent="0.25">
      <c r="A1404" s="79" t="s">
        <v>1098</v>
      </c>
      <c r="B1404" s="1" t="s">
        <v>487</v>
      </c>
      <c r="C1404" s="5">
        <v>2</v>
      </c>
      <c r="D1404" s="1" t="s">
        <v>29</v>
      </c>
      <c r="E1404" s="61" t="s">
        <v>548</v>
      </c>
      <c r="F1404" s="5" t="s">
        <v>24</v>
      </c>
      <c r="G1404" s="5">
        <v>13</v>
      </c>
      <c r="H1404" s="5">
        <v>23</v>
      </c>
      <c r="I1404" s="80" t="b">
        <v>1</v>
      </c>
      <c r="J1404" s="1" t="s">
        <v>6</v>
      </c>
      <c r="K1404" s="81" t="s">
        <v>32</v>
      </c>
      <c r="L1404" s="1"/>
      <c r="M1404" s="1"/>
      <c r="N1404" s="1"/>
      <c r="O1404" s="1"/>
      <c r="P1404" s="1"/>
      <c r="Q1404" s="81" t="str">
        <f t="shared" si="12"/>
        <v>HiGrad-HiElev</v>
      </c>
      <c r="R1404" s="81" t="str">
        <f t="shared" si="13"/>
        <v>HiGrad-HiElev</v>
      </c>
    </row>
    <row r="1405" spans="1:18" hidden="1" x14ac:dyDescent="0.25">
      <c r="A1405" s="79" t="s">
        <v>1098</v>
      </c>
      <c r="B1405" s="1" t="s">
        <v>487</v>
      </c>
      <c r="C1405" s="5">
        <v>2</v>
      </c>
      <c r="D1405" s="1" t="s">
        <v>34</v>
      </c>
      <c r="E1405" s="61" t="s">
        <v>538</v>
      </c>
      <c r="F1405" s="5" t="s">
        <v>24</v>
      </c>
      <c r="G1405" s="5">
        <v>40</v>
      </c>
      <c r="H1405" s="5">
        <v>50</v>
      </c>
      <c r="I1405" s="80" t="b">
        <v>1</v>
      </c>
      <c r="J1405" s="1" t="s">
        <v>2</v>
      </c>
      <c r="K1405" s="81" t="s">
        <v>32</v>
      </c>
      <c r="L1405" s="1"/>
      <c r="M1405" s="1"/>
      <c r="N1405" s="1"/>
      <c r="O1405" s="1"/>
      <c r="P1405" s="1"/>
      <c r="Q1405" s="81" t="str">
        <f t="shared" si="12"/>
        <v>HiGrad-HiElev</v>
      </c>
      <c r="R1405" s="81" t="str">
        <f t="shared" si="13"/>
        <v>HiGrad-HiElev</v>
      </c>
    </row>
    <row r="1406" spans="1:18" hidden="1" x14ac:dyDescent="0.25">
      <c r="A1406" s="79" t="s">
        <v>1098</v>
      </c>
      <c r="B1406" s="1" t="s">
        <v>487</v>
      </c>
      <c r="C1406" s="5">
        <v>2</v>
      </c>
      <c r="D1406" s="1" t="s">
        <v>35</v>
      </c>
      <c r="E1406" s="61" t="s">
        <v>522</v>
      </c>
      <c r="F1406" s="5" t="s">
        <v>24</v>
      </c>
      <c r="G1406" s="5">
        <v>30</v>
      </c>
      <c r="H1406" s="5">
        <v>40</v>
      </c>
      <c r="I1406" s="80" t="b">
        <v>1</v>
      </c>
      <c r="J1406" s="1" t="s">
        <v>3</v>
      </c>
      <c r="K1406" s="81" t="s">
        <v>32</v>
      </c>
      <c r="L1406" s="1"/>
      <c r="M1406" s="1"/>
      <c r="N1406" s="1"/>
      <c r="O1406" s="1"/>
      <c r="P1406" s="1"/>
      <c r="Q1406" s="81" t="str">
        <f t="shared" si="12"/>
        <v>HiGrad-HiElev</v>
      </c>
      <c r="R1406" s="81" t="str">
        <f t="shared" si="13"/>
        <v>HiGrad-HiElev</v>
      </c>
    </row>
    <row r="1407" spans="1:18" hidden="1" x14ac:dyDescent="0.25">
      <c r="A1407" s="79" t="s">
        <v>1098</v>
      </c>
      <c r="B1407" s="1" t="s">
        <v>487</v>
      </c>
      <c r="C1407" s="5">
        <v>2</v>
      </c>
      <c r="D1407" s="1" t="s">
        <v>48</v>
      </c>
      <c r="E1407" s="44" t="s">
        <v>560</v>
      </c>
      <c r="F1407" s="5" t="s">
        <v>26</v>
      </c>
      <c r="G1407" s="5">
        <v>10</v>
      </c>
      <c r="H1407" s="5">
        <v>20</v>
      </c>
      <c r="I1407" s="80" t="b">
        <v>0</v>
      </c>
      <c r="J1407" s="1" t="s">
        <v>15</v>
      </c>
      <c r="K1407" s="81" t="s">
        <v>32</v>
      </c>
      <c r="L1407" s="1"/>
      <c r="M1407" s="1"/>
      <c r="N1407" s="1"/>
      <c r="O1407" s="1"/>
      <c r="P1407" s="1"/>
      <c r="Q1407" s="81" t="str">
        <f t="shared" si="12"/>
        <v>HiGrad-HiElev</v>
      </c>
      <c r="R1407" s="81" t="str">
        <f t="shared" si="13"/>
        <v>HiGrad-HiElev</v>
      </c>
    </row>
    <row r="1408" spans="1:18" hidden="1" x14ac:dyDescent="0.25">
      <c r="A1408" s="79" t="s">
        <v>1098</v>
      </c>
      <c r="B1408" s="1" t="s">
        <v>487</v>
      </c>
      <c r="C1408" s="6">
        <v>2</v>
      </c>
      <c r="D1408" s="7" t="s">
        <v>478</v>
      </c>
      <c r="E1408" s="55" t="s">
        <v>525</v>
      </c>
      <c r="F1408" s="6" t="s">
        <v>24</v>
      </c>
      <c r="G1408" s="6">
        <v>20</v>
      </c>
      <c r="H1408" s="6">
        <v>30</v>
      </c>
      <c r="I1408" s="80" t="b">
        <v>1</v>
      </c>
      <c r="J1408" s="7" t="s">
        <v>479</v>
      </c>
      <c r="K1408" s="81" t="s">
        <v>32</v>
      </c>
      <c r="L1408" s="7" t="s">
        <v>485</v>
      </c>
      <c r="M1408" s="1" t="s">
        <v>482</v>
      </c>
      <c r="N1408" s="1"/>
      <c r="O1408" s="1"/>
      <c r="P1408" s="1"/>
      <c r="Q1408" s="81" t="str">
        <f t="shared" si="12"/>
        <v>HiGrad-HiElev</v>
      </c>
      <c r="R1408" s="81" t="str">
        <f t="shared" si="13"/>
        <v>HiGrad-HiElev</v>
      </c>
    </row>
    <row r="1409" spans="1:18" hidden="1" x14ac:dyDescent="0.25">
      <c r="A1409" s="79" t="s">
        <v>1098</v>
      </c>
      <c r="B1409" s="1" t="s">
        <v>487</v>
      </c>
      <c r="C1409" s="6">
        <v>2</v>
      </c>
      <c r="D1409" s="7" t="s">
        <v>342</v>
      </c>
      <c r="E1409" s="55" t="s">
        <v>549</v>
      </c>
      <c r="F1409" s="6" t="s">
        <v>24</v>
      </c>
      <c r="G1409" s="6">
        <v>3.8</v>
      </c>
      <c r="H1409" s="6">
        <v>4.2</v>
      </c>
      <c r="I1409" s="80" t="b">
        <v>1</v>
      </c>
      <c r="J1409" s="7" t="s">
        <v>480</v>
      </c>
      <c r="K1409" s="81" t="s">
        <v>32</v>
      </c>
      <c r="L1409" s="7" t="s">
        <v>485</v>
      </c>
      <c r="M1409" s="1" t="s">
        <v>482</v>
      </c>
      <c r="N1409" s="1"/>
      <c r="O1409" s="1"/>
      <c r="P1409" s="1"/>
      <c r="Q1409" s="81" t="str">
        <f t="shared" si="12"/>
        <v>HiGrad-HiElev</v>
      </c>
      <c r="R1409" s="81" t="str">
        <f t="shared" si="13"/>
        <v>HiGrad-HiElev</v>
      </c>
    </row>
    <row r="1410" spans="1:18" hidden="1" x14ac:dyDescent="0.25">
      <c r="A1410" s="79" t="s">
        <v>1098</v>
      </c>
      <c r="B1410" s="1" t="s">
        <v>487</v>
      </c>
      <c r="C1410" s="6">
        <v>2</v>
      </c>
      <c r="D1410" s="7" t="s">
        <v>295</v>
      </c>
      <c r="E1410" s="55" t="s">
        <v>550</v>
      </c>
      <c r="F1410" s="6" t="s">
        <v>24</v>
      </c>
      <c r="G1410" s="6">
        <v>9</v>
      </c>
      <c r="H1410" s="6">
        <v>15</v>
      </c>
      <c r="I1410" s="80" t="b">
        <v>1</v>
      </c>
      <c r="J1410" s="7" t="s">
        <v>481</v>
      </c>
      <c r="K1410" s="81" t="s">
        <v>32</v>
      </c>
      <c r="L1410" s="7" t="s">
        <v>485</v>
      </c>
      <c r="M1410" s="1" t="s">
        <v>482</v>
      </c>
      <c r="N1410" s="1"/>
      <c r="O1410" s="1"/>
      <c r="P1410" s="1"/>
      <c r="Q1410" s="81" t="str">
        <f t="shared" si="12"/>
        <v>HiGrad-HiElev</v>
      </c>
      <c r="R1410" s="81" t="str">
        <f t="shared" si="13"/>
        <v>HiGrad-HiElev</v>
      </c>
    </row>
    <row r="1411" spans="1:18" hidden="1" x14ac:dyDescent="0.25">
      <c r="A1411" s="79" t="s">
        <v>1098</v>
      </c>
      <c r="B1411" s="1" t="s">
        <v>487</v>
      </c>
      <c r="C1411" s="5">
        <v>3</v>
      </c>
      <c r="D1411" s="1" t="s">
        <v>11</v>
      </c>
      <c r="E1411" s="44" t="s">
        <v>551</v>
      </c>
      <c r="F1411" s="5" t="s">
        <v>24</v>
      </c>
      <c r="G1411" s="5">
        <v>30</v>
      </c>
      <c r="H1411" s="5">
        <v>40</v>
      </c>
      <c r="I1411" s="80" t="b">
        <v>1</v>
      </c>
      <c r="J1411" s="1" t="s">
        <v>0</v>
      </c>
      <c r="K1411" s="81" t="s">
        <v>32</v>
      </c>
      <c r="L1411" s="1"/>
      <c r="M1411" s="1"/>
      <c r="N1411" s="1"/>
      <c r="O1411" s="1"/>
      <c r="P1411" s="1"/>
      <c r="Q1411" s="81" t="str">
        <f t="shared" si="12"/>
        <v>HiGrad-HiElev</v>
      </c>
      <c r="R1411" s="81" t="str">
        <f t="shared" si="13"/>
        <v>HiGrad-HiElev</v>
      </c>
    </row>
    <row r="1412" spans="1:18" hidden="1" x14ac:dyDescent="0.25">
      <c r="A1412" s="79" t="s">
        <v>1098</v>
      </c>
      <c r="B1412" s="1" t="s">
        <v>487</v>
      </c>
      <c r="C1412" s="5">
        <v>3</v>
      </c>
      <c r="D1412" s="1" t="s">
        <v>13</v>
      </c>
      <c r="E1412" s="56" t="s">
        <v>524</v>
      </c>
      <c r="F1412" s="5" t="s">
        <v>24</v>
      </c>
      <c r="G1412" s="5">
        <v>10</v>
      </c>
      <c r="H1412" s="5">
        <v>20</v>
      </c>
      <c r="I1412" s="80" t="b">
        <v>1</v>
      </c>
      <c r="J1412" s="57" t="s">
        <v>10</v>
      </c>
      <c r="K1412" s="81" t="s">
        <v>32</v>
      </c>
      <c r="L1412" s="1"/>
      <c r="M1412" s="1"/>
      <c r="N1412" s="1"/>
      <c r="O1412" s="1"/>
      <c r="P1412" s="1"/>
      <c r="Q1412" s="81" t="str">
        <f t="shared" si="12"/>
        <v>HiGrad-HiElev</v>
      </c>
      <c r="R1412" s="81" t="str">
        <f t="shared" si="13"/>
        <v>HiGrad-HiElev</v>
      </c>
    </row>
    <row r="1413" spans="1:18" hidden="1" x14ac:dyDescent="0.25">
      <c r="A1413" s="79" t="s">
        <v>1098</v>
      </c>
      <c r="B1413" s="1" t="s">
        <v>487</v>
      </c>
      <c r="C1413" s="5">
        <v>3</v>
      </c>
      <c r="D1413" s="1" t="s">
        <v>33</v>
      </c>
      <c r="E1413" s="56" t="s">
        <v>552</v>
      </c>
      <c r="F1413" s="5" t="s">
        <v>24</v>
      </c>
      <c r="G1413" s="5">
        <v>0</v>
      </c>
      <c r="H1413" s="5">
        <v>1</v>
      </c>
      <c r="I1413" s="80" t="b">
        <v>1</v>
      </c>
      <c r="J1413" s="1" t="s">
        <v>1</v>
      </c>
      <c r="K1413" s="81" t="s">
        <v>32</v>
      </c>
      <c r="L1413" s="1"/>
      <c r="M1413" s="1"/>
      <c r="N1413" s="1"/>
      <c r="O1413" s="1"/>
      <c r="P1413" s="1"/>
      <c r="Q1413" s="81" t="str">
        <f t="shared" si="12"/>
        <v>HiGrad-HiElev</v>
      </c>
      <c r="R1413" s="81" t="str">
        <f t="shared" si="13"/>
        <v>HiGrad-HiElev</v>
      </c>
    </row>
    <row r="1414" spans="1:18" hidden="1" x14ac:dyDescent="0.25">
      <c r="A1414" s="79" t="s">
        <v>1098</v>
      </c>
      <c r="B1414" s="1" t="s">
        <v>487</v>
      </c>
      <c r="C1414" s="5">
        <v>3</v>
      </c>
      <c r="D1414" s="1" t="s">
        <v>34</v>
      </c>
      <c r="E1414" s="44" t="s">
        <v>539</v>
      </c>
      <c r="F1414" s="5" t="s">
        <v>24</v>
      </c>
      <c r="G1414" s="5">
        <v>25</v>
      </c>
      <c r="H1414" s="5">
        <v>35</v>
      </c>
      <c r="I1414" s="80" t="b">
        <v>1</v>
      </c>
      <c r="J1414" s="1" t="s">
        <v>2</v>
      </c>
      <c r="K1414" s="81" t="s">
        <v>32</v>
      </c>
      <c r="L1414" s="1"/>
      <c r="M1414" s="1"/>
      <c r="N1414" s="1"/>
      <c r="O1414" s="1"/>
      <c r="P1414" s="1"/>
      <c r="Q1414" s="81" t="str">
        <f t="shared" si="12"/>
        <v>HiGrad-HiElev</v>
      </c>
      <c r="R1414" s="81" t="str">
        <f t="shared" si="13"/>
        <v>HiGrad-HiElev</v>
      </c>
    </row>
    <row r="1415" spans="1:18" hidden="1" x14ac:dyDescent="0.25">
      <c r="A1415" s="79" t="s">
        <v>1098</v>
      </c>
      <c r="B1415" s="1" t="s">
        <v>487</v>
      </c>
      <c r="C1415" s="5">
        <v>3</v>
      </c>
      <c r="D1415" s="1" t="s">
        <v>35</v>
      </c>
      <c r="E1415" s="44" t="s">
        <v>523</v>
      </c>
      <c r="F1415" s="5" t="s">
        <v>24</v>
      </c>
      <c r="G1415" s="5">
        <v>15</v>
      </c>
      <c r="H1415" s="5">
        <v>25</v>
      </c>
      <c r="I1415" s="80" t="b">
        <v>1</v>
      </c>
      <c r="J1415" s="1" t="s">
        <v>3</v>
      </c>
      <c r="K1415" s="81" t="s">
        <v>32</v>
      </c>
      <c r="L1415" s="1"/>
      <c r="M1415" s="1"/>
      <c r="N1415" s="1"/>
      <c r="O1415" s="1"/>
      <c r="P1415" s="1"/>
      <c r="Q1415" s="81" t="str">
        <f t="shared" si="12"/>
        <v>HiGrad-HiElev</v>
      </c>
      <c r="R1415" s="81" t="str">
        <f t="shared" si="13"/>
        <v>HiGrad-HiElev</v>
      </c>
    </row>
    <row r="1416" spans="1:18" hidden="1" x14ac:dyDescent="0.25">
      <c r="A1416" s="79" t="s">
        <v>1098</v>
      </c>
      <c r="B1416" s="1" t="s">
        <v>487</v>
      </c>
      <c r="C1416" s="5">
        <v>3</v>
      </c>
      <c r="D1416" s="1" t="s">
        <v>48</v>
      </c>
      <c r="E1416" s="44" t="s">
        <v>560</v>
      </c>
      <c r="F1416" s="5" t="s">
        <v>26</v>
      </c>
      <c r="G1416" s="5">
        <v>10</v>
      </c>
      <c r="H1416" s="5">
        <v>20</v>
      </c>
      <c r="I1416" s="80" t="b">
        <v>0</v>
      </c>
      <c r="J1416" s="57" t="s">
        <v>15</v>
      </c>
      <c r="K1416" s="81" t="s">
        <v>32</v>
      </c>
      <c r="L1416" s="1"/>
      <c r="M1416" s="1"/>
      <c r="N1416" s="1"/>
      <c r="O1416" s="1"/>
      <c r="P1416" s="1"/>
      <c r="Q1416" s="81" t="str">
        <f t="shared" si="12"/>
        <v>HiGrad-HiElev</v>
      </c>
      <c r="R1416" s="81" t="str">
        <f t="shared" si="13"/>
        <v>HiGrad-HiElev</v>
      </c>
    </row>
    <row r="1417" spans="1:18" hidden="1" x14ac:dyDescent="0.25">
      <c r="A1417" s="79" t="s">
        <v>1098</v>
      </c>
      <c r="B1417" s="1" t="s">
        <v>487</v>
      </c>
      <c r="C1417" s="6">
        <v>3</v>
      </c>
      <c r="D1417" s="7" t="s">
        <v>478</v>
      </c>
      <c r="E1417" s="55" t="s">
        <v>529</v>
      </c>
      <c r="F1417" s="6" t="s">
        <v>24</v>
      </c>
      <c r="G1417" s="6">
        <v>15</v>
      </c>
      <c r="H1417" s="6">
        <v>25</v>
      </c>
      <c r="I1417" s="80" t="b">
        <v>1</v>
      </c>
      <c r="J1417" s="7" t="s">
        <v>479</v>
      </c>
      <c r="K1417" s="81" t="s">
        <v>32</v>
      </c>
      <c r="L1417" s="7" t="s">
        <v>485</v>
      </c>
      <c r="M1417" s="1" t="s">
        <v>482</v>
      </c>
      <c r="N1417" s="1"/>
      <c r="O1417" s="1"/>
      <c r="P1417" s="1"/>
      <c r="Q1417" s="81" t="str">
        <f t="shared" si="12"/>
        <v>HiGrad-HiElev</v>
      </c>
      <c r="R1417" s="81" t="str">
        <f t="shared" si="13"/>
        <v>HiGrad-HiElev</v>
      </c>
    </row>
    <row r="1418" spans="1:18" hidden="1" x14ac:dyDescent="0.25">
      <c r="A1418" s="79" t="s">
        <v>1098</v>
      </c>
      <c r="B1418" s="1" t="s">
        <v>487</v>
      </c>
      <c r="C1418" s="6">
        <v>3</v>
      </c>
      <c r="D1418" s="7" t="s">
        <v>29</v>
      </c>
      <c r="E1418" s="58" t="s">
        <v>542</v>
      </c>
      <c r="F1418" s="6" t="s">
        <v>24</v>
      </c>
      <c r="G1418" s="6">
        <v>5</v>
      </c>
      <c r="H1418" s="6">
        <v>15</v>
      </c>
      <c r="I1418" s="80" t="b">
        <v>1</v>
      </c>
      <c r="J1418" s="7" t="s">
        <v>6</v>
      </c>
      <c r="K1418" s="81" t="s">
        <v>32</v>
      </c>
      <c r="L1418" s="7" t="s">
        <v>485</v>
      </c>
      <c r="M1418" s="1" t="s">
        <v>482</v>
      </c>
      <c r="N1418" s="1"/>
      <c r="O1418" s="1"/>
      <c r="P1418" s="1"/>
      <c r="Q1418" s="81" t="str">
        <f t="shared" si="12"/>
        <v>HiGrad-HiElev</v>
      </c>
      <c r="R1418" s="81" t="str">
        <f t="shared" si="13"/>
        <v>HiGrad-HiElev</v>
      </c>
    </row>
    <row r="1419" spans="1:18" hidden="1" x14ac:dyDescent="0.25">
      <c r="A1419" s="79" t="s">
        <v>1098</v>
      </c>
      <c r="B1419" s="1" t="s">
        <v>487</v>
      </c>
      <c r="C1419" s="6">
        <v>3</v>
      </c>
      <c r="D1419" s="7" t="s">
        <v>342</v>
      </c>
      <c r="E1419" s="55" t="s">
        <v>553</v>
      </c>
      <c r="F1419" s="6" t="s">
        <v>24</v>
      </c>
      <c r="G1419" s="6">
        <v>3.3</v>
      </c>
      <c r="H1419" s="6">
        <v>3.7</v>
      </c>
      <c r="I1419" s="80" t="b">
        <v>1</v>
      </c>
      <c r="J1419" s="7" t="s">
        <v>480</v>
      </c>
      <c r="K1419" s="81" t="s">
        <v>32</v>
      </c>
      <c r="L1419" s="7" t="s">
        <v>485</v>
      </c>
      <c r="M1419" s="1" t="s">
        <v>482</v>
      </c>
      <c r="N1419" s="1"/>
      <c r="O1419" s="1"/>
      <c r="P1419" s="1"/>
      <c r="Q1419" s="81" t="str">
        <f t="shared" si="12"/>
        <v>HiGrad-HiElev</v>
      </c>
      <c r="R1419" s="81" t="str">
        <f t="shared" si="13"/>
        <v>HiGrad-HiElev</v>
      </c>
    </row>
    <row r="1420" spans="1:18" hidden="1" x14ac:dyDescent="0.25">
      <c r="A1420" s="79" t="s">
        <v>1098</v>
      </c>
      <c r="B1420" s="1" t="s">
        <v>487</v>
      </c>
      <c r="C1420" s="5">
        <v>4</v>
      </c>
      <c r="D1420" s="1" t="s">
        <v>11</v>
      </c>
      <c r="E1420" s="44" t="s">
        <v>525</v>
      </c>
      <c r="F1420" s="5" t="s">
        <v>24</v>
      </c>
      <c r="G1420" s="5">
        <v>20</v>
      </c>
      <c r="H1420" s="5">
        <v>30</v>
      </c>
      <c r="I1420" s="80" t="b">
        <v>1</v>
      </c>
      <c r="J1420" s="1" t="s">
        <v>0</v>
      </c>
      <c r="K1420" s="81" t="s">
        <v>32</v>
      </c>
      <c r="L1420" s="1"/>
      <c r="M1420" s="1"/>
      <c r="N1420" s="1"/>
      <c r="O1420" s="1"/>
      <c r="P1420" s="1"/>
      <c r="Q1420" s="81" t="str">
        <f t="shared" si="12"/>
        <v>HiGrad-HiElev</v>
      </c>
      <c r="R1420" s="81" t="str">
        <f t="shared" si="13"/>
        <v>HiGrad-HiElev</v>
      </c>
    </row>
    <row r="1421" spans="1:18" hidden="1" x14ac:dyDescent="0.25">
      <c r="A1421" s="79" t="s">
        <v>1098</v>
      </c>
      <c r="B1421" s="1" t="s">
        <v>487</v>
      </c>
      <c r="C1421" s="5">
        <v>4</v>
      </c>
      <c r="D1421" s="1" t="s">
        <v>13</v>
      </c>
      <c r="E1421" s="56" t="s">
        <v>528</v>
      </c>
      <c r="F1421" s="5" t="s">
        <v>24</v>
      </c>
      <c r="G1421" s="5">
        <v>6</v>
      </c>
      <c r="H1421" s="5">
        <v>12</v>
      </c>
      <c r="I1421" s="80" t="b">
        <v>1</v>
      </c>
      <c r="J1421" s="57" t="s">
        <v>10</v>
      </c>
      <c r="K1421" s="81" t="s">
        <v>32</v>
      </c>
      <c r="L1421" s="1"/>
      <c r="M1421" s="1"/>
      <c r="N1421" s="1"/>
      <c r="O1421" s="1"/>
      <c r="P1421" s="1"/>
      <c r="Q1421" s="81" t="str">
        <f t="shared" si="12"/>
        <v>HiGrad-HiElev</v>
      </c>
      <c r="R1421" s="81" t="str">
        <f t="shared" si="13"/>
        <v>HiGrad-HiElev</v>
      </c>
    </row>
    <row r="1422" spans="1:18" hidden="1" x14ac:dyDescent="0.25">
      <c r="A1422" s="79" t="s">
        <v>1098</v>
      </c>
      <c r="B1422" s="1" t="s">
        <v>487</v>
      </c>
      <c r="C1422" s="5">
        <v>4</v>
      </c>
      <c r="D1422" s="1" t="s">
        <v>34</v>
      </c>
      <c r="E1422" s="44" t="s">
        <v>526</v>
      </c>
      <c r="F1422" s="5" t="s">
        <v>24</v>
      </c>
      <c r="G1422" s="5">
        <v>5</v>
      </c>
      <c r="H1422" s="5">
        <v>15</v>
      </c>
      <c r="I1422" s="80" t="b">
        <v>1</v>
      </c>
      <c r="J1422" s="1" t="s">
        <v>2</v>
      </c>
      <c r="K1422" s="81" t="s">
        <v>32</v>
      </c>
      <c r="L1422" s="1"/>
      <c r="M1422" s="1"/>
      <c r="N1422" s="1"/>
      <c r="O1422" s="1"/>
      <c r="P1422" s="1"/>
      <c r="Q1422" s="81" t="str">
        <f t="shared" si="12"/>
        <v>HiGrad-HiElev</v>
      </c>
      <c r="R1422" s="81" t="str">
        <f t="shared" si="13"/>
        <v>HiGrad-HiElev</v>
      </c>
    </row>
    <row r="1423" spans="1:18" hidden="1" x14ac:dyDescent="0.25">
      <c r="A1423" s="79" t="s">
        <v>1098</v>
      </c>
      <c r="B1423" s="1" t="s">
        <v>487</v>
      </c>
      <c r="C1423" s="5">
        <v>4</v>
      </c>
      <c r="D1423" s="1" t="s">
        <v>48</v>
      </c>
      <c r="E1423" s="44" t="s">
        <v>563</v>
      </c>
      <c r="F1423" s="5" t="s">
        <v>26</v>
      </c>
      <c r="G1423" s="5">
        <v>15</v>
      </c>
      <c r="H1423" s="5">
        <v>25</v>
      </c>
      <c r="I1423" s="80" t="b">
        <v>0</v>
      </c>
      <c r="J1423" s="57" t="s">
        <v>15</v>
      </c>
      <c r="K1423" s="81" t="s">
        <v>32</v>
      </c>
      <c r="L1423" s="1"/>
      <c r="M1423" s="1"/>
      <c r="N1423" s="1"/>
      <c r="O1423" s="1"/>
      <c r="P1423" s="1"/>
      <c r="Q1423" s="81" t="str">
        <f t="shared" si="12"/>
        <v>HiGrad-HiElev</v>
      </c>
      <c r="R1423" s="81" t="str">
        <f t="shared" si="13"/>
        <v>HiGrad-HiElev</v>
      </c>
    </row>
    <row r="1424" spans="1:18" hidden="1" x14ac:dyDescent="0.25">
      <c r="A1424" s="79" t="s">
        <v>1098</v>
      </c>
      <c r="B1424" s="1" t="s">
        <v>487</v>
      </c>
      <c r="C1424" s="5">
        <v>4</v>
      </c>
      <c r="D1424" s="1" t="s">
        <v>478</v>
      </c>
      <c r="E1424" s="44" t="s">
        <v>524</v>
      </c>
      <c r="F1424" s="5" t="s">
        <v>24</v>
      </c>
      <c r="G1424" s="5">
        <v>10</v>
      </c>
      <c r="H1424" s="5">
        <v>20</v>
      </c>
      <c r="I1424" s="80" t="b">
        <v>1</v>
      </c>
      <c r="J1424" s="57" t="s">
        <v>479</v>
      </c>
      <c r="K1424" s="81" t="s">
        <v>32</v>
      </c>
      <c r="L1424" s="1"/>
      <c r="M1424" s="1"/>
      <c r="N1424" s="1"/>
      <c r="O1424" s="1"/>
      <c r="P1424" s="1"/>
      <c r="Q1424" s="81" t="str">
        <f t="shared" si="12"/>
        <v>HiGrad-HiElev</v>
      </c>
      <c r="R1424" s="81" t="str">
        <f t="shared" si="13"/>
        <v>HiGrad-HiElev</v>
      </c>
    </row>
    <row r="1425" spans="1:18" hidden="1" x14ac:dyDescent="0.25">
      <c r="A1425" s="79" t="s">
        <v>1098</v>
      </c>
      <c r="B1425" s="1" t="s">
        <v>487</v>
      </c>
      <c r="C1425" s="5">
        <v>5</v>
      </c>
      <c r="D1425" s="1" t="s">
        <v>11</v>
      </c>
      <c r="E1425" s="59" t="s">
        <v>524</v>
      </c>
      <c r="F1425" s="5" t="s">
        <v>24</v>
      </c>
      <c r="G1425" s="5">
        <v>10</v>
      </c>
      <c r="H1425" s="5">
        <v>20</v>
      </c>
      <c r="I1425" s="80" t="b">
        <v>1</v>
      </c>
      <c r="J1425" s="57" t="s">
        <v>0</v>
      </c>
      <c r="K1425" s="81" t="s">
        <v>32</v>
      </c>
      <c r="L1425" s="1"/>
      <c r="M1425" s="1"/>
      <c r="N1425" s="1"/>
      <c r="O1425" s="1"/>
      <c r="P1425" s="1"/>
      <c r="Q1425" s="81" t="str">
        <f t="shared" si="12"/>
        <v>HiGrad-HiElev</v>
      </c>
      <c r="R1425" s="81" t="str">
        <f t="shared" si="13"/>
        <v>HiGrad-HiElev</v>
      </c>
    </row>
    <row r="1426" spans="1:18" hidden="1" x14ac:dyDescent="0.25">
      <c r="A1426" s="79" t="s">
        <v>1098</v>
      </c>
      <c r="B1426" s="1" t="s">
        <v>487</v>
      </c>
      <c r="C1426" s="5">
        <v>5</v>
      </c>
      <c r="D1426" s="1" t="s">
        <v>13</v>
      </c>
      <c r="E1426" s="59" t="s">
        <v>536</v>
      </c>
      <c r="F1426" s="5" t="s">
        <v>24</v>
      </c>
      <c r="G1426" s="5">
        <v>1</v>
      </c>
      <c r="H1426" s="5">
        <v>5</v>
      </c>
      <c r="I1426" s="80" t="b">
        <v>1</v>
      </c>
      <c r="J1426" s="57" t="s">
        <v>10</v>
      </c>
      <c r="K1426" s="81" t="s">
        <v>32</v>
      </c>
      <c r="L1426" s="1"/>
      <c r="M1426" s="1"/>
      <c r="N1426" s="1"/>
      <c r="O1426" s="1"/>
      <c r="P1426" s="1"/>
      <c r="Q1426" s="81" t="str">
        <f t="shared" si="12"/>
        <v>HiGrad-HiElev</v>
      </c>
      <c r="R1426" s="81" t="str">
        <f t="shared" si="13"/>
        <v>HiGrad-HiElev</v>
      </c>
    </row>
    <row r="1427" spans="1:18" hidden="1" x14ac:dyDescent="0.25">
      <c r="A1427" s="79" t="s">
        <v>1098</v>
      </c>
      <c r="B1427" s="1" t="s">
        <v>487</v>
      </c>
      <c r="C1427" s="5">
        <v>5</v>
      </c>
      <c r="D1427" s="1" t="s">
        <v>48</v>
      </c>
      <c r="E1427" s="44" t="s">
        <v>564</v>
      </c>
      <c r="F1427" s="5" t="s">
        <v>26</v>
      </c>
      <c r="G1427" s="5">
        <v>20</v>
      </c>
      <c r="H1427" s="5">
        <v>30</v>
      </c>
      <c r="I1427" s="80" t="b">
        <v>0</v>
      </c>
      <c r="J1427" s="1" t="s">
        <v>15</v>
      </c>
      <c r="K1427" s="81" t="s">
        <v>32</v>
      </c>
      <c r="L1427" s="1"/>
      <c r="M1427" s="1"/>
      <c r="N1427" s="1"/>
      <c r="O1427" s="1"/>
      <c r="P1427" s="1"/>
      <c r="Q1427" s="81" t="str">
        <f t="shared" si="12"/>
        <v>HiGrad-HiElev</v>
      </c>
      <c r="R1427" s="81" t="str">
        <f t="shared" si="13"/>
        <v>HiGrad-HiElev</v>
      </c>
    </row>
    <row r="1428" spans="1:18" hidden="1" x14ac:dyDescent="0.25">
      <c r="A1428" s="79" t="s">
        <v>1098</v>
      </c>
      <c r="B1428" s="1" t="s">
        <v>487</v>
      </c>
      <c r="C1428" s="5">
        <v>5</v>
      </c>
      <c r="D1428" s="1" t="s">
        <v>478</v>
      </c>
      <c r="E1428" s="59" t="s">
        <v>544</v>
      </c>
      <c r="F1428" s="5" t="s">
        <v>24</v>
      </c>
      <c r="G1428" s="5">
        <v>3</v>
      </c>
      <c r="H1428" s="5">
        <v>7</v>
      </c>
      <c r="I1428" s="80" t="b">
        <v>1</v>
      </c>
      <c r="J1428" s="57" t="s">
        <v>479</v>
      </c>
      <c r="K1428" s="81" t="s">
        <v>32</v>
      </c>
      <c r="L1428" s="1"/>
      <c r="M1428" s="1"/>
      <c r="N1428" s="1"/>
      <c r="O1428" s="1"/>
      <c r="P1428" s="1"/>
      <c r="Q1428" s="81" t="str">
        <f t="shared" si="12"/>
        <v>HiGrad-HiElev</v>
      </c>
      <c r="R1428" s="81" t="str">
        <f t="shared" si="13"/>
        <v>HiGrad-HiElev</v>
      </c>
    </row>
    <row r="1429" spans="1:18" hidden="1" x14ac:dyDescent="0.25">
      <c r="A1429" s="79" t="s">
        <v>1098</v>
      </c>
      <c r="B1429" s="1" t="s">
        <v>488</v>
      </c>
      <c r="C1429" s="5">
        <v>2</v>
      </c>
      <c r="D1429" s="1" t="s">
        <v>11</v>
      </c>
      <c r="E1429" s="44" t="s">
        <v>535</v>
      </c>
      <c r="F1429" s="5" t="s">
        <v>24</v>
      </c>
      <c r="G1429" s="5">
        <v>45</v>
      </c>
      <c r="H1429" s="5">
        <v>55</v>
      </c>
      <c r="I1429" s="80" t="b">
        <v>1</v>
      </c>
      <c r="J1429" s="1" t="s">
        <v>0</v>
      </c>
      <c r="K1429" s="81" t="s">
        <v>32</v>
      </c>
      <c r="L1429" s="1"/>
      <c r="M1429" s="1"/>
      <c r="N1429" s="1"/>
      <c r="O1429" s="1"/>
      <c r="P1429" s="1"/>
      <c r="Q1429" s="81" t="str">
        <f t="shared" si="12"/>
        <v>LoGrad-LoElev</v>
      </c>
      <c r="R1429" s="81" t="str">
        <f t="shared" si="13"/>
        <v>LoGrad-LoElev</v>
      </c>
    </row>
    <row r="1430" spans="1:18" hidden="1" x14ac:dyDescent="0.25">
      <c r="A1430" s="79" t="s">
        <v>1098</v>
      </c>
      <c r="B1430" s="1" t="s">
        <v>488</v>
      </c>
      <c r="C1430" s="5">
        <v>2</v>
      </c>
      <c r="D1430" s="1" t="s">
        <v>33</v>
      </c>
      <c r="E1430" s="44" t="s">
        <v>536</v>
      </c>
      <c r="F1430" s="5" t="s">
        <v>24</v>
      </c>
      <c r="G1430" s="5">
        <v>1</v>
      </c>
      <c r="H1430" s="5">
        <v>5</v>
      </c>
      <c r="I1430" s="80" t="b">
        <v>1</v>
      </c>
      <c r="J1430" s="1" t="s">
        <v>1</v>
      </c>
      <c r="K1430" s="81" t="s">
        <v>32</v>
      </c>
      <c r="L1430" s="1"/>
      <c r="M1430" s="1"/>
      <c r="N1430" s="1"/>
      <c r="O1430" s="1"/>
      <c r="P1430" s="1"/>
      <c r="Q1430" s="81" t="str">
        <f t="shared" si="12"/>
        <v>LoGrad-LoElev</v>
      </c>
      <c r="R1430" s="81" t="str">
        <f t="shared" si="13"/>
        <v>LoGrad-LoElev</v>
      </c>
    </row>
    <row r="1431" spans="1:18" hidden="1" x14ac:dyDescent="0.25">
      <c r="A1431" s="79" t="s">
        <v>1098</v>
      </c>
      <c r="B1431" s="1" t="s">
        <v>488</v>
      </c>
      <c r="C1431" s="5">
        <v>2</v>
      </c>
      <c r="D1431" s="1" t="s">
        <v>390</v>
      </c>
      <c r="E1431" s="44" t="s">
        <v>537</v>
      </c>
      <c r="F1431" s="5" t="s">
        <v>24</v>
      </c>
      <c r="G1431" s="5">
        <v>1</v>
      </c>
      <c r="H1431" s="5">
        <v>3</v>
      </c>
      <c r="I1431" s="80" t="b">
        <v>1</v>
      </c>
      <c r="J1431" s="1" t="s">
        <v>475</v>
      </c>
      <c r="K1431" s="81" t="s">
        <v>32</v>
      </c>
      <c r="L1431" s="1"/>
      <c r="M1431" s="1"/>
      <c r="N1431" s="1"/>
      <c r="O1431" s="1"/>
      <c r="P1431" s="1"/>
      <c r="Q1431" s="81" t="str">
        <f t="shared" si="12"/>
        <v>LoGrad-LoElev</v>
      </c>
      <c r="R1431" s="81" t="str">
        <f t="shared" si="13"/>
        <v>LoGrad-LoElev</v>
      </c>
    </row>
    <row r="1432" spans="1:18" hidden="1" x14ac:dyDescent="0.25">
      <c r="A1432" s="79" t="s">
        <v>1098</v>
      </c>
      <c r="B1432" s="1" t="s">
        <v>488</v>
      </c>
      <c r="C1432" s="5">
        <v>2</v>
      </c>
      <c r="D1432" s="1" t="s">
        <v>29</v>
      </c>
      <c r="E1432" s="44" t="s">
        <v>548</v>
      </c>
      <c r="F1432" s="5" t="s">
        <v>24</v>
      </c>
      <c r="G1432" s="5">
        <v>13</v>
      </c>
      <c r="H1432" s="5">
        <v>23</v>
      </c>
      <c r="I1432" s="80" t="b">
        <v>1</v>
      </c>
      <c r="J1432" s="1" t="s">
        <v>6</v>
      </c>
      <c r="K1432" s="81" t="s">
        <v>32</v>
      </c>
      <c r="L1432" s="1"/>
      <c r="M1432" s="1"/>
      <c r="N1432" s="1"/>
      <c r="O1432" s="1"/>
      <c r="P1432" s="1"/>
      <c r="Q1432" s="81" t="str">
        <f t="shared" si="12"/>
        <v>LoGrad-LoElev</v>
      </c>
      <c r="R1432" s="81" t="str">
        <f t="shared" si="13"/>
        <v>LoGrad-LoElev</v>
      </c>
    </row>
    <row r="1433" spans="1:18" hidden="1" x14ac:dyDescent="0.25">
      <c r="A1433" s="79" t="s">
        <v>1098</v>
      </c>
      <c r="B1433" s="1" t="s">
        <v>488</v>
      </c>
      <c r="C1433" s="5">
        <v>2</v>
      </c>
      <c r="D1433" s="1" t="s">
        <v>34</v>
      </c>
      <c r="E1433" s="44" t="s">
        <v>538</v>
      </c>
      <c r="F1433" s="5" t="s">
        <v>24</v>
      </c>
      <c r="G1433" s="5">
        <v>40</v>
      </c>
      <c r="H1433" s="5">
        <v>50</v>
      </c>
      <c r="I1433" s="80" t="b">
        <v>1</v>
      </c>
      <c r="J1433" s="1" t="s">
        <v>2</v>
      </c>
      <c r="K1433" s="81" t="s">
        <v>32</v>
      </c>
      <c r="L1433" s="1"/>
      <c r="M1433" s="1"/>
      <c r="N1433" s="1"/>
      <c r="O1433" s="1"/>
      <c r="P1433" s="1"/>
      <c r="Q1433" s="81" t="str">
        <f t="shared" si="12"/>
        <v>LoGrad-LoElev</v>
      </c>
      <c r="R1433" s="81" t="str">
        <f t="shared" si="13"/>
        <v>LoGrad-LoElev</v>
      </c>
    </row>
    <row r="1434" spans="1:18" hidden="1" x14ac:dyDescent="0.25">
      <c r="A1434" s="79" t="s">
        <v>1098</v>
      </c>
      <c r="B1434" s="1" t="s">
        <v>488</v>
      </c>
      <c r="C1434" s="5">
        <v>2</v>
      </c>
      <c r="D1434" s="1" t="s">
        <v>35</v>
      </c>
      <c r="E1434" s="44" t="s">
        <v>539</v>
      </c>
      <c r="F1434" s="5" t="s">
        <v>24</v>
      </c>
      <c r="G1434" s="5">
        <v>25</v>
      </c>
      <c r="H1434" s="5">
        <v>35</v>
      </c>
      <c r="I1434" s="80" t="b">
        <v>1</v>
      </c>
      <c r="J1434" s="1" t="s">
        <v>3</v>
      </c>
      <c r="K1434" s="81" t="s">
        <v>32</v>
      </c>
      <c r="L1434" s="1"/>
      <c r="M1434" s="1"/>
      <c r="N1434" s="1"/>
      <c r="O1434" s="1"/>
      <c r="P1434" s="1"/>
      <c r="Q1434" s="81" t="str">
        <f t="shared" si="12"/>
        <v>LoGrad-LoElev</v>
      </c>
      <c r="R1434" s="81" t="str">
        <f t="shared" si="13"/>
        <v>LoGrad-LoElev</v>
      </c>
    </row>
    <row r="1435" spans="1:18" hidden="1" x14ac:dyDescent="0.25">
      <c r="A1435" s="79" t="s">
        <v>1098</v>
      </c>
      <c r="B1435" s="1" t="s">
        <v>488</v>
      </c>
      <c r="C1435" s="5">
        <v>2</v>
      </c>
      <c r="D1435" s="1" t="s">
        <v>48</v>
      </c>
      <c r="E1435" s="44" t="s">
        <v>560</v>
      </c>
      <c r="F1435" s="5" t="s">
        <v>26</v>
      </c>
      <c r="G1435" s="5">
        <v>10</v>
      </c>
      <c r="H1435" s="5">
        <v>20</v>
      </c>
      <c r="I1435" s="80" t="b">
        <v>0</v>
      </c>
      <c r="J1435" s="1" t="s">
        <v>15</v>
      </c>
      <c r="K1435" s="81" t="s">
        <v>32</v>
      </c>
      <c r="L1435" s="1"/>
      <c r="M1435" s="1"/>
      <c r="N1435" s="1"/>
      <c r="O1435" s="1"/>
      <c r="P1435" s="1"/>
      <c r="Q1435" s="81" t="str">
        <f t="shared" ref="Q1435:Q1460" si="14">B1435</f>
        <v>LoGrad-LoElev</v>
      </c>
      <c r="R1435" s="81" t="str">
        <f t="shared" ref="R1435:R1460" si="15">B1435</f>
        <v>LoGrad-LoElev</v>
      </c>
    </row>
    <row r="1436" spans="1:18" hidden="1" x14ac:dyDescent="0.25">
      <c r="A1436" s="79" t="s">
        <v>1098</v>
      </c>
      <c r="B1436" s="1" t="s">
        <v>488</v>
      </c>
      <c r="C1436" s="5">
        <v>2</v>
      </c>
      <c r="D1436" s="44" t="s">
        <v>37</v>
      </c>
      <c r="E1436" s="44" t="s">
        <v>489</v>
      </c>
      <c r="F1436" s="82" t="s">
        <v>27</v>
      </c>
      <c r="G1436" s="5">
        <v>0</v>
      </c>
      <c r="H1436" s="5">
        <v>1</v>
      </c>
      <c r="I1436" s="80" t="b">
        <v>0</v>
      </c>
      <c r="J1436" s="1" t="s">
        <v>5</v>
      </c>
      <c r="K1436" s="81" t="s">
        <v>32</v>
      </c>
      <c r="L1436" s="1"/>
      <c r="M1436" s="1"/>
      <c r="N1436" s="1"/>
      <c r="O1436" s="1"/>
      <c r="P1436" s="1"/>
      <c r="Q1436" s="81" t="str">
        <f t="shared" si="14"/>
        <v>LoGrad-LoElev</v>
      </c>
      <c r="R1436" s="81" t="str">
        <f t="shared" si="15"/>
        <v>LoGrad-LoElev</v>
      </c>
    </row>
    <row r="1437" spans="1:18" hidden="1" x14ac:dyDescent="0.25">
      <c r="A1437" s="79" t="s">
        <v>1098</v>
      </c>
      <c r="B1437" s="1" t="s">
        <v>488</v>
      </c>
      <c r="C1437" s="6">
        <v>2</v>
      </c>
      <c r="D1437" s="7" t="s">
        <v>478</v>
      </c>
      <c r="E1437" s="55" t="s">
        <v>521</v>
      </c>
      <c r="F1437" s="6" t="s">
        <v>24</v>
      </c>
      <c r="G1437" s="6">
        <v>25</v>
      </c>
      <c r="H1437" s="6">
        <v>35</v>
      </c>
      <c r="I1437" s="80" t="b">
        <v>1</v>
      </c>
      <c r="J1437" s="7" t="s">
        <v>479</v>
      </c>
      <c r="K1437" s="81" t="s">
        <v>32</v>
      </c>
      <c r="L1437" s="7" t="s">
        <v>485</v>
      </c>
      <c r="M1437" s="1" t="s">
        <v>482</v>
      </c>
      <c r="N1437" s="1"/>
      <c r="O1437" s="1"/>
      <c r="P1437" s="1"/>
      <c r="Q1437" s="81" t="str">
        <f t="shared" si="14"/>
        <v>LoGrad-LoElev</v>
      </c>
      <c r="R1437" s="81" t="str">
        <f t="shared" si="15"/>
        <v>LoGrad-LoElev</v>
      </c>
    </row>
    <row r="1438" spans="1:18" hidden="1" x14ac:dyDescent="0.25">
      <c r="A1438" s="79" t="s">
        <v>1098</v>
      </c>
      <c r="B1438" s="1" t="s">
        <v>488</v>
      </c>
      <c r="C1438" s="6">
        <v>2</v>
      </c>
      <c r="D1438" s="7" t="s">
        <v>342</v>
      </c>
      <c r="E1438" s="55" t="s">
        <v>540</v>
      </c>
      <c r="F1438" s="6" t="s">
        <v>24</v>
      </c>
      <c r="G1438" s="6">
        <v>4.3</v>
      </c>
      <c r="H1438" s="6">
        <v>4.7</v>
      </c>
      <c r="I1438" s="80" t="b">
        <v>1</v>
      </c>
      <c r="J1438" s="7" t="s">
        <v>480</v>
      </c>
      <c r="K1438" s="81" t="s">
        <v>32</v>
      </c>
      <c r="L1438" s="7" t="s">
        <v>485</v>
      </c>
      <c r="M1438" s="1" t="s">
        <v>482</v>
      </c>
      <c r="N1438" s="1"/>
      <c r="O1438" s="1"/>
      <c r="P1438" s="1"/>
      <c r="Q1438" s="81" t="str">
        <f t="shared" si="14"/>
        <v>LoGrad-LoElev</v>
      </c>
      <c r="R1438" s="81" t="str">
        <f t="shared" si="15"/>
        <v>LoGrad-LoElev</v>
      </c>
    </row>
    <row r="1439" spans="1:18" hidden="1" x14ac:dyDescent="0.25">
      <c r="A1439" s="79" t="s">
        <v>1098</v>
      </c>
      <c r="B1439" s="1" t="s">
        <v>488</v>
      </c>
      <c r="C1439" s="6">
        <v>2</v>
      </c>
      <c r="D1439" s="7" t="s">
        <v>295</v>
      </c>
      <c r="E1439" s="55" t="s">
        <v>524</v>
      </c>
      <c r="F1439" s="6" t="s">
        <v>24</v>
      </c>
      <c r="G1439" s="6">
        <v>10</v>
      </c>
      <c r="H1439" s="6">
        <v>20</v>
      </c>
      <c r="I1439" s="80" t="b">
        <v>1</v>
      </c>
      <c r="J1439" s="7" t="s">
        <v>481</v>
      </c>
      <c r="K1439" s="81" t="s">
        <v>32</v>
      </c>
      <c r="L1439" s="7" t="s">
        <v>485</v>
      </c>
      <c r="M1439" s="1" t="s">
        <v>482</v>
      </c>
      <c r="N1439" s="1"/>
      <c r="O1439" s="1"/>
      <c r="P1439" s="1"/>
      <c r="Q1439" s="81" t="str">
        <f t="shared" si="14"/>
        <v>LoGrad-LoElev</v>
      </c>
      <c r="R1439" s="81" t="str">
        <f t="shared" si="15"/>
        <v>LoGrad-LoElev</v>
      </c>
    </row>
    <row r="1440" spans="1:18" hidden="1" x14ac:dyDescent="0.25">
      <c r="A1440" s="79" t="s">
        <v>1098</v>
      </c>
      <c r="B1440" s="1" t="s">
        <v>488</v>
      </c>
      <c r="C1440" s="5">
        <v>3</v>
      </c>
      <c r="D1440" s="1" t="s">
        <v>11</v>
      </c>
      <c r="E1440" s="44" t="s">
        <v>541</v>
      </c>
      <c r="F1440" s="5" t="s">
        <v>24</v>
      </c>
      <c r="G1440" s="5">
        <v>35</v>
      </c>
      <c r="H1440" s="5">
        <v>45</v>
      </c>
      <c r="I1440" s="80" t="b">
        <v>1</v>
      </c>
      <c r="J1440" s="1" t="s">
        <v>0</v>
      </c>
      <c r="K1440" s="81" t="s">
        <v>32</v>
      </c>
      <c r="L1440" s="1"/>
      <c r="M1440" s="1"/>
      <c r="N1440" s="1"/>
      <c r="O1440" s="1"/>
      <c r="P1440" s="1"/>
      <c r="Q1440" s="81" t="str">
        <f t="shared" si="14"/>
        <v>LoGrad-LoElev</v>
      </c>
      <c r="R1440" s="81" t="str">
        <f t="shared" si="15"/>
        <v>LoGrad-LoElev</v>
      </c>
    </row>
    <row r="1441" spans="1:18" hidden="1" x14ac:dyDescent="0.25">
      <c r="A1441" s="79" t="s">
        <v>1098</v>
      </c>
      <c r="B1441" s="1" t="s">
        <v>488</v>
      </c>
      <c r="C1441" s="5">
        <v>3</v>
      </c>
      <c r="D1441" s="1" t="s">
        <v>13</v>
      </c>
      <c r="E1441" s="56" t="s">
        <v>524</v>
      </c>
      <c r="F1441" s="5" t="s">
        <v>24</v>
      </c>
      <c r="G1441" s="5">
        <v>10</v>
      </c>
      <c r="H1441" s="5">
        <v>20</v>
      </c>
      <c r="I1441" s="80" t="b">
        <v>1</v>
      </c>
      <c r="J1441" s="57" t="s">
        <v>10</v>
      </c>
      <c r="K1441" s="81" t="s">
        <v>32</v>
      </c>
      <c r="L1441" s="1"/>
      <c r="M1441" s="1"/>
      <c r="N1441" s="1"/>
      <c r="O1441" s="1"/>
      <c r="P1441" s="1"/>
      <c r="Q1441" s="81" t="str">
        <f t="shared" si="14"/>
        <v>LoGrad-LoElev</v>
      </c>
      <c r="R1441" s="81" t="str">
        <f t="shared" si="15"/>
        <v>LoGrad-LoElev</v>
      </c>
    </row>
    <row r="1442" spans="1:18" hidden="1" x14ac:dyDescent="0.25">
      <c r="A1442" s="79" t="s">
        <v>1098</v>
      </c>
      <c r="B1442" s="1" t="s">
        <v>488</v>
      </c>
      <c r="C1442" s="5">
        <v>3</v>
      </c>
      <c r="D1442" s="1" t="s">
        <v>34</v>
      </c>
      <c r="E1442" s="44" t="s">
        <v>523</v>
      </c>
      <c r="F1442" s="5" t="s">
        <v>24</v>
      </c>
      <c r="G1442" s="5">
        <v>15</v>
      </c>
      <c r="H1442" s="5">
        <v>25</v>
      </c>
      <c r="I1442" s="80" t="b">
        <v>1</v>
      </c>
      <c r="J1442" s="1" t="s">
        <v>2</v>
      </c>
      <c r="K1442" s="81" t="s">
        <v>32</v>
      </c>
      <c r="L1442" s="1"/>
      <c r="M1442" s="1"/>
      <c r="N1442" s="1"/>
      <c r="O1442" s="1"/>
      <c r="P1442" s="1"/>
      <c r="Q1442" s="81" t="str">
        <f t="shared" si="14"/>
        <v>LoGrad-LoElev</v>
      </c>
      <c r="R1442" s="81" t="str">
        <f t="shared" si="15"/>
        <v>LoGrad-LoElev</v>
      </c>
    </row>
    <row r="1443" spans="1:18" hidden="1" x14ac:dyDescent="0.25">
      <c r="A1443" s="79" t="s">
        <v>1098</v>
      </c>
      <c r="B1443" s="1" t="s">
        <v>488</v>
      </c>
      <c r="C1443" s="5">
        <v>3</v>
      </c>
      <c r="D1443" s="1" t="s">
        <v>35</v>
      </c>
      <c r="E1443" s="44" t="s">
        <v>526</v>
      </c>
      <c r="F1443" s="5" t="s">
        <v>24</v>
      </c>
      <c r="G1443" s="5">
        <v>5</v>
      </c>
      <c r="H1443" s="5">
        <v>15</v>
      </c>
      <c r="I1443" s="80" t="b">
        <v>1</v>
      </c>
      <c r="J1443" s="1" t="s">
        <v>3</v>
      </c>
      <c r="K1443" s="81" t="s">
        <v>32</v>
      </c>
      <c r="L1443" s="1"/>
      <c r="M1443" s="1"/>
      <c r="N1443" s="1"/>
      <c r="O1443" s="1"/>
      <c r="P1443" s="1"/>
      <c r="Q1443" s="81" t="str">
        <f t="shared" si="14"/>
        <v>LoGrad-LoElev</v>
      </c>
      <c r="R1443" s="81" t="str">
        <f t="shared" si="15"/>
        <v>LoGrad-LoElev</v>
      </c>
    </row>
    <row r="1444" spans="1:18" hidden="1" x14ac:dyDescent="0.25">
      <c r="A1444" s="79" t="s">
        <v>1098</v>
      </c>
      <c r="B1444" s="1" t="s">
        <v>488</v>
      </c>
      <c r="C1444" s="5">
        <v>3</v>
      </c>
      <c r="D1444" s="1" t="s">
        <v>48</v>
      </c>
      <c r="E1444" s="44" t="s">
        <v>563</v>
      </c>
      <c r="F1444" s="5" t="s">
        <v>26</v>
      </c>
      <c r="G1444" s="5">
        <v>15</v>
      </c>
      <c r="H1444" s="5">
        <v>25</v>
      </c>
      <c r="I1444" s="80" t="b">
        <v>0</v>
      </c>
      <c r="J1444" s="57" t="s">
        <v>15</v>
      </c>
      <c r="K1444" s="81" t="s">
        <v>32</v>
      </c>
      <c r="L1444" s="1"/>
      <c r="M1444" s="1"/>
      <c r="N1444" s="1"/>
      <c r="O1444" s="1"/>
      <c r="P1444" s="1"/>
      <c r="Q1444" s="81" t="str">
        <f t="shared" si="14"/>
        <v>LoGrad-LoElev</v>
      </c>
      <c r="R1444" s="81" t="str">
        <f t="shared" si="15"/>
        <v>LoGrad-LoElev</v>
      </c>
    </row>
    <row r="1445" spans="1:18" hidden="1" x14ac:dyDescent="0.25">
      <c r="A1445" s="79" t="s">
        <v>1098</v>
      </c>
      <c r="B1445" s="1" t="s">
        <v>488</v>
      </c>
      <c r="C1445" s="62">
        <v>3</v>
      </c>
      <c r="D1445" s="63" t="s">
        <v>478</v>
      </c>
      <c r="E1445" s="64" t="s">
        <v>548</v>
      </c>
      <c r="F1445" s="62" t="s">
        <v>24</v>
      </c>
      <c r="G1445" s="62">
        <v>13</v>
      </c>
      <c r="H1445" s="62">
        <v>23</v>
      </c>
      <c r="I1445" s="80" t="b">
        <v>1</v>
      </c>
      <c r="J1445" s="63" t="s">
        <v>479</v>
      </c>
      <c r="K1445" s="81" t="s">
        <v>32</v>
      </c>
      <c r="L1445" s="63"/>
      <c r="M1445" s="1" t="s">
        <v>490</v>
      </c>
      <c r="N1445" s="1"/>
      <c r="O1445" s="1"/>
      <c r="P1445" s="1"/>
      <c r="Q1445" s="81" t="str">
        <f t="shared" si="14"/>
        <v>LoGrad-LoElev</v>
      </c>
      <c r="R1445" s="81" t="str">
        <f t="shared" si="15"/>
        <v>LoGrad-LoElev</v>
      </c>
    </row>
    <row r="1446" spans="1:18" hidden="1" x14ac:dyDescent="0.25">
      <c r="A1446" s="79" t="s">
        <v>1098</v>
      </c>
      <c r="B1446" s="1" t="s">
        <v>488</v>
      </c>
      <c r="C1446" s="6">
        <v>3</v>
      </c>
      <c r="D1446" s="7" t="s">
        <v>29</v>
      </c>
      <c r="E1446" s="58" t="s">
        <v>542</v>
      </c>
      <c r="F1446" s="6" t="s">
        <v>24</v>
      </c>
      <c r="G1446" s="6">
        <v>5</v>
      </c>
      <c r="H1446" s="6">
        <v>15</v>
      </c>
      <c r="I1446" s="80" t="b">
        <v>1</v>
      </c>
      <c r="J1446" s="7" t="s">
        <v>6</v>
      </c>
      <c r="K1446" s="81" t="s">
        <v>32</v>
      </c>
      <c r="L1446" s="7" t="s">
        <v>485</v>
      </c>
      <c r="M1446" s="1" t="s">
        <v>482</v>
      </c>
      <c r="N1446" s="1"/>
      <c r="O1446" s="1"/>
      <c r="P1446" s="1"/>
      <c r="Q1446" s="81" t="str">
        <f t="shared" si="14"/>
        <v>LoGrad-LoElev</v>
      </c>
      <c r="R1446" s="81" t="str">
        <f t="shared" si="15"/>
        <v>LoGrad-LoElev</v>
      </c>
    </row>
    <row r="1447" spans="1:18" hidden="1" x14ac:dyDescent="0.25">
      <c r="A1447" s="79" t="s">
        <v>1098</v>
      </c>
      <c r="B1447" s="1" t="s">
        <v>488</v>
      </c>
      <c r="C1447" s="6">
        <v>3</v>
      </c>
      <c r="D1447" s="7" t="s">
        <v>342</v>
      </c>
      <c r="E1447" s="55" t="s">
        <v>543</v>
      </c>
      <c r="F1447" s="6" t="s">
        <v>24</v>
      </c>
      <c r="G1447" s="6">
        <v>3.8</v>
      </c>
      <c r="H1447" s="6">
        <v>4.2</v>
      </c>
      <c r="I1447" s="80" t="b">
        <v>1</v>
      </c>
      <c r="J1447" s="7" t="s">
        <v>480</v>
      </c>
      <c r="K1447" s="81" t="s">
        <v>32</v>
      </c>
      <c r="L1447" s="7" t="s">
        <v>485</v>
      </c>
      <c r="M1447" s="1" t="s">
        <v>482</v>
      </c>
      <c r="N1447" s="1"/>
      <c r="O1447" s="1"/>
      <c r="P1447" s="1"/>
      <c r="Q1447" s="81" t="str">
        <f t="shared" si="14"/>
        <v>LoGrad-LoElev</v>
      </c>
      <c r="R1447" s="81" t="str">
        <f t="shared" si="15"/>
        <v>LoGrad-LoElev</v>
      </c>
    </row>
    <row r="1448" spans="1:18" hidden="1" x14ac:dyDescent="0.25">
      <c r="A1448" s="79" t="s">
        <v>1098</v>
      </c>
      <c r="B1448" s="1" t="s">
        <v>488</v>
      </c>
      <c r="C1448" s="6">
        <v>3</v>
      </c>
      <c r="D1448" s="7" t="s">
        <v>37</v>
      </c>
      <c r="E1448" s="55" t="s">
        <v>559</v>
      </c>
      <c r="F1448" s="6" t="s">
        <v>26</v>
      </c>
      <c r="G1448" s="6">
        <v>3</v>
      </c>
      <c r="H1448" s="6">
        <v>7</v>
      </c>
      <c r="I1448" s="80" t="b">
        <v>0</v>
      </c>
      <c r="J1448" s="7" t="s">
        <v>5</v>
      </c>
      <c r="K1448" s="81" t="s">
        <v>32</v>
      </c>
      <c r="L1448" s="7" t="s">
        <v>485</v>
      </c>
      <c r="M1448" s="1" t="s">
        <v>482</v>
      </c>
      <c r="N1448" s="1"/>
      <c r="O1448" s="1"/>
      <c r="P1448" s="1"/>
      <c r="Q1448" s="81" t="str">
        <f t="shared" si="14"/>
        <v>LoGrad-LoElev</v>
      </c>
      <c r="R1448" s="81" t="str">
        <f t="shared" si="15"/>
        <v>LoGrad-LoElev</v>
      </c>
    </row>
    <row r="1449" spans="1:18" hidden="1" x14ac:dyDescent="0.25">
      <c r="A1449" s="79" t="s">
        <v>1098</v>
      </c>
      <c r="B1449" s="1" t="s">
        <v>488</v>
      </c>
      <c r="C1449" s="5">
        <v>4</v>
      </c>
      <c r="D1449" s="1" t="s">
        <v>11</v>
      </c>
      <c r="E1449" s="44" t="s">
        <v>521</v>
      </c>
      <c r="F1449" s="5" t="s">
        <v>24</v>
      </c>
      <c r="G1449" s="5">
        <v>25</v>
      </c>
      <c r="H1449" s="5">
        <v>35</v>
      </c>
      <c r="I1449" s="80" t="b">
        <v>1</v>
      </c>
      <c r="J1449" s="1" t="s">
        <v>0</v>
      </c>
      <c r="K1449" s="81" t="s">
        <v>32</v>
      </c>
      <c r="L1449" s="1"/>
      <c r="M1449" s="1"/>
      <c r="N1449" s="1"/>
      <c r="O1449" s="1"/>
      <c r="P1449" s="1"/>
      <c r="Q1449" s="81" t="str">
        <f t="shared" si="14"/>
        <v>LoGrad-LoElev</v>
      </c>
      <c r="R1449" s="81" t="str">
        <f t="shared" si="15"/>
        <v>LoGrad-LoElev</v>
      </c>
    </row>
    <row r="1450" spans="1:18" hidden="1" x14ac:dyDescent="0.25">
      <c r="A1450" s="79" t="s">
        <v>1098</v>
      </c>
      <c r="B1450" s="7" t="s">
        <v>488</v>
      </c>
      <c r="C1450" s="6">
        <v>4</v>
      </c>
      <c r="D1450" s="7" t="s">
        <v>13</v>
      </c>
      <c r="E1450" s="58" t="s">
        <v>528</v>
      </c>
      <c r="F1450" s="6" t="s">
        <v>24</v>
      </c>
      <c r="G1450" s="6">
        <v>6</v>
      </c>
      <c r="H1450" s="6">
        <v>12</v>
      </c>
      <c r="I1450" s="80" t="b">
        <v>1</v>
      </c>
      <c r="J1450" s="8" t="s">
        <v>10</v>
      </c>
      <c r="K1450" s="81" t="s">
        <v>32</v>
      </c>
      <c r="L1450" s="7" t="s">
        <v>485</v>
      </c>
      <c r="M1450" s="1" t="s">
        <v>482</v>
      </c>
      <c r="N1450" s="1"/>
      <c r="O1450" s="1"/>
      <c r="P1450" s="1"/>
      <c r="Q1450" s="81" t="str">
        <f t="shared" si="14"/>
        <v>LoGrad-LoElev</v>
      </c>
      <c r="R1450" s="81" t="str">
        <f t="shared" si="15"/>
        <v>LoGrad-LoElev</v>
      </c>
    </row>
    <row r="1451" spans="1:18" hidden="1" x14ac:dyDescent="0.25">
      <c r="A1451" s="79" t="s">
        <v>1098</v>
      </c>
      <c r="B1451" s="1" t="s">
        <v>488</v>
      </c>
      <c r="C1451" s="5">
        <v>4</v>
      </c>
      <c r="D1451" s="1" t="s">
        <v>34</v>
      </c>
      <c r="E1451" s="44" t="s">
        <v>526</v>
      </c>
      <c r="F1451" s="5" t="s">
        <v>24</v>
      </c>
      <c r="G1451" s="5">
        <v>5</v>
      </c>
      <c r="H1451" s="5">
        <v>15</v>
      </c>
      <c r="I1451" s="80" t="b">
        <v>1</v>
      </c>
      <c r="J1451" s="1" t="s">
        <v>2</v>
      </c>
      <c r="K1451" s="81" t="s">
        <v>32</v>
      </c>
      <c r="L1451" s="1"/>
      <c r="M1451" s="1"/>
      <c r="N1451" s="1"/>
      <c r="O1451" s="1"/>
      <c r="P1451" s="1"/>
      <c r="Q1451" s="81" t="str">
        <f t="shared" si="14"/>
        <v>LoGrad-LoElev</v>
      </c>
      <c r="R1451" s="81" t="str">
        <f t="shared" si="15"/>
        <v>LoGrad-LoElev</v>
      </c>
    </row>
    <row r="1452" spans="1:18" hidden="1" x14ac:dyDescent="0.25">
      <c r="A1452" s="79" t="s">
        <v>1098</v>
      </c>
      <c r="B1452" s="1" t="s">
        <v>488</v>
      </c>
      <c r="C1452" s="5">
        <v>4</v>
      </c>
      <c r="D1452" s="1" t="s">
        <v>48</v>
      </c>
      <c r="E1452" s="44" t="s">
        <v>564</v>
      </c>
      <c r="F1452" s="5" t="s">
        <v>26</v>
      </c>
      <c r="G1452" s="5">
        <v>20</v>
      </c>
      <c r="H1452" s="5">
        <v>30</v>
      </c>
      <c r="I1452" s="80" t="b">
        <v>0</v>
      </c>
      <c r="J1452" s="57" t="s">
        <v>15</v>
      </c>
      <c r="K1452" s="81" t="s">
        <v>32</v>
      </c>
      <c r="L1452" s="1"/>
      <c r="M1452" s="1"/>
      <c r="N1452" s="1"/>
      <c r="O1452" s="1"/>
      <c r="P1452" s="1"/>
      <c r="Q1452" s="81" t="str">
        <f t="shared" si="14"/>
        <v>LoGrad-LoElev</v>
      </c>
      <c r="R1452" s="81" t="str">
        <f t="shared" si="15"/>
        <v>LoGrad-LoElev</v>
      </c>
    </row>
    <row r="1453" spans="1:18" hidden="1" x14ac:dyDescent="0.25">
      <c r="A1453" s="79" t="s">
        <v>1098</v>
      </c>
      <c r="B1453" s="7" t="s">
        <v>488</v>
      </c>
      <c r="C1453" s="6">
        <v>4</v>
      </c>
      <c r="D1453" s="7" t="s">
        <v>478</v>
      </c>
      <c r="E1453" s="55" t="s">
        <v>554</v>
      </c>
      <c r="F1453" s="6" t="s">
        <v>24</v>
      </c>
      <c r="G1453" s="6">
        <v>7</v>
      </c>
      <c r="H1453" s="6">
        <v>17</v>
      </c>
      <c r="I1453" s="80" t="b">
        <v>1</v>
      </c>
      <c r="J1453" s="8" t="s">
        <v>479</v>
      </c>
      <c r="K1453" s="81" t="s">
        <v>32</v>
      </c>
      <c r="L1453" s="7" t="s">
        <v>485</v>
      </c>
      <c r="M1453" s="1" t="s">
        <v>482</v>
      </c>
      <c r="N1453" s="1"/>
      <c r="O1453" s="1"/>
      <c r="P1453" s="1"/>
      <c r="Q1453" s="81" t="str">
        <f t="shared" si="14"/>
        <v>LoGrad-LoElev</v>
      </c>
      <c r="R1453" s="81" t="str">
        <f t="shared" si="15"/>
        <v>LoGrad-LoElev</v>
      </c>
    </row>
    <row r="1454" spans="1:18" hidden="1" x14ac:dyDescent="0.25">
      <c r="A1454" s="79" t="s">
        <v>1098</v>
      </c>
      <c r="B1454" s="7" t="s">
        <v>488</v>
      </c>
      <c r="C1454" s="6">
        <v>4</v>
      </c>
      <c r="D1454" s="7" t="s">
        <v>37</v>
      </c>
      <c r="E1454" s="55" t="s">
        <v>560</v>
      </c>
      <c r="F1454" s="6" t="s">
        <v>26</v>
      </c>
      <c r="G1454" s="6">
        <v>10</v>
      </c>
      <c r="H1454" s="6">
        <v>20</v>
      </c>
      <c r="I1454" s="80" t="b">
        <v>0</v>
      </c>
      <c r="J1454" s="8" t="s">
        <v>5</v>
      </c>
      <c r="K1454" s="81" t="s">
        <v>32</v>
      </c>
      <c r="L1454" s="7" t="s">
        <v>485</v>
      </c>
      <c r="M1454" s="1" t="s">
        <v>482</v>
      </c>
      <c r="N1454" s="1"/>
      <c r="O1454" s="1"/>
      <c r="P1454" s="1"/>
      <c r="Q1454" s="81" t="str">
        <f t="shared" si="14"/>
        <v>LoGrad-LoElev</v>
      </c>
      <c r="R1454" s="81" t="str">
        <f t="shared" si="15"/>
        <v>LoGrad-LoElev</v>
      </c>
    </row>
    <row r="1455" spans="1:18" hidden="1" x14ac:dyDescent="0.25">
      <c r="A1455" s="79" t="s">
        <v>1098</v>
      </c>
      <c r="B1455" s="1" t="s">
        <v>488</v>
      </c>
      <c r="C1455" s="5">
        <v>5</v>
      </c>
      <c r="D1455" s="1" t="s">
        <v>11</v>
      </c>
      <c r="E1455" s="59" t="s">
        <v>529</v>
      </c>
      <c r="F1455" s="5" t="s">
        <v>24</v>
      </c>
      <c r="G1455" s="5">
        <v>15</v>
      </c>
      <c r="H1455" s="5">
        <v>25</v>
      </c>
      <c r="I1455" s="80" t="b">
        <v>1</v>
      </c>
      <c r="J1455" s="57" t="s">
        <v>0</v>
      </c>
      <c r="K1455" s="81" t="s">
        <v>32</v>
      </c>
      <c r="L1455" s="7" t="s">
        <v>485</v>
      </c>
      <c r="M1455" s="1" t="s">
        <v>482</v>
      </c>
      <c r="N1455" s="1"/>
      <c r="O1455" s="1"/>
      <c r="P1455" s="1"/>
      <c r="Q1455" s="81" t="str">
        <f t="shared" si="14"/>
        <v>LoGrad-LoElev</v>
      </c>
      <c r="R1455" s="81" t="str">
        <f t="shared" si="15"/>
        <v>LoGrad-LoElev</v>
      </c>
    </row>
    <row r="1456" spans="1:18" hidden="1" x14ac:dyDescent="0.25">
      <c r="A1456" s="79" t="s">
        <v>1098</v>
      </c>
      <c r="B1456" s="1" t="s">
        <v>488</v>
      </c>
      <c r="C1456" s="5">
        <v>5</v>
      </c>
      <c r="D1456" s="1" t="s">
        <v>13</v>
      </c>
      <c r="E1456" s="59" t="s">
        <v>552</v>
      </c>
      <c r="F1456" s="5" t="s">
        <v>24</v>
      </c>
      <c r="G1456" s="5">
        <v>0</v>
      </c>
      <c r="H1456" s="5">
        <v>1</v>
      </c>
      <c r="I1456" s="80" t="b">
        <v>1</v>
      </c>
      <c r="J1456" s="57" t="s">
        <v>10</v>
      </c>
      <c r="K1456" s="81" t="s">
        <v>32</v>
      </c>
      <c r="L1456" s="1"/>
      <c r="M1456" s="1"/>
      <c r="N1456" s="1"/>
      <c r="O1456" s="1"/>
      <c r="P1456" s="1"/>
      <c r="Q1456" s="81" t="str">
        <f t="shared" si="14"/>
        <v>LoGrad-LoElev</v>
      </c>
      <c r="R1456" s="81" t="str">
        <f t="shared" si="15"/>
        <v>LoGrad-LoElev</v>
      </c>
    </row>
    <row r="1457" spans="1:18" hidden="1" x14ac:dyDescent="0.25">
      <c r="A1457" s="79" t="s">
        <v>1098</v>
      </c>
      <c r="B1457" s="1" t="s">
        <v>488</v>
      </c>
      <c r="C1457" s="5">
        <v>5</v>
      </c>
      <c r="D1457" s="1" t="s">
        <v>48</v>
      </c>
      <c r="E1457" s="44" t="s">
        <v>566</v>
      </c>
      <c r="F1457" s="5" t="s">
        <v>26</v>
      </c>
      <c r="G1457" s="5">
        <v>30</v>
      </c>
      <c r="H1457" s="5">
        <v>40</v>
      </c>
      <c r="I1457" s="80" t="b">
        <v>0</v>
      </c>
      <c r="J1457" s="1" t="s">
        <v>15</v>
      </c>
      <c r="K1457" s="81" t="s">
        <v>32</v>
      </c>
      <c r="L1457" s="1"/>
      <c r="M1457" s="1"/>
      <c r="N1457" s="1"/>
      <c r="O1457" s="1"/>
      <c r="P1457" s="1"/>
      <c r="Q1457" s="81" t="str">
        <f t="shared" si="14"/>
        <v>LoGrad-LoElev</v>
      </c>
      <c r="R1457" s="81" t="str">
        <f t="shared" si="15"/>
        <v>LoGrad-LoElev</v>
      </c>
    </row>
    <row r="1458" spans="1:18" hidden="1" x14ac:dyDescent="0.25">
      <c r="A1458" s="79" t="s">
        <v>1098</v>
      </c>
      <c r="B1458" s="1" t="s">
        <v>488</v>
      </c>
      <c r="C1458" s="5">
        <v>5</v>
      </c>
      <c r="D1458" s="1" t="s">
        <v>478</v>
      </c>
      <c r="E1458" s="59" t="s">
        <v>544</v>
      </c>
      <c r="F1458" s="5" t="s">
        <v>24</v>
      </c>
      <c r="G1458" s="5">
        <v>3</v>
      </c>
      <c r="H1458" s="5">
        <v>7</v>
      </c>
      <c r="I1458" s="80" t="b">
        <v>1</v>
      </c>
      <c r="J1458" s="57" t="s">
        <v>479</v>
      </c>
      <c r="K1458" s="81" t="s">
        <v>32</v>
      </c>
      <c r="L1458" s="1"/>
      <c r="M1458" s="1"/>
      <c r="N1458" s="1"/>
      <c r="O1458" s="1"/>
      <c r="P1458" s="1"/>
      <c r="Q1458" s="81" t="str">
        <f t="shared" si="14"/>
        <v>LoGrad-LoElev</v>
      </c>
      <c r="R1458" s="81" t="str">
        <f t="shared" si="15"/>
        <v>LoGrad-LoElev</v>
      </c>
    </row>
    <row r="1459" spans="1:18" hidden="1" x14ac:dyDescent="0.25">
      <c r="A1459" s="79" t="s">
        <v>1098</v>
      </c>
      <c r="B1459" s="1" t="s">
        <v>488</v>
      </c>
      <c r="C1459" s="5">
        <v>5</v>
      </c>
      <c r="D1459" s="1" t="s">
        <v>35</v>
      </c>
      <c r="E1459" s="1" t="s">
        <v>555</v>
      </c>
      <c r="F1459" s="5" t="s">
        <v>24</v>
      </c>
      <c r="G1459" s="5">
        <v>0</v>
      </c>
      <c r="H1459" s="5">
        <v>2</v>
      </c>
      <c r="I1459" s="80" t="b">
        <v>1</v>
      </c>
      <c r="J1459" s="1" t="s">
        <v>3</v>
      </c>
      <c r="K1459" s="81" t="s">
        <v>32</v>
      </c>
      <c r="L1459" s="7" t="s">
        <v>485</v>
      </c>
      <c r="M1459" s="1" t="s">
        <v>482</v>
      </c>
      <c r="N1459" s="1"/>
      <c r="O1459" s="1"/>
      <c r="P1459" s="1"/>
      <c r="Q1459" s="81" t="str">
        <f t="shared" si="14"/>
        <v>LoGrad-LoElev</v>
      </c>
      <c r="R1459" s="81" t="str">
        <f t="shared" si="15"/>
        <v>LoGrad-LoElev</v>
      </c>
    </row>
    <row r="1460" spans="1:18" hidden="1" x14ac:dyDescent="0.25">
      <c r="A1460" s="79" t="s">
        <v>1098</v>
      </c>
      <c r="B1460" s="1" t="s">
        <v>488</v>
      </c>
      <c r="C1460" s="5">
        <v>5</v>
      </c>
      <c r="D1460" s="1" t="s">
        <v>37</v>
      </c>
      <c r="E1460" s="1" t="s">
        <v>562</v>
      </c>
      <c r="F1460" s="5" t="s">
        <v>26</v>
      </c>
      <c r="G1460" s="5">
        <v>25</v>
      </c>
      <c r="H1460" s="5">
        <v>35</v>
      </c>
      <c r="I1460" s="80" t="b">
        <v>0</v>
      </c>
      <c r="J1460" s="1" t="s">
        <v>5</v>
      </c>
      <c r="K1460" s="81" t="s">
        <v>32</v>
      </c>
      <c r="L1460" s="7" t="s">
        <v>485</v>
      </c>
      <c r="M1460" s="1" t="s">
        <v>482</v>
      </c>
      <c r="N1460" s="1"/>
      <c r="O1460" s="1"/>
      <c r="P1460" s="1"/>
      <c r="Q1460" s="81" t="str">
        <f t="shared" si="14"/>
        <v>LoGrad-LoElev</v>
      </c>
      <c r="R1460" s="81" t="str">
        <f t="shared" si="15"/>
        <v>LoGrad-LoElev</v>
      </c>
    </row>
    <row r="1461" spans="1:18" hidden="1" x14ac:dyDescent="0.25">
      <c r="A1461" t="s">
        <v>1013</v>
      </c>
      <c r="B1461" t="s">
        <v>1014</v>
      </c>
      <c r="C1461" s="19">
        <v>2</v>
      </c>
      <c r="D1461" s="44" t="s">
        <v>983</v>
      </c>
      <c r="E1461" s="9" t="s">
        <v>1100</v>
      </c>
      <c r="F1461" s="19" t="s">
        <v>25</v>
      </c>
      <c r="G1461" s="5">
        <v>1</v>
      </c>
      <c r="H1461" s="5">
        <v>4</v>
      </c>
      <c r="I1461" s="19" t="b">
        <v>1</v>
      </c>
      <c r="J1461" s="83" t="s">
        <v>985</v>
      </c>
      <c r="K1461" t="s">
        <v>32</v>
      </c>
      <c r="Q1461" t="s">
        <v>1014</v>
      </c>
      <c r="R1461" t="s">
        <v>1014</v>
      </c>
    </row>
    <row r="1462" spans="1:18" hidden="1" x14ac:dyDescent="0.25">
      <c r="A1462" t="s">
        <v>1013</v>
      </c>
      <c r="B1462" t="s">
        <v>1014</v>
      </c>
      <c r="C1462" s="19">
        <v>2</v>
      </c>
      <c r="D1462" s="44" t="s">
        <v>1101</v>
      </c>
      <c r="E1462" s="9" t="s">
        <v>1102</v>
      </c>
      <c r="F1462" s="19" t="s">
        <v>25</v>
      </c>
      <c r="G1462" s="5">
        <v>35</v>
      </c>
      <c r="H1462" s="5">
        <v>40</v>
      </c>
      <c r="I1462" s="19" t="b">
        <v>1</v>
      </c>
      <c r="J1462" t="s">
        <v>1103</v>
      </c>
      <c r="K1462" t="s">
        <v>32</v>
      </c>
      <c r="Q1462" t="s">
        <v>1014</v>
      </c>
      <c r="R1462" t="s">
        <v>1014</v>
      </c>
    </row>
    <row r="1463" spans="1:18" hidden="1" x14ac:dyDescent="0.25">
      <c r="A1463" t="s">
        <v>1013</v>
      </c>
      <c r="B1463" t="s">
        <v>1014</v>
      </c>
      <c r="C1463" s="19">
        <v>2</v>
      </c>
      <c r="D1463" s="44" t="s">
        <v>927</v>
      </c>
      <c r="E1463" s="9" t="s">
        <v>1104</v>
      </c>
      <c r="F1463" s="19" t="s">
        <v>26</v>
      </c>
      <c r="G1463" s="5">
        <v>25</v>
      </c>
      <c r="H1463" s="5">
        <v>35</v>
      </c>
      <c r="I1463" s="19" t="b">
        <v>0</v>
      </c>
      <c r="J1463" t="s">
        <v>929</v>
      </c>
      <c r="K1463" t="s">
        <v>32</v>
      </c>
      <c r="Q1463" t="s">
        <v>1014</v>
      </c>
      <c r="R1463" t="s">
        <v>1014</v>
      </c>
    </row>
    <row r="1464" spans="1:18" hidden="1" x14ac:dyDescent="0.25">
      <c r="A1464" t="s">
        <v>1013</v>
      </c>
      <c r="B1464" t="s">
        <v>1014</v>
      </c>
      <c r="C1464" s="19">
        <v>2</v>
      </c>
      <c r="D1464" s="44" t="s">
        <v>407</v>
      </c>
      <c r="E1464" s="9" t="s">
        <v>1105</v>
      </c>
      <c r="F1464" s="19" t="s">
        <v>26</v>
      </c>
      <c r="G1464" s="5">
        <v>1</v>
      </c>
      <c r="H1464" s="5">
        <v>3</v>
      </c>
      <c r="I1464" s="19" t="b">
        <v>0</v>
      </c>
      <c r="J1464" t="s">
        <v>748</v>
      </c>
      <c r="K1464" t="s">
        <v>32</v>
      </c>
      <c r="Q1464" t="s">
        <v>1014</v>
      </c>
      <c r="R1464" t="s">
        <v>1014</v>
      </c>
    </row>
    <row r="1465" spans="1:18" hidden="1" x14ac:dyDescent="0.25">
      <c r="A1465" t="s">
        <v>1013</v>
      </c>
      <c r="B1465" t="s">
        <v>1014</v>
      </c>
      <c r="C1465" s="19">
        <v>2</v>
      </c>
      <c r="D1465" s="44" t="s">
        <v>924</v>
      </c>
      <c r="E1465" s="9" t="s">
        <v>1106</v>
      </c>
      <c r="F1465" s="19" t="s">
        <v>26</v>
      </c>
      <c r="G1465" s="5">
        <v>30</v>
      </c>
      <c r="H1465" s="5">
        <v>40</v>
      </c>
      <c r="I1465" s="19" t="b">
        <v>0</v>
      </c>
      <c r="J1465" t="s">
        <v>926</v>
      </c>
      <c r="K1465" t="s">
        <v>32</v>
      </c>
      <c r="Q1465" t="s">
        <v>1014</v>
      </c>
      <c r="R1465" t="s">
        <v>1014</v>
      </c>
    </row>
    <row r="1466" spans="1:18" hidden="1" x14ac:dyDescent="0.25">
      <c r="A1466" t="s">
        <v>1013</v>
      </c>
      <c r="B1466" t="s">
        <v>1014</v>
      </c>
      <c r="C1466" s="19">
        <v>2</v>
      </c>
      <c r="D1466" s="44" t="s">
        <v>909</v>
      </c>
      <c r="E1466" s="9" t="s">
        <v>1015</v>
      </c>
      <c r="F1466" s="19" t="s">
        <v>25</v>
      </c>
      <c r="G1466" s="5">
        <v>3</v>
      </c>
      <c r="H1466" s="5">
        <v>6</v>
      </c>
      <c r="I1466" s="19" t="b">
        <v>1</v>
      </c>
      <c r="J1466" t="s">
        <v>911</v>
      </c>
      <c r="K1466" t="s">
        <v>32</v>
      </c>
      <c r="Q1466" t="s">
        <v>1014</v>
      </c>
      <c r="R1466" t="s">
        <v>1014</v>
      </c>
    </row>
    <row r="1467" spans="1:18" hidden="1" x14ac:dyDescent="0.25">
      <c r="A1467" t="s">
        <v>1013</v>
      </c>
      <c r="B1467" t="s">
        <v>1014</v>
      </c>
      <c r="C1467" s="19">
        <v>2</v>
      </c>
      <c r="D1467" s="44" t="s">
        <v>912</v>
      </c>
      <c r="E1467" s="9" t="s">
        <v>1016</v>
      </c>
      <c r="F1467" s="19" t="s">
        <v>25</v>
      </c>
      <c r="G1467" s="5">
        <v>4</v>
      </c>
      <c r="H1467" s="5">
        <v>7</v>
      </c>
      <c r="I1467" s="19" t="b">
        <v>1</v>
      </c>
      <c r="J1467" t="s">
        <v>914</v>
      </c>
      <c r="K1467" t="s">
        <v>32</v>
      </c>
      <c r="Q1467" t="s">
        <v>1014</v>
      </c>
      <c r="R1467" t="s">
        <v>1014</v>
      </c>
    </row>
    <row r="1468" spans="1:18" hidden="1" x14ac:dyDescent="0.25">
      <c r="A1468" t="s">
        <v>1013</v>
      </c>
      <c r="B1468" t="s">
        <v>1014</v>
      </c>
      <c r="C1468" s="19">
        <v>2</v>
      </c>
      <c r="D1468" s="44" t="s">
        <v>915</v>
      </c>
      <c r="E1468" s="9" t="s">
        <v>989</v>
      </c>
      <c r="F1468" s="19" t="s">
        <v>24</v>
      </c>
      <c r="G1468" s="5">
        <v>0</v>
      </c>
      <c r="H1468" s="5">
        <v>2</v>
      </c>
      <c r="I1468" s="19" t="b">
        <v>1</v>
      </c>
      <c r="J1468" t="s">
        <v>917</v>
      </c>
      <c r="K1468" t="s">
        <v>32</v>
      </c>
      <c r="Q1468" t="s">
        <v>1014</v>
      </c>
      <c r="R1468" t="s">
        <v>1014</v>
      </c>
    </row>
    <row r="1469" spans="1:18" hidden="1" x14ac:dyDescent="0.25">
      <c r="A1469" t="s">
        <v>1013</v>
      </c>
      <c r="B1469" t="s">
        <v>1014</v>
      </c>
      <c r="C1469" s="19">
        <v>2</v>
      </c>
      <c r="D1469" s="44" t="s">
        <v>918</v>
      </c>
      <c r="E1469" s="9" t="s">
        <v>720</v>
      </c>
      <c r="F1469" s="19" t="s">
        <v>24</v>
      </c>
      <c r="G1469" s="5">
        <v>3</v>
      </c>
      <c r="H1469" s="5">
        <v>5</v>
      </c>
      <c r="I1469" s="19" t="b">
        <v>1</v>
      </c>
      <c r="J1469" t="s">
        <v>920</v>
      </c>
      <c r="K1469" t="s">
        <v>32</v>
      </c>
      <c r="Q1469" t="s">
        <v>1014</v>
      </c>
      <c r="R1469" t="s">
        <v>1014</v>
      </c>
    </row>
    <row r="1470" spans="1:18" hidden="1" x14ac:dyDescent="0.25">
      <c r="A1470" s="84" t="s">
        <v>1013</v>
      </c>
      <c r="B1470" s="84" t="s">
        <v>1014</v>
      </c>
      <c r="C1470" s="85">
        <v>2</v>
      </c>
      <c r="D1470" s="86" t="s">
        <v>11</v>
      </c>
      <c r="E1470" s="87" t="s">
        <v>977</v>
      </c>
      <c r="F1470" s="85" t="s">
        <v>24</v>
      </c>
      <c r="G1470" s="88">
        <v>40</v>
      </c>
      <c r="H1470" s="88">
        <v>50</v>
      </c>
      <c r="I1470" s="85" t="b">
        <v>1</v>
      </c>
      <c r="J1470" s="84" t="s">
        <v>715</v>
      </c>
      <c r="K1470" s="84" t="s">
        <v>32</v>
      </c>
      <c r="L1470" s="84" t="s">
        <v>716</v>
      </c>
      <c r="M1470" s="84"/>
      <c r="N1470" s="84"/>
      <c r="O1470" s="84"/>
      <c r="P1470" s="84"/>
      <c r="Q1470" s="84" t="s">
        <v>1014</v>
      </c>
      <c r="R1470" s="84" t="s">
        <v>1014</v>
      </c>
    </row>
    <row r="1471" spans="1:18" hidden="1" x14ac:dyDescent="0.25">
      <c r="A1471" s="84" t="s">
        <v>1013</v>
      </c>
      <c r="B1471" s="84" t="s">
        <v>1014</v>
      </c>
      <c r="C1471" s="85">
        <v>2</v>
      </c>
      <c r="D1471" s="86" t="s">
        <v>936</v>
      </c>
      <c r="E1471" s="87" t="s">
        <v>937</v>
      </c>
      <c r="F1471" s="85" t="s">
        <v>24</v>
      </c>
      <c r="G1471" s="88">
        <v>20</v>
      </c>
      <c r="H1471" s="88">
        <v>30</v>
      </c>
      <c r="I1471" s="85" t="b">
        <v>1</v>
      </c>
      <c r="J1471" s="84" t="s">
        <v>938</v>
      </c>
      <c r="K1471" s="84" t="s">
        <v>32</v>
      </c>
      <c r="L1471" s="84" t="s">
        <v>716</v>
      </c>
      <c r="M1471" s="84"/>
      <c r="N1471" s="84"/>
      <c r="O1471" s="84"/>
      <c r="P1471" s="84"/>
      <c r="Q1471" s="84" t="s">
        <v>1014</v>
      </c>
      <c r="R1471" s="84" t="s">
        <v>1014</v>
      </c>
    </row>
    <row r="1472" spans="1:18" hidden="1" x14ac:dyDescent="0.25">
      <c r="A1472" s="84" t="s">
        <v>1013</v>
      </c>
      <c r="B1472" s="84" t="s">
        <v>1014</v>
      </c>
      <c r="C1472" s="85">
        <v>2</v>
      </c>
      <c r="D1472" s="86" t="s">
        <v>342</v>
      </c>
      <c r="E1472" s="87" t="s">
        <v>1107</v>
      </c>
      <c r="F1472" s="85" t="s">
        <v>25</v>
      </c>
      <c r="G1472" s="88">
        <v>4</v>
      </c>
      <c r="H1472" s="88">
        <v>4.5</v>
      </c>
      <c r="I1472" s="85" t="b">
        <v>1</v>
      </c>
      <c r="J1472" s="84" t="s">
        <v>343</v>
      </c>
      <c r="K1472" s="84" t="s">
        <v>32</v>
      </c>
      <c r="L1472" s="84" t="s">
        <v>716</v>
      </c>
      <c r="M1472" s="84"/>
      <c r="N1472" s="84"/>
      <c r="O1472" s="84"/>
      <c r="P1472" s="84"/>
      <c r="Q1472" s="84" t="s">
        <v>1014</v>
      </c>
      <c r="R1472" s="84" t="s">
        <v>1014</v>
      </c>
    </row>
    <row r="1473" spans="1:18" hidden="1" x14ac:dyDescent="0.25">
      <c r="A1473" t="s">
        <v>1013</v>
      </c>
      <c r="B1473" t="s">
        <v>1014</v>
      </c>
      <c r="C1473" s="19">
        <v>3</v>
      </c>
      <c r="D1473" s="44" t="s">
        <v>983</v>
      </c>
      <c r="E1473" s="9" t="s">
        <v>1108</v>
      </c>
      <c r="F1473" s="19" t="s">
        <v>25</v>
      </c>
      <c r="G1473" s="5">
        <v>-0.2</v>
      </c>
      <c r="H1473" s="5">
        <v>1</v>
      </c>
      <c r="I1473" s="19" t="b">
        <v>1</v>
      </c>
      <c r="J1473" s="83" t="s">
        <v>985</v>
      </c>
      <c r="K1473" t="s">
        <v>32</v>
      </c>
      <c r="Q1473" t="s">
        <v>1014</v>
      </c>
      <c r="R1473" t="s">
        <v>1014</v>
      </c>
    </row>
    <row r="1474" spans="1:18" hidden="1" x14ac:dyDescent="0.25">
      <c r="A1474" t="s">
        <v>1013</v>
      </c>
      <c r="B1474" t="s">
        <v>1014</v>
      </c>
      <c r="C1474" s="19">
        <v>3</v>
      </c>
      <c r="D1474" s="44" t="s">
        <v>1101</v>
      </c>
      <c r="E1474" s="9" t="s">
        <v>1109</v>
      </c>
      <c r="F1474" s="19" t="s">
        <v>25</v>
      </c>
      <c r="G1474" s="5">
        <v>30</v>
      </c>
      <c r="H1474" s="5">
        <v>35</v>
      </c>
      <c r="I1474" s="19" t="b">
        <v>1</v>
      </c>
      <c r="J1474" t="s">
        <v>1110</v>
      </c>
      <c r="K1474" t="s">
        <v>32</v>
      </c>
      <c r="Q1474" t="s">
        <v>1014</v>
      </c>
      <c r="R1474" t="s">
        <v>1014</v>
      </c>
    </row>
    <row r="1475" spans="1:18" hidden="1" x14ac:dyDescent="0.25">
      <c r="A1475" t="s">
        <v>1013</v>
      </c>
      <c r="B1475" t="s">
        <v>1014</v>
      </c>
      <c r="C1475" s="19">
        <v>3</v>
      </c>
      <c r="D1475" s="44" t="s">
        <v>927</v>
      </c>
      <c r="E1475" s="9" t="s">
        <v>1111</v>
      </c>
      <c r="F1475" s="19" t="s">
        <v>26</v>
      </c>
      <c r="G1475" s="5">
        <v>35</v>
      </c>
      <c r="H1475" s="5">
        <v>45</v>
      </c>
      <c r="I1475" s="19" t="b">
        <v>0</v>
      </c>
      <c r="J1475" t="s">
        <v>929</v>
      </c>
      <c r="K1475" t="s">
        <v>32</v>
      </c>
      <c r="Q1475" t="s">
        <v>1014</v>
      </c>
      <c r="R1475" t="s">
        <v>1014</v>
      </c>
    </row>
    <row r="1476" spans="1:18" hidden="1" x14ac:dyDescent="0.25">
      <c r="A1476" t="s">
        <v>1013</v>
      </c>
      <c r="B1476" t="s">
        <v>1014</v>
      </c>
      <c r="C1476" s="19">
        <v>3</v>
      </c>
      <c r="D1476" s="44" t="s">
        <v>407</v>
      </c>
      <c r="E1476" s="9" t="s">
        <v>1112</v>
      </c>
      <c r="F1476" s="19" t="s">
        <v>26</v>
      </c>
      <c r="G1476" s="5">
        <v>3</v>
      </c>
      <c r="H1476" s="5">
        <v>13</v>
      </c>
      <c r="I1476" s="19" t="b">
        <v>0</v>
      </c>
      <c r="J1476" t="s">
        <v>748</v>
      </c>
      <c r="K1476" t="s">
        <v>32</v>
      </c>
      <c r="Q1476" t="s">
        <v>1014</v>
      </c>
      <c r="R1476" t="s">
        <v>1014</v>
      </c>
    </row>
    <row r="1477" spans="1:18" hidden="1" x14ac:dyDescent="0.25">
      <c r="A1477" t="s">
        <v>1013</v>
      </c>
      <c r="B1477" t="s">
        <v>1014</v>
      </c>
      <c r="C1477" s="19">
        <v>3</v>
      </c>
      <c r="D1477" s="44" t="s">
        <v>924</v>
      </c>
      <c r="E1477" s="89" t="s">
        <v>1113</v>
      </c>
      <c r="F1477" s="19" t="s">
        <v>26</v>
      </c>
      <c r="G1477" s="5">
        <v>40</v>
      </c>
      <c r="H1477" s="5">
        <v>50</v>
      </c>
      <c r="I1477" s="19" t="b">
        <v>0</v>
      </c>
      <c r="J1477" t="s">
        <v>926</v>
      </c>
      <c r="K1477" t="s">
        <v>32</v>
      </c>
      <c r="Q1477" t="s">
        <v>1014</v>
      </c>
      <c r="R1477" t="s">
        <v>1014</v>
      </c>
    </row>
    <row r="1478" spans="1:18" hidden="1" x14ac:dyDescent="0.25">
      <c r="A1478" s="84" t="s">
        <v>1013</v>
      </c>
      <c r="B1478" s="84" t="s">
        <v>1014</v>
      </c>
      <c r="C1478" s="85">
        <v>3</v>
      </c>
      <c r="D1478" s="86" t="s">
        <v>909</v>
      </c>
      <c r="E1478" s="87" t="s">
        <v>939</v>
      </c>
      <c r="F1478" s="85" t="s">
        <v>25</v>
      </c>
      <c r="G1478" s="88">
        <v>0</v>
      </c>
      <c r="H1478" s="88">
        <v>3</v>
      </c>
      <c r="I1478" s="85" t="b">
        <v>1</v>
      </c>
      <c r="J1478" s="84" t="s">
        <v>911</v>
      </c>
      <c r="K1478" s="84" t="s">
        <v>32</v>
      </c>
      <c r="L1478" s="84" t="s">
        <v>944</v>
      </c>
      <c r="M1478" s="84"/>
      <c r="N1478" s="84"/>
      <c r="O1478" s="84"/>
      <c r="P1478" s="84"/>
      <c r="Q1478" s="84" t="s">
        <v>1014</v>
      </c>
      <c r="R1478" s="84" t="s">
        <v>1014</v>
      </c>
    </row>
    <row r="1479" spans="1:18" hidden="1" x14ac:dyDescent="0.25">
      <c r="A1479" s="84" t="s">
        <v>1013</v>
      </c>
      <c r="B1479" s="84" t="s">
        <v>1014</v>
      </c>
      <c r="C1479" s="85">
        <v>3</v>
      </c>
      <c r="D1479" s="86" t="s">
        <v>912</v>
      </c>
      <c r="E1479" s="87" t="s">
        <v>941</v>
      </c>
      <c r="F1479" s="85" t="s">
        <v>25</v>
      </c>
      <c r="G1479" s="88">
        <v>1</v>
      </c>
      <c r="H1479" s="88">
        <v>4</v>
      </c>
      <c r="I1479" s="85" t="b">
        <v>1</v>
      </c>
      <c r="J1479" s="84" t="s">
        <v>914</v>
      </c>
      <c r="K1479" s="84" t="s">
        <v>32</v>
      </c>
      <c r="L1479" s="84" t="s">
        <v>944</v>
      </c>
      <c r="M1479" s="84"/>
      <c r="N1479" s="84"/>
      <c r="O1479" s="84"/>
      <c r="P1479" s="84"/>
      <c r="Q1479" s="84" t="s">
        <v>1014</v>
      </c>
      <c r="R1479" s="84" t="s">
        <v>1014</v>
      </c>
    </row>
    <row r="1480" spans="1:18" hidden="1" x14ac:dyDescent="0.25">
      <c r="A1480" s="84" t="s">
        <v>1013</v>
      </c>
      <c r="B1480" s="84" t="s">
        <v>1014</v>
      </c>
      <c r="C1480" s="85">
        <v>3</v>
      </c>
      <c r="D1480" s="90" t="s">
        <v>1017</v>
      </c>
      <c r="E1480" s="87" t="s">
        <v>725</v>
      </c>
      <c r="F1480" s="85" t="s">
        <v>25</v>
      </c>
      <c r="G1480" s="88">
        <v>0</v>
      </c>
      <c r="H1480" s="88">
        <v>1</v>
      </c>
      <c r="I1480" s="85" t="b">
        <v>1</v>
      </c>
      <c r="J1480" s="84" t="s">
        <v>1018</v>
      </c>
      <c r="K1480" s="84" t="s">
        <v>32</v>
      </c>
      <c r="L1480" s="84" t="s">
        <v>944</v>
      </c>
      <c r="M1480" s="84"/>
      <c r="N1480" s="84"/>
      <c r="O1480" s="84"/>
      <c r="P1480" s="84"/>
      <c r="Q1480" s="84" t="s">
        <v>1014</v>
      </c>
      <c r="R1480" s="84" t="s">
        <v>1014</v>
      </c>
    </row>
    <row r="1481" spans="1:18" hidden="1" x14ac:dyDescent="0.25">
      <c r="A1481" s="84" t="s">
        <v>1013</v>
      </c>
      <c r="B1481" s="84" t="s">
        <v>1014</v>
      </c>
      <c r="C1481" s="85">
        <v>3</v>
      </c>
      <c r="D1481" s="86" t="s">
        <v>918</v>
      </c>
      <c r="E1481" s="87" t="s">
        <v>939</v>
      </c>
      <c r="F1481" s="85" t="s">
        <v>25</v>
      </c>
      <c r="G1481" s="88">
        <v>0</v>
      </c>
      <c r="H1481" s="88">
        <v>3</v>
      </c>
      <c r="I1481" s="85" t="b">
        <v>1</v>
      </c>
      <c r="J1481" s="84" t="s">
        <v>920</v>
      </c>
      <c r="K1481" s="84" t="s">
        <v>32</v>
      </c>
      <c r="L1481" s="84" t="s">
        <v>944</v>
      </c>
      <c r="M1481" s="84"/>
      <c r="N1481" s="84"/>
      <c r="O1481" s="84"/>
      <c r="P1481" s="84"/>
      <c r="Q1481" s="84" t="s">
        <v>1014</v>
      </c>
      <c r="R1481" s="84" t="s">
        <v>1014</v>
      </c>
    </row>
    <row r="1482" spans="1:18" hidden="1" x14ac:dyDescent="0.25">
      <c r="A1482" s="91" t="s">
        <v>1013</v>
      </c>
      <c r="B1482" s="91" t="s">
        <v>1014</v>
      </c>
      <c r="C1482" s="92">
        <v>3</v>
      </c>
      <c r="D1482" s="93" t="s">
        <v>11</v>
      </c>
      <c r="E1482" s="94" t="s">
        <v>976</v>
      </c>
      <c r="F1482" s="92" t="s">
        <v>25</v>
      </c>
      <c r="G1482" s="95">
        <v>35</v>
      </c>
      <c r="H1482" s="95">
        <v>40</v>
      </c>
      <c r="I1482" s="92" t="b">
        <v>1</v>
      </c>
      <c r="J1482" s="91" t="s">
        <v>715</v>
      </c>
      <c r="K1482" s="91" t="s">
        <v>32</v>
      </c>
      <c r="L1482" s="91" t="s">
        <v>947</v>
      </c>
      <c r="M1482" s="91"/>
      <c r="N1482" s="91"/>
      <c r="O1482" s="91"/>
      <c r="P1482" s="91"/>
      <c r="Q1482" s="91" t="s">
        <v>1014</v>
      </c>
      <c r="R1482" s="91" t="s">
        <v>1014</v>
      </c>
    </row>
    <row r="1483" spans="1:18" hidden="1" x14ac:dyDescent="0.25">
      <c r="A1483" s="91" t="s">
        <v>1013</v>
      </c>
      <c r="B1483" s="91" t="s">
        <v>1014</v>
      </c>
      <c r="C1483" s="92">
        <v>3</v>
      </c>
      <c r="D1483" s="93" t="s">
        <v>936</v>
      </c>
      <c r="E1483" s="94" t="s">
        <v>1114</v>
      </c>
      <c r="F1483" s="92" t="s">
        <v>25</v>
      </c>
      <c r="G1483" s="95">
        <v>13</v>
      </c>
      <c r="H1483" s="95">
        <v>20</v>
      </c>
      <c r="I1483" s="92" t="b">
        <v>1</v>
      </c>
      <c r="J1483" s="91" t="s">
        <v>938</v>
      </c>
      <c r="K1483" s="91" t="s">
        <v>32</v>
      </c>
      <c r="L1483" s="91" t="s">
        <v>947</v>
      </c>
      <c r="M1483" s="91"/>
      <c r="N1483" s="91"/>
      <c r="O1483" s="91"/>
      <c r="P1483" s="91"/>
      <c r="Q1483" s="91" t="s">
        <v>1014</v>
      </c>
      <c r="R1483" s="91" t="s">
        <v>1014</v>
      </c>
    </row>
    <row r="1484" spans="1:18" hidden="1" x14ac:dyDescent="0.25">
      <c r="A1484" s="91" t="s">
        <v>1013</v>
      </c>
      <c r="B1484" s="91" t="s">
        <v>1014</v>
      </c>
      <c r="C1484" s="92">
        <v>3</v>
      </c>
      <c r="D1484" s="93" t="s">
        <v>342</v>
      </c>
      <c r="E1484" s="94" t="s">
        <v>1115</v>
      </c>
      <c r="F1484" s="92" t="s">
        <v>25</v>
      </c>
      <c r="G1484" s="95">
        <v>3.4</v>
      </c>
      <c r="H1484" s="95">
        <v>4</v>
      </c>
      <c r="I1484" s="92" t="b">
        <v>1</v>
      </c>
      <c r="J1484" s="91" t="s">
        <v>343</v>
      </c>
      <c r="K1484" s="91" t="s">
        <v>32</v>
      </c>
      <c r="L1484" s="91" t="s">
        <v>947</v>
      </c>
      <c r="M1484" s="91"/>
      <c r="N1484" s="91"/>
      <c r="O1484" s="91"/>
      <c r="P1484" s="91"/>
      <c r="Q1484" s="91" t="s">
        <v>1014</v>
      </c>
      <c r="R1484" s="91" t="s">
        <v>1014</v>
      </c>
    </row>
    <row r="1485" spans="1:18" hidden="1" x14ac:dyDescent="0.25">
      <c r="A1485" t="s">
        <v>1013</v>
      </c>
      <c r="B1485" t="s">
        <v>1014</v>
      </c>
      <c r="C1485" s="19">
        <v>4</v>
      </c>
      <c r="D1485" s="44" t="s">
        <v>1116</v>
      </c>
      <c r="E1485" s="9" t="s">
        <v>1117</v>
      </c>
      <c r="F1485" s="19" t="s">
        <v>25</v>
      </c>
      <c r="G1485" s="5">
        <v>-0.5</v>
      </c>
      <c r="H1485" s="5">
        <v>2</v>
      </c>
      <c r="I1485" s="19" t="b">
        <v>1</v>
      </c>
      <c r="J1485" s="83" t="s">
        <v>1118</v>
      </c>
      <c r="K1485" t="s">
        <v>32</v>
      </c>
      <c r="Q1485" t="s">
        <v>1014</v>
      </c>
      <c r="R1485" t="s">
        <v>1014</v>
      </c>
    </row>
    <row r="1486" spans="1:18" hidden="1" x14ac:dyDescent="0.25">
      <c r="A1486" t="s">
        <v>1013</v>
      </c>
      <c r="B1486" t="s">
        <v>1014</v>
      </c>
      <c r="C1486" s="19">
        <v>4</v>
      </c>
      <c r="D1486" s="44" t="s">
        <v>1101</v>
      </c>
      <c r="E1486" s="9" t="s">
        <v>1119</v>
      </c>
      <c r="F1486" s="19" t="s">
        <v>24</v>
      </c>
      <c r="G1486" s="5">
        <v>10</v>
      </c>
      <c r="H1486" s="5">
        <v>20</v>
      </c>
      <c r="I1486" s="19" t="b">
        <v>1</v>
      </c>
      <c r="J1486" t="s">
        <v>1110</v>
      </c>
      <c r="K1486" t="s">
        <v>32</v>
      </c>
      <c r="Q1486" t="s">
        <v>1014</v>
      </c>
      <c r="R1486" t="s">
        <v>1014</v>
      </c>
    </row>
    <row r="1487" spans="1:18" hidden="1" x14ac:dyDescent="0.25">
      <c r="A1487" t="s">
        <v>1013</v>
      </c>
      <c r="B1487" t="s">
        <v>1014</v>
      </c>
      <c r="C1487" s="19">
        <v>4</v>
      </c>
      <c r="D1487" s="44" t="s">
        <v>407</v>
      </c>
      <c r="E1487" s="9" t="s">
        <v>1120</v>
      </c>
      <c r="F1487" s="19" t="s">
        <v>26</v>
      </c>
      <c r="G1487" s="5">
        <v>15</v>
      </c>
      <c r="H1487" s="5">
        <v>25</v>
      </c>
      <c r="I1487" s="19" t="b">
        <v>0</v>
      </c>
      <c r="J1487" t="s">
        <v>748</v>
      </c>
      <c r="K1487" t="s">
        <v>32</v>
      </c>
      <c r="Q1487" t="s">
        <v>1014</v>
      </c>
      <c r="R1487" t="s">
        <v>1014</v>
      </c>
    </row>
    <row r="1488" spans="1:18" hidden="1" x14ac:dyDescent="0.25">
      <c r="A1488" t="s">
        <v>1013</v>
      </c>
      <c r="B1488" t="s">
        <v>1014</v>
      </c>
      <c r="C1488" s="19">
        <v>4</v>
      </c>
      <c r="D1488" s="44" t="s">
        <v>924</v>
      </c>
      <c r="E1488" s="89" t="s">
        <v>1121</v>
      </c>
      <c r="F1488" s="19" t="s">
        <v>26</v>
      </c>
      <c r="G1488" s="5">
        <v>70</v>
      </c>
      <c r="H1488" s="5">
        <v>80</v>
      </c>
      <c r="I1488" s="19" t="b">
        <v>0</v>
      </c>
      <c r="J1488" t="s">
        <v>926</v>
      </c>
      <c r="K1488" t="s">
        <v>32</v>
      </c>
      <c r="Q1488" t="s">
        <v>1014</v>
      </c>
      <c r="R1488" t="s">
        <v>1014</v>
      </c>
    </row>
    <row r="1489" spans="1:18" hidden="1" x14ac:dyDescent="0.25">
      <c r="A1489" s="84" t="s">
        <v>1013</v>
      </c>
      <c r="B1489" s="84" t="s">
        <v>1014</v>
      </c>
      <c r="C1489" s="85">
        <v>4</v>
      </c>
      <c r="D1489" s="86" t="s">
        <v>11</v>
      </c>
      <c r="E1489" s="87" t="s">
        <v>993</v>
      </c>
      <c r="F1489" s="85" t="s">
        <v>25</v>
      </c>
      <c r="G1489" s="88">
        <v>30</v>
      </c>
      <c r="H1489" s="88">
        <v>35</v>
      </c>
      <c r="I1489" s="85" t="b">
        <v>1</v>
      </c>
      <c r="J1489" s="84" t="s">
        <v>715</v>
      </c>
      <c r="K1489" s="84" t="s">
        <v>32</v>
      </c>
      <c r="L1489" s="84" t="s">
        <v>716</v>
      </c>
      <c r="M1489" s="84"/>
      <c r="N1489" s="84"/>
      <c r="O1489" s="84"/>
      <c r="P1489" s="84"/>
      <c r="Q1489" s="84" t="s">
        <v>1014</v>
      </c>
      <c r="R1489" s="84" t="s">
        <v>1014</v>
      </c>
    </row>
    <row r="1490" spans="1:18" hidden="1" x14ac:dyDescent="0.25">
      <c r="A1490" s="84" t="s">
        <v>1013</v>
      </c>
      <c r="B1490" s="84" t="s">
        <v>1014</v>
      </c>
      <c r="C1490" s="85">
        <v>4</v>
      </c>
      <c r="D1490" s="86" t="s">
        <v>936</v>
      </c>
      <c r="E1490" s="87" t="s">
        <v>1122</v>
      </c>
      <c r="F1490" s="85" t="s">
        <v>25</v>
      </c>
      <c r="G1490" s="88">
        <v>10</v>
      </c>
      <c r="H1490" s="88">
        <v>13</v>
      </c>
      <c r="I1490" s="85" t="b">
        <v>1</v>
      </c>
      <c r="J1490" s="84" t="s">
        <v>938</v>
      </c>
      <c r="K1490" s="84" t="s">
        <v>32</v>
      </c>
      <c r="L1490" s="84" t="s">
        <v>716</v>
      </c>
      <c r="M1490" s="84"/>
      <c r="N1490" s="84"/>
      <c r="O1490" s="84"/>
      <c r="P1490" s="84"/>
      <c r="Q1490" s="84" t="s">
        <v>1014</v>
      </c>
      <c r="R1490" s="84" t="s">
        <v>1014</v>
      </c>
    </row>
    <row r="1491" spans="1:18" hidden="1" x14ac:dyDescent="0.25">
      <c r="A1491" s="84" t="s">
        <v>1013</v>
      </c>
      <c r="B1491" s="84" t="s">
        <v>1014</v>
      </c>
      <c r="C1491" s="85">
        <v>4</v>
      </c>
      <c r="D1491" s="86" t="s">
        <v>342</v>
      </c>
      <c r="E1491" s="96" t="s">
        <v>1123</v>
      </c>
      <c r="F1491" s="85" t="s">
        <v>24</v>
      </c>
      <c r="G1491" s="88">
        <v>2.6</v>
      </c>
      <c r="H1491" s="88">
        <v>3.4</v>
      </c>
      <c r="I1491" s="85" t="b">
        <v>1</v>
      </c>
      <c r="J1491" s="84" t="s">
        <v>343</v>
      </c>
      <c r="K1491" s="84" t="s">
        <v>32</v>
      </c>
      <c r="L1491" s="84" t="s">
        <v>716</v>
      </c>
      <c r="M1491" s="84"/>
      <c r="N1491" s="84"/>
      <c r="O1491" s="84"/>
      <c r="P1491" s="84"/>
      <c r="Q1491" s="84" t="s">
        <v>1014</v>
      </c>
      <c r="R1491" s="84" t="s">
        <v>1014</v>
      </c>
    </row>
    <row r="1492" spans="1:18" hidden="1" x14ac:dyDescent="0.25">
      <c r="A1492" s="97" t="s">
        <v>1013</v>
      </c>
      <c r="B1492" s="97" t="s">
        <v>1014</v>
      </c>
      <c r="C1492" s="98">
        <v>5</v>
      </c>
      <c r="D1492" s="99" t="s">
        <v>1116</v>
      </c>
      <c r="E1492" s="100" t="s">
        <v>1117</v>
      </c>
      <c r="F1492" s="98" t="s">
        <v>25</v>
      </c>
      <c r="G1492" s="101">
        <v>-0.5</v>
      </c>
      <c r="H1492" s="101">
        <v>2</v>
      </c>
      <c r="I1492" s="98" t="b">
        <v>1</v>
      </c>
      <c r="J1492" s="102" t="s">
        <v>1118</v>
      </c>
      <c r="K1492" s="97" t="s">
        <v>32</v>
      </c>
      <c r="L1492" s="97" t="s">
        <v>716</v>
      </c>
      <c r="M1492" s="97"/>
      <c r="N1492" s="97"/>
      <c r="O1492" s="97"/>
      <c r="P1492" s="97"/>
      <c r="Q1492" s="97" t="s">
        <v>1014</v>
      </c>
      <c r="R1492" s="97" t="s">
        <v>1014</v>
      </c>
    </row>
    <row r="1493" spans="1:18" hidden="1" x14ac:dyDescent="0.25">
      <c r="A1493" s="97" t="s">
        <v>1013</v>
      </c>
      <c r="B1493" s="97" t="s">
        <v>1014</v>
      </c>
      <c r="C1493" s="98">
        <v>5</v>
      </c>
      <c r="D1493" s="99" t="s">
        <v>11</v>
      </c>
      <c r="E1493" s="100" t="s">
        <v>950</v>
      </c>
      <c r="F1493" s="98" t="s">
        <v>25</v>
      </c>
      <c r="G1493" s="101">
        <v>25</v>
      </c>
      <c r="H1493" s="101">
        <v>30</v>
      </c>
      <c r="I1493" s="98" t="b">
        <v>1</v>
      </c>
      <c r="J1493" s="97" t="s">
        <v>715</v>
      </c>
      <c r="K1493" s="97" t="s">
        <v>32</v>
      </c>
      <c r="L1493" s="97" t="s">
        <v>716</v>
      </c>
      <c r="M1493" s="97"/>
      <c r="N1493" s="97"/>
      <c r="O1493" s="97"/>
      <c r="P1493" s="97"/>
      <c r="Q1493" s="97" t="s">
        <v>1014</v>
      </c>
      <c r="R1493" s="97" t="s">
        <v>1014</v>
      </c>
    </row>
    <row r="1494" spans="1:18" hidden="1" x14ac:dyDescent="0.25">
      <c r="A1494" s="97" t="s">
        <v>1013</v>
      </c>
      <c r="B1494" s="97" t="s">
        <v>1014</v>
      </c>
      <c r="C1494" s="98">
        <v>5</v>
      </c>
      <c r="D1494" s="99" t="s">
        <v>407</v>
      </c>
      <c r="E1494" s="100" t="s">
        <v>1111</v>
      </c>
      <c r="F1494" s="98" t="s">
        <v>26</v>
      </c>
      <c r="G1494" s="101">
        <v>35</v>
      </c>
      <c r="H1494" s="101">
        <v>45</v>
      </c>
      <c r="I1494" s="98" t="b">
        <v>0</v>
      </c>
      <c r="J1494" s="97" t="s">
        <v>748</v>
      </c>
      <c r="K1494" s="97" t="s">
        <v>32</v>
      </c>
      <c r="L1494" s="97" t="s">
        <v>716</v>
      </c>
      <c r="M1494" s="97"/>
      <c r="N1494" s="97"/>
      <c r="O1494" s="97"/>
      <c r="P1494" s="97"/>
      <c r="Q1494" s="97" t="s">
        <v>1014</v>
      </c>
      <c r="R1494" s="97" t="s">
        <v>1014</v>
      </c>
    </row>
    <row r="1495" spans="1:18" hidden="1" x14ac:dyDescent="0.25">
      <c r="A1495" s="97" t="s">
        <v>1013</v>
      </c>
      <c r="B1495" s="97" t="s">
        <v>1014</v>
      </c>
      <c r="C1495" s="98">
        <v>5</v>
      </c>
      <c r="D1495" s="99" t="s">
        <v>924</v>
      </c>
      <c r="E1495" s="100" t="s">
        <v>1124</v>
      </c>
      <c r="F1495" s="98" t="s">
        <v>26</v>
      </c>
      <c r="G1495" s="101">
        <v>85</v>
      </c>
      <c r="H1495" s="101">
        <v>95</v>
      </c>
      <c r="I1495" s="98" t="b">
        <v>0</v>
      </c>
      <c r="J1495" s="97" t="s">
        <v>926</v>
      </c>
      <c r="K1495" s="97" t="s">
        <v>32</v>
      </c>
      <c r="L1495" s="97" t="s">
        <v>716</v>
      </c>
      <c r="M1495" s="97"/>
      <c r="N1495" s="97"/>
      <c r="O1495" s="97"/>
      <c r="P1495" s="97"/>
      <c r="Q1495" s="97" t="s">
        <v>1014</v>
      </c>
      <c r="R1495" s="97" t="s">
        <v>1014</v>
      </c>
    </row>
    <row r="1496" spans="1:18" hidden="1" x14ac:dyDescent="0.25">
      <c r="A1496" s="97" t="s">
        <v>1013</v>
      </c>
      <c r="B1496" s="97" t="s">
        <v>1014</v>
      </c>
      <c r="C1496" s="98">
        <v>5</v>
      </c>
      <c r="D1496" s="99" t="s">
        <v>342</v>
      </c>
      <c r="E1496" s="103" t="s">
        <v>1125</v>
      </c>
      <c r="F1496" s="98" t="s">
        <v>25</v>
      </c>
      <c r="G1496" s="101">
        <v>2.2999999999999998</v>
      </c>
      <c r="H1496" s="101">
        <v>2.6</v>
      </c>
      <c r="I1496" s="98" t="b">
        <v>1</v>
      </c>
      <c r="J1496" s="97" t="s">
        <v>343</v>
      </c>
      <c r="K1496" s="97" t="s">
        <v>32</v>
      </c>
      <c r="L1496" s="97" t="s">
        <v>716</v>
      </c>
      <c r="M1496" s="97"/>
      <c r="N1496" s="97"/>
      <c r="O1496" s="97"/>
      <c r="P1496" s="97"/>
      <c r="Q1496" s="97" t="s">
        <v>1014</v>
      </c>
      <c r="R1496" s="97" t="s">
        <v>1014</v>
      </c>
    </row>
    <row r="1497" spans="1:18" hidden="1" x14ac:dyDescent="0.25">
      <c r="A1497" t="s">
        <v>1013</v>
      </c>
      <c r="B1497" t="s">
        <v>1021</v>
      </c>
      <c r="C1497" s="19">
        <v>2</v>
      </c>
      <c r="D1497" s="44" t="s">
        <v>983</v>
      </c>
      <c r="E1497" s="9" t="s">
        <v>1126</v>
      </c>
      <c r="F1497" s="19" t="s">
        <v>25</v>
      </c>
      <c r="G1497" s="5">
        <v>3</v>
      </c>
      <c r="H1497" s="5">
        <v>6</v>
      </c>
      <c r="I1497" s="19" t="b">
        <v>1</v>
      </c>
      <c r="J1497" s="83" t="s">
        <v>985</v>
      </c>
      <c r="K1497" t="s">
        <v>32</v>
      </c>
      <c r="Q1497" t="s">
        <v>1021</v>
      </c>
      <c r="R1497" t="s">
        <v>1021</v>
      </c>
    </row>
    <row r="1498" spans="1:18" hidden="1" x14ac:dyDescent="0.25">
      <c r="A1498" t="s">
        <v>1013</v>
      </c>
      <c r="B1498" t="s">
        <v>1021</v>
      </c>
      <c r="C1498" s="19">
        <v>2</v>
      </c>
      <c r="D1498" s="44" t="s">
        <v>1101</v>
      </c>
      <c r="E1498" s="9" t="s">
        <v>1102</v>
      </c>
      <c r="F1498" s="19" t="s">
        <v>25</v>
      </c>
      <c r="G1498" s="5">
        <v>35</v>
      </c>
      <c r="H1498" s="5">
        <v>40</v>
      </c>
      <c r="I1498" s="19" t="b">
        <v>1</v>
      </c>
      <c r="J1498" t="s">
        <v>1103</v>
      </c>
      <c r="K1498" t="s">
        <v>32</v>
      </c>
      <c r="Q1498" t="s">
        <v>1021</v>
      </c>
      <c r="R1498" t="s">
        <v>1021</v>
      </c>
    </row>
    <row r="1499" spans="1:18" hidden="1" x14ac:dyDescent="0.25">
      <c r="A1499" t="s">
        <v>1013</v>
      </c>
      <c r="B1499" t="s">
        <v>1021</v>
      </c>
      <c r="C1499" s="19">
        <v>2</v>
      </c>
      <c r="D1499" s="44" t="s">
        <v>927</v>
      </c>
      <c r="E1499" s="9" t="s">
        <v>1127</v>
      </c>
      <c r="F1499" s="19" t="s">
        <v>27</v>
      </c>
      <c r="G1499" s="5">
        <v>25</v>
      </c>
      <c r="H1499" s="5">
        <v>30</v>
      </c>
      <c r="I1499" s="19" t="b">
        <v>0</v>
      </c>
      <c r="J1499" t="s">
        <v>929</v>
      </c>
      <c r="K1499" t="s">
        <v>32</v>
      </c>
      <c r="Q1499" t="s">
        <v>1021</v>
      </c>
      <c r="R1499" t="s">
        <v>1021</v>
      </c>
    </row>
    <row r="1500" spans="1:18" hidden="1" x14ac:dyDescent="0.25">
      <c r="A1500" t="s">
        <v>1013</v>
      </c>
      <c r="B1500" t="s">
        <v>1021</v>
      </c>
      <c r="C1500" s="19">
        <v>2</v>
      </c>
      <c r="D1500" s="44" t="s">
        <v>407</v>
      </c>
      <c r="E1500" s="9" t="s">
        <v>1105</v>
      </c>
      <c r="F1500" s="19" t="s">
        <v>26</v>
      </c>
      <c r="G1500" s="5">
        <v>1</v>
      </c>
      <c r="H1500" s="5">
        <v>3</v>
      </c>
      <c r="I1500" s="19" t="b">
        <v>0</v>
      </c>
      <c r="J1500" t="s">
        <v>748</v>
      </c>
      <c r="K1500" t="s">
        <v>32</v>
      </c>
      <c r="Q1500" t="s">
        <v>1021</v>
      </c>
      <c r="R1500" t="s">
        <v>1021</v>
      </c>
    </row>
    <row r="1501" spans="1:18" hidden="1" x14ac:dyDescent="0.25">
      <c r="A1501" t="s">
        <v>1013</v>
      </c>
      <c r="B1501" t="s">
        <v>1021</v>
      </c>
      <c r="C1501" s="19">
        <v>2</v>
      </c>
      <c r="D1501" s="44" t="s">
        <v>924</v>
      </c>
      <c r="E1501" s="9" t="s">
        <v>1104</v>
      </c>
      <c r="F1501" s="19" t="s">
        <v>26</v>
      </c>
      <c r="G1501" s="5">
        <v>25</v>
      </c>
      <c r="H1501" s="5">
        <v>35</v>
      </c>
      <c r="I1501" s="19" t="b">
        <v>0</v>
      </c>
      <c r="J1501" t="s">
        <v>926</v>
      </c>
      <c r="K1501" t="s">
        <v>32</v>
      </c>
      <c r="Q1501" t="s">
        <v>1021</v>
      </c>
      <c r="R1501" t="s">
        <v>1021</v>
      </c>
    </row>
    <row r="1502" spans="1:18" hidden="1" x14ac:dyDescent="0.25">
      <c r="A1502" t="s">
        <v>1013</v>
      </c>
      <c r="B1502" t="s">
        <v>1021</v>
      </c>
      <c r="C1502" s="19">
        <v>2</v>
      </c>
      <c r="D1502" s="44" t="s">
        <v>909</v>
      </c>
      <c r="E1502" s="9" t="s">
        <v>1015</v>
      </c>
      <c r="F1502" s="19" t="s">
        <v>25</v>
      </c>
      <c r="G1502" s="5">
        <v>3</v>
      </c>
      <c r="H1502" s="5">
        <v>6</v>
      </c>
      <c r="I1502" s="19" t="b">
        <v>1</v>
      </c>
      <c r="J1502" t="s">
        <v>911</v>
      </c>
      <c r="K1502" t="s">
        <v>32</v>
      </c>
      <c r="Q1502" t="s">
        <v>1021</v>
      </c>
      <c r="R1502" t="s">
        <v>1021</v>
      </c>
    </row>
    <row r="1503" spans="1:18" hidden="1" x14ac:dyDescent="0.25">
      <c r="A1503" t="s">
        <v>1013</v>
      </c>
      <c r="B1503" t="s">
        <v>1021</v>
      </c>
      <c r="C1503" s="19">
        <v>2</v>
      </c>
      <c r="D1503" s="44" t="s">
        <v>912</v>
      </c>
      <c r="E1503" s="9" t="s">
        <v>982</v>
      </c>
      <c r="F1503" s="19" t="s">
        <v>25</v>
      </c>
      <c r="G1503" s="5">
        <v>5</v>
      </c>
      <c r="H1503" s="5">
        <v>8</v>
      </c>
      <c r="I1503" s="19" t="b">
        <v>1</v>
      </c>
      <c r="J1503" t="s">
        <v>914</v>
      </c>
      <c r="K1503" t="s">
        <v>32</v>
      </c>
      <c r="Q1503" t="s">
        <v>1021</v>
      </c>
      <c r="R1503" t="s">
        <v>1021</v>
      </c>
    </row>
    <row r="1504" spans="1:18" hidden="1" x14ac:dyDescent="0.25">
      <c r="A1504" t="s">
        <v>1013</v>
      </c>
      <c r="B1504" t="s">
        <v>1021</v>
      </c>
      <c r="C1504" s="19">
        <v>2</v>
      </c>
      <c r="D1504" s="44" t="s">
        <v>915</v>
      </c>
      <c r="E1504" s="9" t="s">
        <v>834</v>
      </c>
      <c r="F1504" s="19" t="s">
        <v>24</v>
      </c>
      <c r="G1504" s="5">
        <v>1</v>
      </c>
      <c r="H1504" s="5">
        <v>3</v>
      </c>
      <c r="I1504" s="19" t="b">
        <v>1</v>
      </c>
      <c r="J1504" t="s">
        <v>917</v>
      </c>
      <c r="K1504" t="s">
        <v>32</v>
      </c>
      <c r="Q1504" t="s">
        <v>1021</v>
      </c>
      <c r="R1504" t="s">
        <v>1021</v>
      </c>
    </row>
    <row r="1505" spans="1:18" hidden="1" x14ac:dyDescent="0.25">
      <c r="A1505" t="s">
        <v>1013</v>
      </c>
      <c r="B1505" t="s">
        <v>1021</v>
      </c>
      <c r="C1505" s="19">
        <v>2</v>
      </c>
      <c r="D1505" s="44" t="s">
        <v>918</v>
      </c>
      <c r="E1505" s="5" t="s">
        <v>982</v>
      </c>
      <c r="F1505" s="19" t="s">
        <v>25</v>
      </c>
      <c r="G1505" s="5">
        <v>5</v>
      </c>
      <c r="H1505" s="5">
        <v>8</v>
      </c>
      <c r="I1505" s="19" t="b">
        <v>1</v>
      </c>
      <c r="J1505" t="s">
        <v>920</v>
      </c>
      <c r="K1505" t="s">
        <v>32</v>
      </c>
      <c r="Q1505" t="s">
        <v>1021</v>
      </c>
      <c r="R1505" t="s">
        <v>1021</v>
      </c>
    </row>
    <row r="1506" spans="1:18" hidden="1" x14ac:dyDescent="0.25">
      <c r="A1506" s="84" t="s">
        <v>1013</v>
      </c>
      <c r="B1506" s="84" t="s">
        <v>1021</v>
      </c>
      <c r="C1506" s="85">
        <v>2</v>
      </c>
      <c r="D1506" s="86" t="s">
        <v>11</v>
      </c>
      <c r="E1506" s="87" t="s">
        <v>1022</v>
      </c>
      <c r="F1506" s="85" t="s">
        <v>25</v>
      </c>
      <c r="G1506" s="88">
        <v>45</v>
      </c>
      <c r="H1506" s="88">
        <v>50</v>
      </c>
      <c r="I1506" s="85" t="b">
        <v>1</v>
      </c>
      <c r="J1506" s="84" t="s">
        <v>715</v>
      </c>
      <c r="K1506" s="84" t="s">
        <v>32</v>
      </c>
      <c r="L1506" s="84" t="s">
        <v>716</v>
      </c>
      <c r="M1506" s="84"/>
      <c r="N1506" s="84"/>
      <c r="O1506" s="84"/>
      <c r="P1506" s="84"/>
      <c r="Q1506" s="84" t="s">
        <v>1021</v>
      </c>
      <c r="R1506" s="84" t="s">
        <v>1021</v>
      </c>
    </row>
    <row r="1507" spans="1:18" hidden="1" x14ac:dyDescent="0.25">
      <c r="A1507" s="84" t="s">
        <v>1013</v>
      </c>
      <c r="B1507" s="84" t="s">
        <v>1021</v>
      </c>
      <c r="C1507" s="85">
        <v>2</v>
      </c>
      <c r="D1507" s="86" t="s">
        <v>936</v>
      </c>
      <c r="E1507" s="87" t="s">
        <v>950</v>
      </c>
      <c r="F1507" s="85" t="s">
        <v>25</v>
      </c>
      <c r="G1507" s="88">
        <v>25</v>
      </c>
      <c r="H1507" s="88">
        <v>30</v>
      </c>
      <c r="I1507" s="85" t="b">
        <v>1</v>
      </c>
      <c r="J1507" s="84" t="s">
        <v>938</v>
      </c>
      <c r="K1507" s="84" t="s">
        <v>32</v>
      </c>
      <c r="L1507" s="84" t="s">
        <v>716</v>
      </c>
      <c r="M1507" s="84"/>
      <c r="N1507" s="84"/>
      <c r="O1507" s="84"/>
      <c r="P1507" s="84"/>
      <c r="Q1507" s="84" t="s">
        <v>1021</v>
      </c>
      <c r="R1507" s="84" t="s">
        <v>1021</v>
      </c>
    </row>
    <row r="1508" spans="1:18" hidden="1" x14ac:dyDescent="0.25">
      <c r="A1508" s="84" t="s">
        <v>1013</v>
      </c>
      <c r="B1508" s="84" t="s">
        <v>1021</v>
      </c>
      <c r="C1508" s="85">
        <v>2</v>
      </c>
      <c r="D1508" s="86" t="s">
        <v>342</v>
      </c>
      <c r="E1508" s="87" t="s">
        <v>1020</v>
      </c>
      <c r="F1508" s="85" t="s">
        <v>24</v>
      </c>
      <c r="G1508" s="88">
        <v>4.3</v>
      </c>
      <c r="H1508" s="88">
        <v>4.7</v>
      </c>
      <c r="I1508" s="85" t="b">
        <v>1</v>
      </c>
      <c r="J1508" s="84" t="s">
        <v>343</v>
      </c>
      <c r="K1508" s="84" t="s">
        <v>32</v>
      </c>
      <c r="L1508" s="84" t="s">
        <v>716</v>
      </c>
      <c r="M1508" s="84"/>
      <c r="N1508" s="84"/>
      <c r="O1508" s="84"/>
      <c r="P1508" s="84"/>
      <c r="Q1508" s="84" t="s">
        <v>1021</v>
      </c>
      <c r="R1508" s="84" t="s">
        <v>1021</v>
      </c>
    </row>
    <row r="1509" spans="1:18" hidden="1" x14ac:dyDescent="0.25">
      <c r="A1509" t="s">
        <v>1013</v>
      </c>
      <c r="B1509" t="s">
        <v>1021</v>
      </c>
      <c r="C1509" s="19">
        <v>3</v>
      </c>
      <c r="D1509" s="44" t="s">
        <v>983</v>
      </c>
      <c r="E1509" s="9" t="s">
        <v>1128</v>
      </c>
      <c r="F1509" s="19" t="s">
        <v>25</v>
      </c>
      <c r="G1509" s="5">
        <v>0</v>
      </c>
      <c r="H1509" s="5">
        <v>3</v>
      </c>
      <c r="I1509" s="19" t="b">
        <v>1</v>
      </c>
      <c r="J1509" s="83" t="s">
        <v>985</v>
      </c>
      <c r="K1509" t="s">
        <v>32</v>
      </c>
      <c r="Q1509" t="s">
        <v>1021</v>
      </c>
      <c r="R1509" t="s">
        <v>1021</v>
      </c>
    </row>
    <row r="1510" spans="1:18" hidden="1" x14ac:dyDescent="0.25">
      <c r="A1510" t="s">
        <v>1013</v>
      </c>
      <c r="B1510" t="s">
        <v>1021</v>
      </c>
      <c r="C1510" s="19">
        <v>3</v>
      </c>
      <c r="D1510" s="44" t="s">
        <v>1101</v>
      </c>
      <c r="E1510" s="9" t="s">
        <v>1129</v>
      </c>
      <c r="F1510" s="19" t="s">
        <v>24</v>
      </c>
      <c r="G1510" s="5">
        <v>25</v>
      </c>
      <c r="H1510" s="5">
        <v>35</v>
      </c>
      <c r="I1510" s="19" t="b">
        <v>1</v>
      </c>
      <c r="J1510" t="s">
        <v>1110</v>
      </c>
      <c r="K1510" t="s">
        <v>32</v>
      </c>
      <c r="Q1510" t="s">
        <v>1021</v>
      </c>
      <c r="R1510" t="s">
        <v>1021</v>
      </c>
    </row>
    <row r="1511" spans="1:18" hidden="1" x14ac:dyDescent="0.25">
      <c r="A1511" t="s">
        <v>1013</v>
      </c>
      <c r="B1511" t="s">
        <v>1021</v>
      </c>
      <c r="C1511" s="19">
        <v>3</v>
      </c>
      <c r="D1511" s="44" t="s">
        <v>927</v>
      </c>
      <c r="E1511" s="9" t="s">
        <v>1106</v>
      </c>
      <c r="F1511" s="19" t="s">
        <v>26</v>
      </c>
      <c r="G1511" s="5">
        <v>30</v>
      </c>
      <c r="H1511" s="5">
        <v>40</v>
      </c>
      <c r="I1511" s="19" t="b">
        <v>0</v>
      </c>
      <c r="J1511" t="s">
        <v>929</v>
      </c>
      <c r="K1511" t="s">
        <v>32</v>
      </c>
      <c r="Q1511" t="s">
        <v>1021</v>
      </c>
      <c r="R1511" t="s">
        <v>1021</v>
      </c>
    </row>
    <row r="1512" spans="1:18" hidden="1" x14ac:dyDescent="0.25">
      <c r="A1512" t="s">
        <v>1013</v>
      </c>
      <c r="B1512" t="s">
        <v>1021</v>
      </c>
      <c r="C1512" s="19">
        <v>3</v>
      </c>
      <c r="D1512" s="44" t="s">
        <v>407</v>
      </c>
      <c r="E1512" s="9" t="s">
        <v>1130</v>
      </c>
      <c r="F1512" s="19" t="s">
        <v>26</v>
      </c>
      <c r="G1512" s="5">
        <v>3</v>
      </c>
      <c r="H1512" s="5">
        <v>7</v>
      </c>
      <c r="I1512" s="19" t="b">
        <v>0</v>
      </c>
      <c r="J1512" t="s">
        <v>748</v>
      </c>
      <c r="K1512" t="s">
        <v>32</v>
      </c>
      <c r="Q1512" t="s">
        <v>1021</v>
      </c>
      <c r="R1512" t="s">
        <v>1021</v>
      </c>
    </row>
    <row r="1513" spans="1:18" hidden="1" x14ac:dyDescent="0.25">
      <c r="A1513" t="s">
        <v>1013</v>
      </c>
      <c r="B1513" t="s">
        <v>1021</v>
      </c>
      <c r="C1513" s="19">
        <v>3</v>
      </c>
      <c r="D1513" s="44" t="s">
        <v>924</v>
      </c>
      <c r="E1513" s="89" t="s">
        <v>1113</v>
      </c>
      <c r="F1513" s="19" t="s">
        <v>26</v>
      </c>
      <c r="G1513" s="5">
        <v>40</v>
      </c>
      <c r="H1513" s="5">
        <v>50</v>
      </c>
      <c r="I1513" s="19" t="b">
        <v>0</v>
      </c>
      <c r="J1513" t="s">
        <v>926</v>
      </c>
      <c r="K1513" t="s">
        <v>32</v>
      </c>
      <c r="Q1513" t="s">
        <v>1021</v>
      </c>
      <c r="R1513" t="s">
        <v>1021</v>
      </c>
    </row>
    <row r="1514" spans="1:18" hidden="1" x14ac:dyDescent="0.25">
      <c r="A1514" s="84" t="s">
        <v>1013</v>
      </c>
      <c r="B1514" s="84" t="s">
        <v>1021</v>
      </c>
      <c r="C1514" s="85">
        <v>3</v>
      </c>
      <c r="D1514" s="86" t="s">
        <v>909</v>
      </c>
      <c r="E1514" s="87" t="s">
        <v>834</v>
      </c>
      <c r="F1514" s="85" t="s">
        <v>24</v>
      </c>
      <c r="G1514" s="88">
        <v>1</v>
      </c>
      <c r="H1514" s="88">
        <v>3</v>
      </c>
      <c r="I1514" s="85" t="b">
        <v>1</v>
      </c>
      <c r="J1514" s="84" t="s">
        <v>911</v>
      </c>
      <c r="K1514" s="84" t="s">
        <v>32</v>
      </c>
      <c r="L1514" s="84" t="s">
        <v>944</v>
      </c>
      <c r="M1514" s="84"/>
      <c r="N1514" s="84"/>
      <c r="O1514" s="84"/>
      <c r="P1514" s="84"/>
      <c r="Q1514" s="84" t="s">
        <v>1021</v>
      </c>
      <c r="R1514" s="84" t="s">
        <v>1021</v>
      </c>
    </row>
    <row r="1515" spans="1:18" hidden="1" x14ac:dyDescent="0.25">
      <c r="A1515" s="84" t="s">
        <v>1013</v>
      </c>
      <c r="B1515" s="84" t="s">
        <v>1021</v>
      </c>
      <c r="C1515" s="85">
        <v>3</v>
      </c>
      <c r="D1515" s="86" t="s">
        <v>912</v>
      </c>
      <c r="E1515" s="87" t="s">
        <v>1015</v>
      </c>
      <c r="F1515" s="85" t="s">
        <v>25</v>
      </c>
      <c r="G1515" s="88">
        <v>3</v>
      </c>
      <c r="H1515" s="88">
        <v>6</v>
      </c>
      <c r="I1515" s="85" t="b">
        <v>1</v>
      </c>
      <c r="J1515" s="84" t="s">
        <v>914</v>
      </c>
      <c r="K1515" s="84" t="s">
        <v>32</v>
      </c>
      <c r="L1515" s="84" t="s">
        <v>944</v>
      </c>
      <c r="M1515" s="84"/>
      <c r="N1515" s="84"/>
      <c r="O1515" s="84"/>
      <c r="P1515" s="84"/>
      <c r="Q1515" s="84" t="s">
        <v>1021</v>
      </c>
      <c r="R1515" s="84" t="s">
        <v>1021</v>
      </c>
    </row>
    <row r="1516" spans="1:18" hidden="1" x14ac:dyDescent="0.25">
      <c r="A1516" s="84" t="s">
        <v>1013</v>
      </c>
      <c r="B1516" s="84" t="s">
        <v>1021</v>
      </c>
      <c r="C1516" s="85">
        <v>3</v>
      </c>
      <c r="D1516" s="86" t="s">
        <v>915</v>
      </c>
      <c r="E1516" s="87" t="s">
        <v>725</v>
      </c>
      <c r="F1516" s="85" t="s">
        <v>25</v>
      </c>
      <c r="G1516" s="88">
        <v>0</v>
      </c>
      <c r="H1516" s="88">
        <v>1</v>
      </c>
      <c r="I1516" s="85" t="b">
        <v>1</v>
      </c>
      <c r="J1516" s="84" t="s">
        <v>917</v>
      </c>
      <c r="K1516" s="84" t="s">
        <v>32</v>
      </c>
      <c r="L1516" s="84" t="s">
        <v>944</v>
      </c>
      <c r="M1516" s="84"/>
      <c r="N1516" s="84"/>
      <c r="O1516" s="84"/>
      <c r="P1516" s="84"/>
      <c r="Q1516" s="84" t="s">
        <v>1021</v>
      </c>
      <c r="R1516" s="84" t="s">
        <v>1021</v>
      </c>
    </row>
    <row r="1517" spans="1:18" hidden="1" x14ac:dyDescent="0.25">
      <c r="A1517" s="84" t="s">
        <v>1013</v>
      </c>
      <c r="B1517" s="84" t="s">
        <v>1021</v>
      </c>
      <c r="C1517" s="85">
        <v>3</v>
      </c>
      <c r="D1517" s="86" t="s">
        <v>918</v>
      </c>
      <c r="E1517" s="87" t="s">
        <v>919</v>
      </c>
      <c r="F1517" s="85" t="s">
        <v>25</v>
      </c>
      <c r="G1517" s="88">
        <v>2</v>
      </c>
      <c r="H1517" s="88">
        <v>5</v>
      </c>
      <c r="I1517" s="85" t="b">
        <v>1</v>
      </c>
      <c r="J1517" s="84" t="s">
        <v>920</v>
      </c>
      <c r="K1517" s="84" t="s">
        <v>32</v>
      </c>
      <c r="L1517" s="84" t="s">
        <v>944</v>
      </c>
      <c r="M1517" s="84"/>
      <c r="N1517" s="84"/>
      <c r="O1517" s="84"/>
      <c r="P1517" s="84"/>
      <c r="Q1517" s="84" t="s">
        <v>1021</v>
      </c>
      <c r="R1517" s="84" t="s">
        <v>1021</v>
      </c>
    </row>
    <row r="1518" spans="1:18" hidden="1" x14ac:dyDescent="0.25">
      <c r="A1518" s="91" t="s">
        <v>1013</v>
      </c>
      <c r="B1518" s="91" t="s">
        <v>1021</v>
      </c>
      <c r="C1518" s="92">
        <v>3</v>
      </c>
      <c r="D1518" s="93" t="s">
        <v>11</v>
      </c>
      <c r="E1518" s="94" t="s">
        <v>1023</v>
      </c>
      <c r="F1518" s="92" t="s">
        <v>25</v>
      </c>
      <c r="G1518" s="95">
        <v>40</v>
      </c>
      <c r="H1518" s="95">
        <v>45</v>
      </c>
      <c r="I1518" s="92" t="b">
        <v>1</v>
      </c>
      <c r="J1518" s="91" t="s">
        <v>715</v>
      </c>
      <c r="K1518" s="91" t="s">
        <v>32</v>
      </c>
      <c r="L1518" s="91" t="s">
        <v>947</v>
      </c>
      <c r="M1518" s="91"/>
      <c r="N1518" s="91"/>
      <c r="O1518" s="91"/>
      <c r="P1518" s="91"/>
      <c r="Q1518" s="91" t="s">
        <v>1021</v>
      </c>
      <c r="R1518" s="91" t="s">
        <v>1021</v>
      </c>
    </row>
    <row r="1519" spans="1:18" hidden="1" x14ac:dyDescent="0.25">
      <c r="A1519" s="91" t="s">
        <v>1013</v>
      </c>
      <c r="B1519" s="91" t="s">
        <v>1021</v>
      </c>
      <c r="C1519" s="92">
        <v>3</v>
      </c>
      <c r="D1519" s="93" t="s">
        <v>936</v>
      </c>
      <c r="E1519" s="94" t="s">
        <v>958</v>
      </c>
      <c r="F1519" s="92" t="s">
        <v>25</v>
      </c>
      <c r="G1519" s="95">
        <v>18</v>
      </c>
      <c r="H1519" s="95">
        <v>25</v>
      </c>
      <c r="I1519" s="92" t="b">
        <v>1</v>
      </c>
      <c r="J1519" s="91" t="s">
        <v>938</v>
      </c>
      <c r="K1519" s="91" t="s">
        <v>32</v>
      </c>
      <c r="L1519" s="91" t="s">
        <v>947</v>
      </c>
      <c r="M1519" s="91"/>
      <c r="N1519" s="91"/>
      <c r="O1519" s="91"/>
      <c r="P1519" s="91"/>
      <c r="Q1519" s="91" t="s">
        <v>1021</v>
      </c>
      <c r="R1519" s="91" t="s">
        <v>1021</v>
      </c>
    </row>
    <row r="1520" spans="1:18" hidden="1" x14ac:dyDescent="0.25">
      <c r="A1520" s="91" t="s">
        <v>1013</v>
      </c>
      <c r="B1520" s="91" t="s">
        <v>1021</v>
      </c>
      <c r="C1520" s="92">
        <v>3</v>
      </c>
      <c r="D1520" s="93" t="s">
        <v>342</v>
      </c>
      <c r="E1520" s="94" t="s">
        <v>1007</v>
      </c>
      <c r="F1520" s="92" t="s">
        <v>25</v>
      </c>
      <c r="G1520" s="95">
        <v>3.8</v>
      </c>
      <c r="H1520" s="95">
        <v>4.3</v>
      </c>
      <c r="I1520" s="92" t="b">
        <v>1</v>
      </c>
      <c r="J1520" s="91" t="s">
        <v>343</v>
      </c>
      <c r="K1520" s="91" t="s">
        <v>32</v>
      </c>
      <c r="L1520" s="91" t="s">
        <v>947</v>
      </c>
      <c r="M1520" s="91"/>
      <c r="N1520" s="91"/>
      <c r="O1520" s="91"/>
      <c r="P1520" s="91"/>
      <c r="Q1520" s="91" t="s">
        <v>1021</v>
      </c>
      <c r="R1520" s="91" t="s">
        <v>1021</v>
      </c>
    </row>
    <row r="1521" spans="1:18" hidden="1" x14ac:dyDescent="0.25">
      <c r="A1521" t="s">
        <v>1013</v>
      </c>
      <c r="B1521" t="s">
        <v>1021</v>
      </c>
      <c r="C1521" s="5">
        <v>4</v>
      </c>
      <c r="D1521" s="44" t="s">
        <v>1116</v>
      </c>
      <c r="E1521" s="9" t="s">
        <v>1131</v>
      </c>
      <c r="F1521" s="19" t="s">
        <v>25</v>
      </c>
      <c r="G1521" s="5">
        <v>1</v>
      </c>
      <c r="H1521" s="5">
        <v>2</v>
      </c>
      <c r="I1521" t="b">
        <v>1</v>
      </c>
      <c r="J1521" s="83" t="s">
        <v>1118</v>
      </c>
      <c r="K1521" t="s">
        <v>32</v>
      </c>
      <c r="Q1521" t="s">
        <v>1021</v>
      </c>
      <c r="R1521" t="s">
        <v>1021</v>
      </c>
    </row>
    <row r="1522" spans="1:18" hidden="1" x14ac:dyDescent="0.25">
      <c r="A1522" t="s">
        <v>1013</v>
      </c>
      <c r="B1522" t="s">
        <v>1021</v>
      </c>
      <c r="C1522" s="5">
        <v>4</v>
      </c>
      <c r="D1522" s="44" t="s">
        <v>1101</v>
      </c>
      <c r="E1522" s="9" t="s">
        <v>1132</v>
      </c>
      <c r="F1522" s="19" t="s">
        <v>25</v>
      </c>
      <c r="G1522" s="5">
        <v>20</v>
      </c>
      <c r="H1522" s="5">
        <v>25</v>
      </c>
      <c r="I1522" t="b">
        <v>1</v>
      </c>
      <c r="J1522" t="s">
        <v>1110</v>
      </c>
      <c r="K1522" t="s">
        <v>32</v>
      </c>
      <c r="Q1522" t="s">
        <v>1021</v>
      </c>
      <c r="R1522" t="s">
        <v>1021</v>
      </c>
    </row>
    <row r="1523" spans="1:18" hidden="1" x14ac:dyDescent="0.25">
      <c r="A1523" t="s">
        <v>1013</v>
      </c>
      <c r="B1523" t="s">
        <v>1021</v>
      </c>
      <c r="C1523" s="5">
        <v>4</v>
      </c>
      <c r="D1523" s="44" t="s">
        <v>407</v>
      </c>
      <c r="E1523" s="9" t="s">
        <v>1120</v>
      </c>
      <c r="F1523" s="19" t="s">
        <v>26</v>
      </c>
      <c r="G1523" s="5">
        <v>15</v>
      </c>
      <c r="H1523" s="5">
        <v>25</v>
      </c>
      <c r="I1523" t="b">
        <v>0</v>
      </c>
      <c r="J1523" t="s">
        <v>748</v>
      </c>
      <c r="K1523" t="s">
        <v>32</v>
      </c>
      <c r="Q1523" t="s">
        <v>1021</v>
      </c>
      <c r="R1523" t="s">
        <v>1021</v>
      </c>
    </row>
    <row r="1524" spans="1:18" hidden="1" x14ac:dyDescent="0.25">
      <c r="A1524" s="84" t="s">
        <v>1013</v>
      </c>
      <c r="B1524" s="84" t="s">
        <v>1021</v>
      </c>
      <c r="C1524" s="88">
        <v>4</v>
      </c>
      <c r="D1524" s="86" t="s">
        <v>924</v>
      </c>
      <c r="E1524" s="96" t="s">
        <v>1133</v>
      </c>
      <c r="F1524" s="85" t="s">
        <v>26</v>
      </c>
      <c r="G1524" s="88">
        <v>65</v>
      </c>
      <c r="H1524" s="88">
        <v>75</v>
      </c>
      <c r="I1524" s="84" t="b">
        <v>0</v>
      </c>
      <c r="J1524" s="84" t="s">
        <v>926</v>
      </c>
      <c r="K1524" s="84" t="s">
        <v>32</v>
      </c>
      <c r="L1524" s="84" t="s">
        <v>716</v>
      </c>
      <c r="M1524" s="84"/>
      <c r="N1524" s="84"/>
      <c r="O1524" s="84"/>
      <c r="P1524" s="84"/>
      <c r="Q1524" s="84" t="s">
        <v>1021</v>
      </c>
      <c r="R1524" s="84" t="s">
        <v>1021</v>
      </c>
    </row>
    <row r="1525" spans="1:18" hidden="1" x14ac:dyDescent="0.25">
      <c r="A1525" s="84" t="s">
        <v>1013</v>
      </c>
      <c r="B1525" s="84" t="s">
        <v>1021</v>
      </c>
      <c r="C1525" s="88">
        <v>4</v>
      </c>
      <c r="D1525" s="86" t="s">
        <v>11</v>
      </c>
      <c r="E1525" s="87" t="s">
        <v>976</v>
      </c>
      <c r="F1525" s="85" t="s">
        <v>25</v>
      </c>
      <c r="G1525" s="88">
        <v>35</v>
      </c>
      <c r="H1525" s="88">
        <v>40</v>
      </c>
      <c r="I1525" s="84" t="b">
        <v>1</v>
      </c>
      <c r="J1525" s="84" t="s">
        <v>715</v>
      </c>
      <c r="K1525" s="84" t="s">
        <v>32</v>
      </c>
      <c r="L1525" s="84" t="s">
        <v>716</v>
      </c>
      <c r="M1525" s="84"/>
      <c r="N1525" s="84"/>
      <c r="O1525" s="84"/>
      <c r="P1525" s="84"/>
      <c r="Q1525" s="84" t="s">
        <v>1021</v>
      </c>
      <c r="R1525" s="84" t="s">
        <v>1021</v>
      </c>
    </row>
    <row r="1526" spans="1:18" hidden="1" x14ac:dyDescent="0.25">
      <c r="A1526" s="84" t="s">
        <v>1013</v>
      </c>
      <c r="B1526" s="84" t="s">
        <v>1021</v>
      </c>
      <c r="C1526" s="88">
        <v>4</v>
      </c>
      <c r="D1526" s="86" t="s">
        <v>936</v>
      </c>
      <c r="E1526" s="87" t="s">
        <v>1024</v>
      </c>
      <c r="F1526" s="85" t="s">
        <v>24</v>
      </c>
      <c r="G1526" s="88">
        <v>12</v>
      </c>
      <c r="H1526" s="88">
        <v>18</v>
      </c>
      <c r="I1526" s="84" t="b">
        <v>1</v>
      </c>
      <c r="J1526" s="84" t="s">
        <v>938</v>
      </c>
      <c r="K1526" s="84" t="s">
        <v>32</v>
      </c>
      <c r="L1526" s="84" t="s">
        <v>716</v>
      </c>
      <c r="M1526" s="84"/>
      <c r="N1526" s="84"/>
      <c r="O1526" s="84"/>
      <c r="P1526" s="84"/>
      <c r="Q1526" s="84" t="s">
        <v>1021</v>
      </c>
      <c r="R1526" s="84" t="s">
        <v>1021</v>
      </c>
    </row>
    <row r="1527" spans="1:18" hidden="1" x14ac:dyDescent="0.25">
      <c r="A1527" s="84" t="s">
        <v>1013</v>
      </c>
      <c r="B1527" s="84" t="s">
        <v>1021</v>
      </c>
      <c r="C1527" s="88">
        <v>4</v>
      </c>
      <c r="D1527" s="86" t="s">
        <v>342</v>
      </c>
      <c r="E1527" s="96" t="s">
        <v>1134</v>
      </c>
      <c r="F1527" s="85" t="s">
        <v>24</v>
      </c>
      <c r="G1527" s="88">
        <v>3.3</v>
      </c>
      <c r="H1527" s="88">
        <v>3.7</v>
      </c>
      <c r="I1527" s="84" t="b">
        <v>1</v>
      </c>
      <c r="J1527" s="84" t="s">
        <v>343</v>
      </c>
      <c r="K1527" s="84" t="s">
        <v>32</v>
      </c>
      <c r="L1527" s="84" t="s">
        <v>716</v>
      </c>
      <c r="M1527" s="84"/>
      <c r="N1527" s="84"/>
      <c r="O1527" s="84"/>
      <c r="P1527" s="84"/>
      <c r="Q1527" s="84" t="s">
        <v>1021</v>
      </c>
      <c r="R1527" s="84" t="s">
        <v>1021</v>
      </c>
    </row>
    <row r="1528" spans="1:18" hidden="1" x14ac:dyDescent="0.25">
      <c r="A1528" s="97" t="s">
        <v>1013</v>
      </c>
      <c r="B1528" s="97" t="s">
        <v>1021</v>
      </c>
      <c r="C1528" s="101">
        <v>5</v>
      </c>
      <c r="D1528" s="99" t="s">
        <v>1116</v>
      </c>
      <c r="E1528" s="100" t="s">
        <v>1117</v>
      </c>
      <c r="F1528" s="98" t="s">
        <v>25</v>
      </c>
      <c r="G1528" s="101">
        <v>-0.5</v>
      </c>
      <c r="H1528" s="101">
        <v>2</v>
      </c>
      <c r="I1528" s="97" t="b">
        <v>1</v>
      </c>
      <c r="J1528" s="102" t="s">
        <v>1118</v>
      </c>
      <c r="K1528" s="97" t="s">
        <v>32</v>
      </c>
      <c r="L1528" s="97" t="s">
        <v>716</v>
      </c>
      <c r="M1528" s="97"/>
      <c r="N1528" s="97"/>
      <c r="O1528" s="97"/>
      <c r="P1528" s="97"/>
      <c r="Q1528" s="97" t="s">
        <v>1021</v>
      </c>
      <c r="R1528" s="97" t="s">
        <v>1021</v>
      </c>
    </row>
    <row r="1529" spans="1:18" hidden="1" x14ac:dyDescent="0.25">
      <c r="A1529" s="97" t="s">
        <v>1013</v>
      </c>
      <c r="B1529" s="97" t="s">
        <v>1021</v>
      </c>
      <c r="C1529" s="101">
        <v>5</v>
      </c>
      <c r="D1529" s="99" t="s">
        <v>11</v>
      </c>
      <c r="E1529" s="100" t="s">
        <v>993</v>
      </c>
      <c r="F1529" s="98" t="s">
        <v>25</v>
      </c>
      <c r="G1529" s="101">
        <v>30</v>
      </c>
      <c r="H1529" s="101">
        <v>35</v>
      </c>
      <c r="I1529" s="97" t="b">
        <v>1</v>
      </c>
      <c r="J1529" s="97" t="s">
        <v>715</v>
      </c>
      <c r="K1529" s="97" t="s">
        <v>32</v>
      </c>
      <c r="L1529" s="97" t="s">
        <v>716</v>
      </c>
      <c r="M1529" s="97"/>
      <c r="N1529" s="97"/>
      <c r="O1529" s="97"/>
      <c r="P1529" s="97"/>
      <c r="Q1529" s="97" t="s">
        <v>1021</v>
      </c>
      <c r="R1529" s="97" t="s">
        <v>1021</v>
      </c>
    </row>
    <row r="1530" spans="1:18" hidden="1" x14ac:dyDescent="0.25">
      <c r="A1530" s="97" t="s">
        <v>1013</v>
      </c>
      <c r="B1530" s="97" t="s">
        <v>1021</v>
      </c>
      <c r="C1530" s="101">
        <v>5</v>
      </c>
      <c r="D1530" s="99" t="s">
        <v>407</v>
      </c>
      <c r="E1530" s="100" t="s">
        <v>1111</v>
      </c>
      <c r="F1530" s="98" t="s">
        <v>26</v>
      </c>
      <c r="G1530" s="101">
        <v>35</v>
      </c>
      <c r="H1530" s="101">
        <v>45</v>
      </c>
      <c r="I1530" s="97" t="b">
        <v>0</v>
      </c>
      <c r="J1530" s="97" t="s">
        <v>748</v>
      </c>
      <c r="K1530" s="97" t="s">
        <v>32</v>
      </c>
      <c r="L1530" s="97" t="s">
        <v>716</v>
      </c>
      <c r="M1530" s="97"/>
      <c r="N1530" s="97"/>
      <c r="O1530" s="97"/>
      <c r="P1530" s="97"/>
      <c r="Q1530" s="97" t="s">
        <v>1021</v>
      </c>
      <c r="R1530" s="97" t="s">
        <v>1021</v>
      </c>
    </row>
    <row r="1531" spans="1:18" hidden="1" x14ac:dyDescent="0.25">
      <c r="A1531" s="97" t="s">
        <v>1013</v>
      </c>
      <c r="B1531" s="97" t="s">
        <v>1021</v>
      </c>
      <c r="C1531" s="101">
        <v>5</v>
      </c>
      <c r="D1531" s="99" t="s">
        <v>924</v>
      </c>
      <c r="E1531" s="100" t="s">
        <v>1121</v>
      </c>
      <c r="F1531" s="98" t="s">
        <v>26</v>
      </c>
      <c r="G1531" s="101">
        <v>70</v>
      </c>
      <c r="H1531" s="101">
        <v>80</v>
      </c>
      <c r="I1531" s="97" t="b">
        <v>0</v>
      </c>
      <c r="J1531" s="97" t="s">
        <v>926</v>
      </c>
      <c r="K1531" s="97" t="s">
        <v>32</v>
      </c>
      <c r="L1531" s="97" t="s">
        <v>716</v>
      </c>
      <c r="M1531" s="97"/>
      <c r="N1531" s="97"/>
      <c r="O1531" s="97"/>
      <c r="P1531" s="97"/>
      <c r="Q1531" s="97" t="s">
        <v>1021</v>
      </c>
      <c r="R1531" s="97" t="s">
        <v>1021</v>
      </c>
    </row>
    <row r="1532" spans="1:18" hidden="1" x14ac:dyDescent="0.25">
      <c r="A1532" s="97" t="s">
        <v>1013</v>
      </c>
      <c r="B1532" s="97" t="s">
        <v>1021</v>
      </c>
      <c r="C1532" s="101">
        <v>5</v>
      </c>
      <c r="D1532" s="99" t="s">
        <v>342</v>
      </c>
      <c r="E1532" s="100" t="s">
        <v>1135</v>
      </c>
      <c r="F1532" s="98" t="s">
        <v>24</v>
      </c>
      <c r="G1532" s="101">
        <v>2.7</v>
      </c>
      <c r="H1532" s="101">
        <v>3.3</v>
      </c>
      <c r="I1532" s="97" t="b">
        <v>1</v>
      </c>
      <c r="J1532" s="97" t="s">
        <v>343</v>
      </c>
      <c r="K1532" s="97" t="s">
        <v>32</v>
      </c>
      <c r="L1532" s="97" t="s">
        <v>716</v>
      </c>
      <c r="M1532" s="97"/>
      <c r="N1532" s="97"/>
      <c r="O1532" s="97"/>
      <c r="P1532" s="97"/>
      <c r="Q1532" s="97" t="s">
        <v>1021</v>
      </c>
      <c r="R1532" s="97" t="s">
        <v>1021</v>
      </c>
    </row>
    <row r="1533" spans="1:18" hidden="1" x14ac:dyDescent="0.25">
      <c r="A1533" t="s">
        <v>1013</v>
      </c>
      <c r="B1533" t="s">
        <v>1019</v>
      </c>
      <c r="C1533" s="19">
        <v>2</v>
      </c>
      <c r="D1533" s="16" t="s">
        <v>983</v>
      </c>
      <c r="E1533" s="9" t="s">
        <v>1126</v>
      </c>
      <c r="F1533" s="5" t="s">
        <v>25</v>
      </c>
      <c r="G1533" s="19">
        <v>3</v>
      </c>
      <c r="H1533" s="19">
        <v>6</v>
      </c>
      <c r="I1533" t="b">
        <v>1</v>
      </c>
      <c r="J1533" s="83" t="s">
        <v>985</v>
      </c>
      <c r="K1533" t="s">
        <v>32</v>
      </c>
      <c r="Q1533" t="s">
        <v>1019</v>
      </c>
      <c r="R1533" t="s">
        <v>1019</v>
      </c>
    </row>
    <row r="1534" spans="1:18" hidden="1" x14ac:dyDescent="0.25">
      <c r="A1534" t="s">
        <v>1013</v>
      </c>
      <c r="B1534" t="s">
        <v>1019</v>
      </c>
      <c r="C1534" s="19">
        <v>2</v>
      </c>
      <c r="D1534" s="16" t="s">
        <v>1101</v>
      </c>
      <c r="E1534" s="9" t="s">
        <v>1102</v>
      </c>
      <c r="F1534" s="5" t="s">
        <v>25</v>
      </c>
      <c r="G1534" s="19">
        <v>35</v>
      </c>
      <c r="H1534" s="19">
        <v>40</v>
      </c>
      <c r="I1534" t="b">
        <v>1</v>
      </c>
      <c r="J1534" t="s">
        <v>1103</v>
      </c>
      <c r="K1534" t="s">
        <v>32</v>
      </c>
      <c r="Q1534" t="s">
        <v>1019</v>
      </c>
      <c r="R1534" t="s">
        <v>1019</v>
      </c>
    </row>
    <row r="1535" spans="1:18" hidden="1" x14ac:dyDescent="0.25">
      <c r="A1535" t="s">
        <v>1013</v>
      </c>
      <c r="B1535" t="s">
        <v>1019</v>
      </c>
      <c r="C1535" s="19">
        <v>2</v>
      </c>
      <c r="D1535" s="16" t="s">
        <v>927</v>
      </c>
      <c r="E1535" s="9" t="s">
        <v>1127</v>
      </c>
      <c r="F1535" s="5" t="s">
        <v>27</v>
      </c>
      <c r="G1535" s="19">
        <v>25</v>
      </c>
      <c r="H1535" s="19">
        <v>30</v>
      </c>
      <c r="I1535" t="b">
        <v>0</v>
      </c>
      <c r="J1535" t="s">
        <v>929</v>
      </c>
      <c r="K1535" t="s">
        <v>32</v>
      </c>
      <c r="Q1535" t="s">
        <v>1019</v>
      </c>
      <c r="R1535" t="s">
        <v>1019</v>
      </c>
    </row>
    <row r="1536" spans="1:18" hidden="1" x14ac:dyDescent="0.25">
      <c r="A1536" t="s">
        <v>1013</v>
      </c>
      <c r="B1536" t="s">
        <v>1019</v>
      </c>
      <c r="C1536" s="19">
        <v>2</v>
      </c>
      <c r="D1536" s="16" t="s">
        <v>407</v>
      </c>
      <c r="E1536" s="9" t="s">
        <v>1105</v>
      </c>
      <c r="F1536" s="5" t="s">
        <v>26</v>
      </c>
      <c r="G1536" s="19">
        <v>1</v>
      </c>
      <c r="H1536" s="19">
        <v>3</v>
      </c>
      <c r="I1536" t="b">
        <v>0</v>
      </c>
      <c r="J1536" t="s">
        <v>748</v>
      </c>
      <c r="K1536" t="s">
        <v>32</v>
      </c>
      <c r="Q1536" t="s">
        <v>1019</v>
      </c>
      <c r="R1536" t="s">
        <v>1019</v>
      </c>
    </row>
    <row r="1537" spans="1:18" hidden="1" x14ac:dyDescent="0.25">
      <c r="A1537" t="s">
        <v>1013</v>
      </c>
      <c r="B1537" t="s">
        <v>1019</v>
      </c>
      <c r="C1537" s="19">
        <v>2</v>
      </c>
      <c r="D1537" s="16" t="s">
        <v>924</v>
      </c>
      <c r="E1537" s="9" t="s">
        <v>1111</v>
      </c>
      <c r="F1537" s="5" t="s">
        <v>26</v>
      </c>
      <c r="G1537" s="19">
        <v>35</v>
      </c>
      <c r="H1537" s="19">
        <v>45</v>
      </c>
      <c r="I1537" t="b">
        <v>0</v>
      </c>
      <c r="J1537" t="s">
        <v>926</v>
      </c>
      <c r="K1537" t="s">
        <v>32</v>
      </c>
      <c r="Q1537" t="s">
        <v>1019</v>
      </c>
      <c r="R1537" t="s">
        <v>1019</v>
      </c>
    </row>
    <row r="1538" spans="1:18" hidden="1" x14ac:dyDescent="0.25">
      <c r="A1538" t="s">
        <v>1013</v>
      </c>
      <c r="B1538" t="s">
        <v>1019</v>
      </c>
      <c r="C1538" s="19">
        <v>2</v>
      </c>
      <c r="D1538" s="16" t="s">
        <v>909</v>
      </c>
      <c r="E1538" s="9" t="s">
        <v>1015</v>
      </c>
      <c r="F1538" s="5" t="s">
        <v>25</v>
      </c>
      <c r="G1538" s="19">
        <v>3</v>
      </c>
      <c r="H1538" s="19">
        <v>6</v>
      </c>
      <c r="I1538" t="b">
        <v>1</v>
      </c>
      <c r="J1538" t="s">
        <v>911</v>
      </c>
      <c r="K1538" t="s">
        <v>32</v>
      </c>
      <c r="Q1538" t="s">
        <v>1019</v>
      </c>
      <c r="R1538" t="s">
        <v>1019</v>
      </c>
    </row>
    <row r="1539" spans="1:18" hidden="1" x14ac:dyDescent="0.25">
      <c r="A1539" t="s">
        <v>1013</v>
      </c>
      <c r="B1539" t="s">
        <v>1019</v>
      </c>
      <c r="C1539" s="19">
        <v>2</v>
      </c>
      <c r="D1539" s="16" t="s">
        <v>912</v>
      </c>
      <c r="E1539" s="9" t="s">
        <v>982</v>
      </c>
      <c r="F1539" s="5" t="s">
        <v>25</v>
      </c>
      <c r="G1539" s="19">
        <v>5</v>
      </c>
      <c r="H1539" s="19">
        <v>8</v>
      </c>
      <c r="I1539" t="b">
        <v>1</v>
      </c>
      <c r="J1539" t="s">
        <v>914</v>
      </c>
      <c r="K1539" t="s">
        <v>32</v>
      </c>
      <c r="Q1539" t="s">
        <v>1019</v>
      </c>
      <c r="R1539" t="s">
        <v>1019</v>
      </c>
    </row>
    <row r="1540" spans="1:18" hidden="1" x14ac:dyDescent="0.25">
      <c r="A1540" t="s">
        <v>1013</v>
      </c>
      <c r="B1540" t="s">
        <v>1019</v>
      </c>
      <c r="C1540" s="19">
        <v>2</v>
      </c>
      <c r="D1540" s="16" t="s">
        <v>915</v>
      </c>
      <c r="E1540" s="9" t="s">
        <v>834</v>
      </c>
      <c r="F1540" s="5" t="s">
        <v>24</v>
      </c>
      <c r="G1540" s="19">
        <v>1</v>
      </c>
      <c r="H1540" s="19">
        <v>3</v>
      </c>
      <c r="I1540" t="b">
        <v>1</v>
      </c>
      <c r="J1540" t="s">
        <v>917</v>
      </c>
      <c r="K1540" t="s">
        <v>32</v>
      </c>
      <c r="Q1540" t="s">
        <v>1019</v>
      </c>
      <c r="R1540" t="s">
        <v>1019</v>
      </c>
    </row>
    <row r="1541" spans="1:18" hidden="1" x14ac:dyDescent="0.25">
      <c r="A1541" t="s">
        <v>1013</v>
      </c>
      <c r="B1541" t="s">
        <v>1019</v>
      </c>
      <c r="C1541" s="19">
        <v>2</v>
      </c>
      <c r="D1541" s="16" t="s">
        <v>918</v>
      </c>
      <c r="E1541" s="9" t="s">
        <v>1016</v>
      </c>
      <c r="F1541" s="5" t="s">
        <v>25</v>
      </c>
      <c r="G1541" s="19">
        <v>4</v>
      </c>
      <c r="H1541" s="19">
        <v>7</v>
      </c>
      <c r="I1541" t="b">
        <v>1</v>
      </c>
      <c r="J1541" t="s">
        <v>920</v>
      </c>
      <c r="K1541" t="s">
        <v>32</v>
      </c>
      <c r="Q1541" t="s">
        <v>1019</v>
      </c>
      <c r="R1541" t="s">
        <v>1019</v>
      </c>
    </row>
    <row r="1542" spans="1:18" hidden="1" x14ac:dyDescent="0.25">
      <c r="A1542" s="84" t="s">
        <v>1013</v>
      </c>
      <c r="B1542" s="84" t="s">
        <v>1019</v>
      </c>
      <c r="C1542" s="85">
        <v>2</v>
      </c>
      <c r="D1542" s="104" t="s">
        <v>11</v>
      </c>
      <c r="E1542" s="87" t="s">
        <v>977</v>
      </c>
      <c r="F1542" s="88" t="s">
        <v>24</v>
      </c>
      <c r="G1542" s="85">
        <v>40</v>
      </c>
      <c r="H1542" s="85">
        <v>50</v>
      </c>
      <c r="I1542" s="84" t="b">
        <v>1</v>
      </c>
      <c r="J1542" s="84" t="s">
        <v>715</v>
      </c>
      <c r="K1542" s="84" t="s">
        <v>32</v>
      </c>
      <c r="L1542" s="84" t="s">
        <v>716</v>
      </c>
      <c r="M1542" s="84"/>
      <c r="N1542" s="84"/>
      <c r="O1542" s="84"/>
      <c r="P1542" s="84"/>
      <c r="Q1542" s="84" t="s">
        <v>1019</v>
      </c>
      <c r="R1542" s="84" t="s">
        <v>1019</v>
      </c>
    </row>
    <row r="1543" spans="1:18" hidden="1" x14ac:dyDescent="0.25">
      <c r="A1543" s="84" t="s">
        <v>1013</v>
      </c>
      <c r="B1543" s="84" t="s">
        <v>1019</v>
      </c>
      <c r="C1543" s="85">
        <v>2</v>
      </c>
      <c r="D1543" s="104" t="s">
        <v>936</v>
      </c>
      <c r="E1543" s="87" t="s">
        <v>937</v>
      </c>
      <c r="F1543" s="88" t="s">
        <v>24</v>
      </c>
      <c r="G1543" s="85">
        <v>20</v>
      </c>
      <c r="H1543" s="85">
        <v>30</v>
      </c>
      <c r="I1543" s="84" t="b">
        <v>1</v>
      </c>
      <c r="J1543" s="84" t="s">
        <v>938</v>
      </c>
      <c r="K1543" s="84" t="s">
        <v>32</v>
      </c>
      <c r="L1543" s="84" t="s">
        <v>716</v>
      </c>
      <c r="M1543" s="84"/>
      <c r="N1543" s="84"/>
      <c r="O1543" s="84"/>
      <c r="P1543" s="84"/>
      <c r="Q1543" s="84" t="s">
        <v>1019</v>
      </c>
      <c r="R1543" s="84" t="s">
        <v>1019</v>
      </c>
    </row>
    <row r="1544" spans="1:18" hidden="1" x14ac:dyDescent="0.25">
      <c r="A1544" s="84" t="s">
        <v>1013</v>
      </c>
      <c r="B1544" s="84" t="s">
        <v>1019</v>
      </c>
      <c r="C1544" s="85">
        <v>2</v>
      </c>
      <c r="D1544" s="104" t="s">
        <v>342</v>
      </c>
      <c r="E1544" s="87" t="s">
        <v>1020</v>
      </c>
      <c r="F1544" s="88" t="s">
        <v>24</v>
      </c>
      <c r="G1544" s="85">
        <v>4.3</v>
      </c>
      <c r="H1544" s="85">
        <v>4.7</v>
      </c>
      <c r="I1544" s="84" t="b">
        <v>1</v>
      </c>
      <c r="J1544" s="84" t="s">
        <v>343</v>
      </c>
      <c r="K1544" s="84" t="s">
        <v>32</v>
      </c>
      <c r="L1544" s="84" t="s">
        <v>716</v>
      </c>
      <c r="M1544" s="84"/>
      <c r="N1544" s="84"/>
      <c r="O1544" s="84"/>
      <c r="P1544" s="84"/>
      <c r="Q1544" s="84" t="s">
        <v>1019</v>
      </c>
      <c r="R1544" s="84" t="s">
        <v>1019</v>
      </c>
    </row>
    <row r="1545" spans="1:18" hidden="1" x14ac:dyDescent="0.25">
      <c r="A1545" t="s">
        <v>1013</v>
      </c>
      <c r="B1545" t="s">
        <v>1019</v>
      </c>
      <c r="C1545" s="19">
        <v>3</v>
      </c>
      <c r="D1545" s="16" t="s">
        <v>983</v>
      </c>
      <c r="E1545" s="9" t="s">
        <v>1128</v>
      </c>
      <c r="F1545" s="5" t="s">
        <v>25</v>
      </c>
      <c r="G1545" s="19">
        <v>0</v>
      </c>
      <c r="H1545" s="19">
        <v>3</v>
      </c>
      <c r="I1545" t="b">
        <v>1</v>
      </c>
      <c r="K1545" t="s">
        <v>32</v>
      </c>
      <c r="Q1545" t="s">
        <v>1019</v>
      </c>
      <c r="R1545" t="s">
        <v>1019</v>
      </c>
    </row>
    <row r="1546" spans="1:18" hidden="1" x14ac:dyDescent="0.25">
      <c r="A1546" t="s">
        <v>1013</v>
      </c>
      <c r="B1546" t="s">
        <v>1019</v>
      </c>
      <c r="C1546" s="19">
        <v>3</v>
      </c>
      <c r="D1546" s="16" t="s">
        <v>1101</v>
      </c>
      <c r="E1546" s="9" t="s">
        <v>1129</v>
      </c>
      <c r="F1546" s="5" t="s">
        <v>24</v>
      </c>
      <c r="G1546" s="19">
        <v>25</v>
      </c>
      <c r="H1546" s="19">
        <v>35</v>
      </c>
      <c r="I1546" t="b">
        <v>1</v>
      </c>
      <c r="K1546" t="s">
        <v>32</v>
      </c>
      <c r="Q1546" t="s">
        <v>1019</v>
      </c>
      <c r="R1546" t="s">
        <v>1019</v>
      </c>
    </row>
    <row r="1547" spans="1:18" hidden="1" x14ac:dyDescent="0.25">
      <c r="A1547" t="s">
        <v>1013</v>
      </c>
      <c r="B1547" t="s">
        <v>1019</v>
      </c>
      <c r="C1547" s="19">
        <v>3</v>
      </c>
      <c r="D1547" s="16" t="s">
        <v>927</v>
      </c>
      <c r="E1547" s="9" t="s">
        <v>1106</v>
      </c>
      <c r="F1547" s="5" t="s">
        <v>26</v>
      </c>
      <c r="G1547" s="19">
        <v>30</v>
      </c>
      <c r="H1547" s="19">
        <v>40</v>
      </c>
      <c r="I1547" t="b">
        <v>0</v>
      </c>
      <c r="K1547" t="s">
        <v>32</v>
      </c>
      <c r="Q1547" t="s">
        <v>1019</v>
      </c>
      <c r="R1547" t="s">
        <v>1019</v>
      </c>
    </row>
    <row r="1548" spans="1:18" hidden="1" x14ac:dyDescent="0.25">
      <c r="A1548" t="s">
        <v>1013</v>
      </c>
      <c r="B1548" t="s">
        <v>1019</v>
      </c>
      <c r="C1548" s="19">
        <v>3</v>
      </c>
      <c r="D1548" s="16" t="s">
        <v>407</v>
      </c>
      <c r="E1548" s="9" t="s">
        <v>1112</v>
      </c>
      <c r="F1548" s="5" t="s">
        <v>26</v>
      </c>
      <c r="G1548" s="19">
        <v>3</v>
      </c>
      <c r="H1548" s="19">
        <v>13</v>
      </c>
      <c r="I1548" t="b">
        <v>0</v>
      </c>
      <c r="K1548" t="s">
        <v>32</v>
      </c>
      <c r="Q1548" t="s">
        <v>1019</v>
      </c>
      <c r="R1548" t="s">
        <v>1019</v>
      </c>
    </row>
    <row r="1549" spans="1:18" hidden="1" x14ac:dyDescent="0.25">
      <c r="A1549" t="s">
        <v>1013</v>
      </c>
      <c r="B1549" t="s">
        <v>1019</v>
      </c>
      <c r="C1549" s="19">
        <v>3</v>
      </c>
      <c r="D1549" s="16" t="s">
        <v>924</v>
      </c>
      <c r="E1549" s="89" t="s">
        <v>1136</v>
      </c>
      <c r="F1549" s="5" t="s">
        <v>26</v>
      </c>
      <c r="G1549" s="19">
        <v>45</v>
      </c>
      <c r="H1549" s="19">
        <v>55</v>
      </c>
      <c r="I1549" t="b">
        <v>0</v>
      </c>
      <c r="K1549" t="s">
        <v>32</v>
      </c>
      <c r="Q1549" t="s">
        <v>1019</v>
      </c>
      <c r="R1549" t="s">
        <v>1019</v>
      </c>
    </row>
    <row r="1550" spans="1:18" hidden="1" x14ac:dyDescent="0.25">
      <c r="A1550" s="84" t="s">
        <v>1013</v>
      </c>
      <c r="B1550" s="84" t="s">
        <v>1019</v>
      </c>
      <c r="C1550" s="85">
        <v>3</v>
      </c>
      <c r="D1550" s="104" t="s">
        <v>909</v>
      </c>
      <c r="E1550" s="87" t="s">
        <v>834</v>
      </c>
      <c r="F1550" s="88" t="s">
        <v>24</v>
      </c>
      <c r="G1550" s="85">
        <v>1</v>
      </c>
      <c r="H1550" s="85">
        <v>3</v>
      </c>
      <c r="I1550" s="84" t="b">
        <v>1</v>
      </c>
      <c r="J1550" s="84"/>
      <c r="K1550" s="84" t="s">
        <v>32</v>
      </c>
      <c r="L1550" s="84" t="s">
        <v>944</v>
      </c>
      <c r="M1550" s="84"/>
      <c r="N1550" s="84"/>
      <c r="O1550" s="84"/>
      <c r="P1550" s="84"/>
      <c r="Q1550" s="84" t="s">
        <v>1019</v>
      </c>
      <c r="R1550" s="84" t="s">
        <v>1019</v>
      </c>
    </row>
    <row r="1551" spans="1:18" hidden="1" x14ac:dyDescent="0.25">
      <c r="A1551" s="84" t="s">
        <v>1013</v>
      </c>
      <c r="B1551" s="84" t="s">
        <v>1019</v>
      </c>
      <c r="C1551" s="85">
        <v>3</v>
      </c>
      <c r="D1551" s="104" t="s">
        <v>912</v>
      </c>
      <c r="E1551" s="87" t="s">
        <v>919</v>
      </c>
      <c r="F1551" s="88" t="s">
        <v>25</v>
      </c>
      <c r="G1551" s="85">
        <v>2</v>
      </c>
      <c r="H1551" s="85">
        <v>5</v>
      </c>
      <c r="I1551" s="84" t="b">
        <v>1</v>
      </c>
      <c r="J1551" s="84"/>
      <c r="K1551" s="84" t="s">
        <v>32</v>
      </c>
      <c r="L1551" s="84" t="s">
        <v>944</v>
      </c>
      <c r="M1551" s="84"/>
      <c r="N1551" s="84"/>
      <c r="O1551" s="84"/>
      <c r="P1551" s="84"/>
      <c r="Q1551" s="84" t="s">
        <v>1019</v>
      </c>
      <c r="R1551" s="84" t="s">
        <v>1019</v>
      </c>
    </row>
    <row r="1552" spans="1:18" hidden="1" x14ac:dyDescent="0.25">
      <c r="A1552" s="84" t="s">
        <v>1013</v>
      </c>
      <c r="B1552" s="84" t="s">
        <v>1019</v>
      </c>
      <c r="C1552" s="85">
        <v>3</v>
      </c>
      <c r="D1552" s="104" t="s">
        <v>915</v>
      </c>
      <c r="E1552" s="87" t="s">
        <v>725</v>
      </c>
      <c r="F1552" s="88" t="s">
        <v>25</v>
      </c>
      <c r="G1552" s="85">
        <v>0</v>
      </c>
      <c r="H1552" s="85">
        <v>1</v>
      </c>
      <c r="I1552" s="84" t="b">
        <v>1</v>
      </c>
      <c r="J1552" s="84"/>
      <c r="K1552" s="84" t="s">
        <v>32</v>
      </c>
      <c r="L1552" s="84" t="s">
        <v>944</v>
      </c>
      <c r="M1552" s="84"/>
      <c r="N1552" s="84"/>
      <c r="O1552" s="84"/>
      <c r="P1552" s="84"/>
      <c r="Q1552" s="84" t="s">
        <v>1019</v>
      </c>
      <c r="R1552" s="84" t="s">
        <v>1019</v>
      </c>
    </row>
    <row r="1553" spans="1:18" hidden="1" x14ac:dyDescent="0.25">
      <c r="A1553" s="84" t="s">
        <v>1013</v>
      </c>
      <c r="B1553" s="84" t="s">
        <v>1019</v>
      </c>
      <c r="C1553" s="85">
        <v>3</v>
      </c>
      <c r="D1553" s="104" t="s">
        <v>918</v>
      </c>
      <c r="E1553" s="87" t="s">
        <v>941</v>
      </c>
      <c r="F1553" s="88" t="s">
        <v>25</v>
      </c>
      <c r="G1553" s="85">
        <v>1</v>
      </c>
      <c r="H1553" s="85">
        <v>4</v>
      </c>
      <c r="I1553" s="84" t="b">
        <v>1</v>
      </c>
      <c r="J1553" s="84"/>
      <c r="K1553" s="84" t="s">
        <v>32</v>
      </c>
      <c r="L1553" s="84" t="s">
        <v>944</v>
      </c>
      <c r="M1553" s="84"/>
      <c r="N1553" s="84"/>
      <c r="O1553" s="84"/>
      <c r="P1553" s="84"/>
      <c r="Q1553" s="84" t="s">
        <v>1019</v>
      </c>
      <c r="R1553" s="84" t="s">
        <v>1019</v>
      </c>
    </row>
    <row r="1554" spans="1:18" hidden="1" x14ac:dyDescent="0.25">
      <c r="A1554" s="105" t="s">
        <v>1013</v>
      </c>
      <c r="B1554" s="105" t="s">
        <v>1019</v>
      </c>
      <c r="C1554" s="106">
        <v>3</v>
      </c>
      <c r="D1554" s="107" t="s">
        <v>11</v>
      </c>
      <c r="E1554" s="94" t="s">
        <v>976</v>
      </c>
      <c r="F1554" s="94" t="s">
        <v>25</v>
      </c>
      <c r="G1554" s="106">
        <v>35</v>
      </c>
      <c r="H1554" s="106">
        <v>40</v>
      </c>
      <c r="I1554" s="105" t="b">
        <v>1</v>
      </c>
      <c r="J1554" s="105"/>
      <c r="K1554" s="105" t="s">
        <v>32</v>
      </c>
      <c r="L1554" s="105" t="s">
        <v>947</v>
      </c>
      <c r="M1554" s="105"/>
      <c r="N1554" s="105"/>
      <c r="O1554" s="105"/>
      <c r="P1554" s="105"/>
      <c r="Q1554" s="105" t="s">
        <v>1019</v>
      </c>
      <c r="R1554" s="105" t="s">
        <v>1019</v>
      </c>
    </row>
    <row r="1555" spans="1:18" hidden="1" x14ac:dyDescent="0.25">
      <c r="A1555" s="105" t="s">
        <v>1013</v>
      </c>
      <c r="B1555" s="105" t="s">
        <v>1019</v>
      </c>
      <c r="C1555" s="106">
        <v>3</v>
      </c>
      <c r="D1555" s="107" t="s">
        <v>936</v>
      </c>
      <c r="E1555" s="94" t="s">
        <v>1114</v>
      </c>
      <c r="F1555" s="94" t="s">
        <v>25</v>
      </c>
      <c r="G1555" s="106">
        <v>13</v>
      </c>
      <c r="H1555" s="106">
        <v>20</v>
      </c>
      <c r="I1555" s="105" t="b">
        <v>1</v>
      </c>
      <c r="J1555" s="105"/>
      <c r="K1555" s="105" t="s">
        <v>32</v>
      </c>
      <c r="L1555" s="105" t="s">
        <v>947</v>
      </c>
      <c r="M1555" s="105"/>
      <c r="N1555" s="105"/>
      <c r="O1555" s="105"/>
      <c r="P1555" s="105"/>
      <c r="Q1555" s="105" t="s">
        <v>1019</v>
      </c>
      <c r="R1555" s="105" t="s">
        <v>1019</v>
      </c>
    </row>
    <row r="1556" spans="1:18" hidden="1" x14ac:dyDescent="0.25">
      <c r="A1556" s="105" t="s">
        <v>1013</v>
      </c>
      <c r="B1556" s="105" t="s">
        <v>1019</v>
      </c>
      <c r="C1556" s="106">
        <v>3</v>
      </c>
      <c r="D1556" s="107" t="s">
        <v>342</v>
      </c>
      <c r="E1556" s="94" t="s">
        <v>1137</v>
      </c>
      <c r="F1556" s="94" t="s">
        <v>25</v>
      </c>
      <c r="G1556" s="106">
        <v>3.3</v>
      </c>
      <c r="H1556" s="106">
        <v>4</v>
      </c>
      <c r="I1556" s="105" t="b">
        <v>1</v>
      </c>
      <c r="J1556" s="105"/>
      <c r="K1556" s="105" t="s">
        <v>32</v>
      </c>
      <c r="L1556" s="105" t="s">
        <v>947</v>
      </c>
      <c r="M1556" s="105"/>
      <c r="N1556" s="105"/>
      <c r="O1556" s="105"/>
      <c r="P1556" s="105"/>
      <c r="Q1556" s="105" t="s">
        <v>1019</v>
      </c>
      <c r="R1556" s="105" t="s">
        <v>1019</v>
      </c>
    </row>
    <row r="1557" spans="1:18" hidden="1" x14ac:dyDescent="0.25">
      <c r="A1557" t="s">
        <v>1013</v>
      </c>
      <c r="B1557" t="s">
        <v>1019</v>
      </c>
      <c r="C1557" s="19">
        <v>4</v>
      </c>
      <c r="D1557" s="16" t="s">
        <v>1116</v>
      </c>
      <c r="E1557" s="9" t="s">
        <v>1117</v>
      </c>
      <c r="F1557" s="5" t="s">
        <v>25</v>
      </c>
      <c r="G1557" s="19">
        <v>-0.5</v>
      </c>
      <c r="H1557" s="19">
        <v>2</v>
      </c>
      <c r="I1557" t="b">
        <v>1</v>
      </c>
      <c r="K1557" t="s">
        <v>32</v>
      </c>
      <c r="Q1557" t="s">
        <v>1019</v>
      </c>
      <c r="R1557" t="s">
        <v>1019</v>
      </c>
    </row>
    <row r="1558" spans="1:18" hidden="1" x14ac:dyDescent="0.25">
      <c r="A1558" t="s">
        <v>1013</v>
      </c>
      <c r="B1558" t="s">
        <v>1019</v>
      </c>
      <c r="C1558" s="19">
        <v>4</v>
      </c>
      <c r="D1558" s="16" t="s">
        <v>1101</v>
      </c>
      <c r="E1558" s="9" t="s">
        <v>1138</v>
      </c>
      <c r="F1558" s="5" t="s">
        <v>24</v>
      </c>
      <c r="G1558" s="19">
        <v>15</v>
      </c>
      <c r="H1558" s="19">
        <v>25</v>
      </c>
      <c r="I1558" t="b">
        <v>1</v>
      </c>
      <c r="K1558" t="s">
        <v>32</v>
      </c>
      <c r="Q1558" t="s">
        <v>1019</v>
      </c>
      <c r="R1558" t="s">
        <v>1019</v>
      </c>
    </row>
    <row r="1559" spans="1:18" hidden="1" x14ac:dyDescent="0.25">
      <c r="A1559" t="s">
        <v>1013</v>
      </c>
      <c r="B1559" t="s">
        <v>1019</v>
      </c>
      <c r="C1559" s="19">
        <v>4</v>
      </c>
      <c r="D1559" s="16" t="s">
        <v>407</v>
      </c>
      <c r="E1559" s="9" t="s">
        <v>1120</v>
      </c>
      <c r="F1559" s="5" t="s">
        <v>26</v>
      </c>
      <c r="G1559" s="19">
        <v>15</v>
      </c>
      <c r="H1559" s="19">
        <v>25</v>
      </c>
      <c r="I1559" t="b">
        <v>0</v>
      </c>
      <c r="K1559" t="s">
        <v>32</v>
      </c>
      <c r="Q1559" t="s">
        <v>1019</v>
      </c>
      <c r="R1559" t="s">
        <v>1019</v>
      </c>
    </row>
    <row r="1560" spans="1:18" hidden="1" x14ac:dyDescent="0.25">
      <c r="A1560" s="84" t="s">
        <v>1013</v>
      </c>
      <c r="B1560" s="84" t="s">
        <v>1019</v>
      </c>
      <c r="C1560" s="85">
        <v>4</v>
      </c>
      <c r="D1560" s="104" t="s">
        <v>924</v>
      </c>
      <c r="E1560" s="87" t="s">
        <v>1121</v>
      </c>
      <c r="F1560" s="88" t="s">
        <v>26</v>
      </c>
      <c r="G1560" s="85">
        <v>70</v>
      </c>
      <c r="H1560" s="85">
        <v>80</v>
      </c>
      <c r="I1560" s="84" t="b">
        <v>0</v>
      </c>
      <c r="J1560" s="84"/>
      <c r="K1560" s="84" t="s">
        <v>32</v>
      </c>
      <c r="L1560" s="84" t="s">
        <v>716</v>
      </c>
      <c r="M1560" s="84"/>
      <c r="N1560" s="84"/>
      <c r="O1560" s="84"/>
      <c r="P1560" s="84"/>
      <c r="Q1560" s="84" t="s">
        <v>1019</v>
      </c>
      <c r="R1560" s="84" t="s">
        <v>1019</v>
      </c>
    </row>
    <row r="1561" spans="1:18" hidden="1" x14ac:dyDescent="0.25">
      <c r="A1561" s="84" t="s">
        <v>1013</v>
      </c>
      <c r="B1561" s="84" t="s">
        <v>1019</v>
      </c>
      <c r="C1561" s="85">
        <v>4</v>
      </c>
      <c r="D1561" s="104" t="s">
        <v>11</v>
      </c>
      <c r="E1561" s="87" t="s">
        <v>993</v>
      </c>
      <c r="F1561" s="88" t="s">
        <v>25</v>
      </c>
      <c r="G1561" s="85">
        <v>30</v>
      </c>
      <c r="H1561" s="85">
        <v>35</v>
      </c>
      <c r="I1561" s="84" t="b">
        <v>1</v>
      </c>
      <c r="J1561" s="84"/>
      <c r="K1561" s="84" t="s">
        <v>32</v>
      </c>
      <c r="L1561" s="84" t="s">
        <v>716</v>
      </c>
      <c r="M1561" s="84"/>
      <c r="N1561" s="84"/>
      <c r="O1561" s="84"/>
      <c r="P1561" s="84"/>
      <c r="Q1561" s="84" t="s">
        <v>1019</v>
      </c>
      <c r="R1561" s="84" t="s">
        <v>1019</v>
      </c>
    </row>
    <row r="1562" spans="1:18" hidden="1" x14ac:dyDescent="0.25">
      <c r="A1562" s="84" t="s">
        <v>1013</v>
      </c>
      <c r="B1562" s="84" t="s">
        <v>1019</v>
      </c>
      <c r="C1562" s="85">
        <v>4</v>
      </c>
      <c r="D1562" s="104" t="s">
        <v>936</v>
      </c>
      <c r="E1562" s="87" t="s">
        <v>952</v>
      </c>
      <c r="F1562" s="88" t="s">
        <v>25</v>
      </c>
      <c r="G1562" s="85">
        <v>10</v>
      </c>
      <c r="H1562" s="85">
        <v>15</v>
      </c>
      <c r="I1562" s="84" t="b">
        <v>1</v>
      </c>
      <c r="J1562" s="84"/>
      <c r="K1562" s="84" t="s">
        <v>32</v>
      </c>
      <c r="L1562" s="84" t="s">
        <v>716</v>
      </c>
      <c r="M1562" s="84"/>
      <c r="N1562" s="84"/>
      <c r="O1562" s="84"/>
      <c r="P1562" s="84"/>
      <c r="Q1562" s="84" t="s">
        <v>1019</v>
      </c>
      <c r="R1562" s="84" t="s">
        <v>1019</v>
      </c>
    </row>
    <row r="1563" spans="1:18" hidden="1" x14ac:dyDescent="0.25">
      <c r="A1563" s="84" t="s">
        <v>1013</v>
      </c>
      <c r="B1563" s="84" t="s">
        <v>1019</v>
      </c>
      <c r="C1563" s="85">
        <v>4</v>
      </c>
      <c r="D1563" s="104" t="s">
        <v>342</v>
      </c>
      <c r="E1563" s="96" t="s">
        <v>1139</v>
      </c>
      <c r="F1563" s="88" t="s">
        <v>24</v>
      </c>
      <c r="G1563" s="85">
        <v>2.8</v>
      </c>
      <c r="H1563" s="85">
        <v>3.3</v>
      </c>
      <c r="I1563" s="84" t="b">
        <v>1</v>
      </c>
      <c r="J1563" s="84"/>
      <c r="K1563" s="84" t="s">
        <v>32</v>
      </c>
      <c r="L1563" s="84" t="s">
        <v>716</v>
      </c>
      <c r="M1563" s="84"/>
      <c r="N1563" s="84"/>
      <c r="O1563" s="84"/>
      <c r="P1563" s="84"/>
      <c r="Q1563" s="84" t="s">
        <v>1019</v>
      </c>
      <c r="R1563" s="84" t="s">
        <v>1019</v>
      </c>
    </row>
    <row r="1564" spans="1:18" hidden="1" x14ac:dyDescent="0.25">
      <c r="A1564" s="97" t="s">
        <v>1013</v>
      </c>
      <c r="B1564" s="97" t="s">
        <v>1019</v>
      </c>
      <c r="C1564" s="98">
        <v>5</v>
      </c>
      <c r="D1564" s="108" t="s">
        <v>1116</v>
      </c>
      <c r="E1564" s="100" t="s">
        <v>1117</v>
      </c>
      <c r="F1564" s="101" t="s">
        <v>25</v>
      </c>
      <c r="G1564" s="98">
        <v>-0.5</v>
      </c>
      <c r="H1564" s="98">
        <v>2</v>
      </c>
      <c r="I1564" s="97" t="b">
        <v>1</v>
      </c>
      <c r="J1564" s="97"/>
      <c r="K1564" s="97" t="s">
        <v>32</v>
      </c>
      <c r="L1564" s="97" t="s">
        <v>716</v>
      </c>
      <c r="M1564" s="97"/>
      <c r="N1564" s="97"/>
      <c r="O1564" s="97"/>
      <c r="P1564" s="97"/>
      <c r="Q1564" s="97" t="s">
        <v>1019</v>
      </c>
      <c r="R1564" s="97" t="s">
        <v>1019</v>
      </c>
    </row>
    <row r="1565" spans="1:18" hidden="1" x14ac:dyDescent="0.25">
      <c r="A1565" s="97" t="s">
        <v>1013</v>
      </c>
      <c r="B1565" s="97" t="s">
        <v>1019</v>
      </c>
      <c r="C1565" s="98">
        <v>5</v>
      </c>
      <c r="D1565" s="108" t="s">
        <v>11</v>
      </c>
      <c r="E1565" s="100" t="s">
        <v>950</v>
      </c>
      <c r="F1565" s="101" t="s">
        <v>25</v>
      </c>
      <c r="G1565" s="98">
        <v>25</v>
      </c>
      <c r="H1565" s="98">
        <v>30</v>
      </c>
      <c r="I1565" s="97" t="b">
        <v>1</v>
      </c>
      <c r="J1565" s="97"/>
      <c r="K1565" s="97" t="s">
        <v>32</v>
      </c>
      <c r="L1565" s="97" t="s">
        <v>716</v>
      </c>
      <c r="M1565" s="97"/>
      <c r="N1565" s="97"/>
      <c r="O1565" s="97"/>
      <c r="P1565" s="97"/>
      <c r="Q1565" s="97" t="s">
        <v>1019</v>
      </c>
      <c r="R1565" s="97" t="s">
        <v>1019</v>
      </c>
    </row>
    <row r="1566" spans="1:18" hidden="1" x14ac:dyDescent="0.25">
      <c r="A1566" s="97" t="s">
        <v>1013</v>
      </c>
      <c r="B1566" s="97" t="s">
        <v>1019</v>
      </c>
      <c r="C1566" s="98">
        <v>5</v>
      </c>
      <c r="D1566" s="108" t="s">
        <v>407</v>
      </c>
      <c r="E1566" s="100" t="s">
        <v>1136</v>
      </c>
      <c r="F1566" s="101" t="s">
        <v>26</v>
      </c>
      <c r="G1566" s="98">
        <v>45</v>
      </c>
      <c r="H1566" s="98">
        <v>55</v>
      </c>
      <c r="I1566" s="97" t="b">
        <v>0</v>
      </c>
      <c r="J1566" s="97"/>
      <c r="K1566" s="97" t="s">
        <v>32</v>
      </c>
      <c r="L1566" s="97" t="s">
        <v>716</v>
      </c>
      <c r="M1566" s="97"/>
      <c r="N1566" s="97"/>
      <c r="O1566" s="97"/>
      <c r="P1566" s="97"/>
      <c r="Q1566" s="97" t="s">
        <v>1019</v>
      </c>
      <c r="R1566" s="97" t="s">
        <v>1019</v>
      </c>
    </row>
    <row r="1567" spans="1:18" hidden="1" x14ac:dyDescent="0.25">
      <c r="A1567" s="97" t="s">
        <v>1013</v>
      </c>
      <c r="B1567" s="97" t="s">
        <v>1019</v>
      </c>
      <c r="C1567" s="98">
        <v>5</v>
      </c>
      <c r="D1567" s="108" t="s">
        <v>924</v>
      </c>
      <c r="E1567" s="100" t="s">
        <v>1124</v>
      </c>
      <c r="F1567" s="101" t="s">
        <v>26</v>
      </c>
      <c r="G1567" s="98">
        <v>85</v>
      </c>
      <c r="H1567" s="98">
        <v>95</v>
      </c>
      <c r="I1567" s="97" t="b">
        <v>0</v>
      </c>
      <c r="J1567" s="97"/>
      <c r="K1567" s="97" t="s">
        <v>32</v>
      </c>
      <c r="L1567" s="97" t="s">
        <v>716</v>
      </c>
      <c r="M1567" s="97"/>
      <c r="N1567" s="97"/>
      <c r="O1567" s="97"/>
      <c r="P1567" s="97"/>
      <c r="Q1567" s="97" t="s">
        <v>1019</v>
      </c>
      <c r="R1567" s="97" t="s">
        <v>1019</v>
      </c>
    </row>
    <row r="1568" spans="1:18" hidden="1" x14ac:dyDescent="0.25">
      <c r="A1568" s="97" t="s">
        <v>1013</v>
      </c>
      <c r="B1568" s="97" t="s">
        <v>1019</v>
      </c>
      <c r="C1568" s="98">
        <v>5</v>
      </c>
      <c r="D1568" s="108" t="s">
        <v>342</v>
      </c>
      <c r="E1568" s="100" t="s">
        <v>1140</v>
      </c>
      <c r="F1568" s="101" t="s">
        <v>24</v>
      </c>
      <c r="G1568" s="98">
        <v>1.8</v>
      </c>
      <c r="H1568" s="98">
        <v>2.2000000000000002</v>
      </c>
      <c r="I1568" s="97" t="b">
        <v>1</v>
      </c>
      <c r="J1568" s="97"/>
      <c r="K1568" s="97" t="s">
        <v>32</v>
      </c>
      <c r="L1568" s="97" t="s">
        <v>716</v>
      </c>
      <c r="M1568" s="97"/>
      <c r="N1568" s="97"/>
      <c r="O1568" s="97"/>
      <c r="P1568" s="97"/>
      <c r="Q1568" s="97" t="s">
        <v>1019</v>
      </c>
      <c r="R1568" s="97" t="s">
        <v>1019</v>
      </c>
    </row>
    <row r="1569" spans="1:19" hidden="1" x14ac:dyDescent="0.25">
      <c r="A1569" t="s">
        <v>1146</v>
      </c>
      <c r="B1569" t="s">
        <v>1147</v>
      </c>
      <c r="C1569">
        <v>2</v>
      </c>
      <c r="D1569" t="s">
        <v>11</v>
      </c>
      <c r="E1569" t="s">
        <v>541</v>
      </c>
      <c r="F1569" s="5" t="s">
        <v>24</v>
      </c>
      <c r="G1569" s="19">
        <v>35</v>
      </c>
      <c r="H1569" s="19">
        <v>45</v>
      </c>
      <c r="I1569" t="b">
        <v>1</v>
      </c>
      <c r="J1569" t="s">
        <v>0</v>
      </c>
      <c r="K1569" t="s">
        <v>32</v>
      </c>
      <c r="Q1569" t="s">
        <v>1148</v>
      </c>
      <c r="R1569" t="s">
        <v>1148</v>
      </c>
      <c r="S1569" s="109">
        <v>1</v>
      </c>
    </row>
    <row r="1570" spans="1:19" hidden="1" x14ac:dyDescent="0.25">
      <c r="A1570" t="s">
        <v>1146</v>
      </c>
      <c r="B1570" t="s">
        <v>1147</v>
      </c>
      <c r="C1570">
        <v>2</v>
      </c>
      <c r="D1570" t="s">
        <v>13</v>
      </c>
      <c r="E1570" t="s">
        <v>1149</v>
      </c>
      <c r="F1570" s="5" t="s">
        <v>25</v>
      </c>
      <c r="G1570" s="19">
        <v>16</v>
      </c>
      <c r="H1570" s="19">
        <v>21</v>
      </c>
      <c r="I1570" t="b">
        <v>1</v>
      </c>
      <c r="J1570" t="s">
        <v>10</v>
      </c>
      <c r="K1570" t="s">
        <v>32</v>
      </c>
      <c r="Q1570" t="s">
        <v>1148</v>
      </c>
      <c r="R1570" t="s">
        <v>1148</v>
      </c>
      <c r="S1570" s="6">
        <v>2</v>
      </c>
    </row>
    <row r="1571" spans="1:19" hidden="1" x14ac:dyDescent="0.25">
      <c r="A1571" t="s">
        <v>1146</v>
      </c>
      <c r="B1571" t="s">
        <v>1147</v>
      </c>
      <c r="C1571">
        <v>2</v>
      </c>
      <c r="D1571" t="s">
        <v>1150</v>
      </c>
      <c r="E1571" t="s">
        <v>1243</v>
      </c>
      <c r="F1571" s="5" t="s">
        <v>26</v>
      </c>
      <c r="G1571" s="19">
        <v>30</v>
      </c>
      <c r="H1571" s="19">
        <v>40</v>
      </c>
      <c r="I1571" t="b">
        <v>0</v>
      </c>
      <c r="J1571" t="s">
        <v>1151</v>
      </c>
      <c r="K1571" t="s">
        <v>32</v>
      </c>
      <c r="Q1571" t="s">
        <v>1148</v>
      </c>
      <c r="R1571" t="s">
        <v>1148</v>
      </c>
      <c r="S1571" s="109">
        <v>7</v>
      </c>
    </row>
    <row r="1572" spans="1:19" hidden="1" x14ac:dyDescent="0.25">
      <c r="A1572" t="s">
        <v>1146</v>
      </c>
      <c r="B1572" t="s">
        <v>1147</v>
      </c>
      <c r="C1572">
        <v>2</v>
      </c>
      <c r="D1572" t="s">
        <v>29</v>
      </c>
      <c r="E1572" t="s">
        <v>1152</v>
      </c>
      <c r="F1572" s="5" t="s">
        <v>25</v>
      </c>
      <c r="G1572" s="19">
        <v>4</v>
      </c>
      <c r="H1572" s="19">
        <v>9</v>
      </c>
      <c r="I1572" t="b">
        <v>1</v>
      </c>
      <c r="J1572" t="s">
        <v>1153</v>
      </c>
      <c r="K1572" t="s">
        <v>32</v>
      </c>
      <c r="Q1572" t="s">
        <v>1148</v>
      </c>
      <c r="R1572" t="s">
        <v>1148</v>
      </c>
      <c r="S1572" s="6">
        <v>6</v>
      </c>
    </row>
    <row r="1573" spans="1:19" hidden="1" x14ac:dyDescent="0.25">
      <c r="A1573" t="s">
        <v>1146</v>
      </c>
      <c r="B1573" t="s">
        <v>1147</v>
      </c>
      <c r="C1573">
        <v>2</v>
      </c>
      <c r="D1573" t="s">
        <v>1154</v>
      </c>
      <c r="E1573" t="s">
        <v>1155</v>
      </c>
      <c r="F1573" s="5" t="s">
        <v>25</v>
      </c>
      <c r="G1573" s="19">
        <v>5</v>
      </c>
      <c r="H1573" s="19">
        <v>10</v>
      </c>
      <c r="I1573" t="b">
        <v>1</v>
      </c>
      <c r="J1573" t="s">
        <v>1156</v>
      </c>
      <c r="K1573" t="s">
        <v>32</v>
      </c>
      <c r="Q1573" t="s">
        <v>1148</v>
      </c>
      <c r="R1573" t="s">
        <v>1148</v>
      </c>
      <c r="S1573" s="6">
        <v>8</v>
      </c>
    </row>
    <row r="1574" spans="1:19" hidden="1" x14ac:dyDescent="0.25">
      <c r="A1574" t="s">
        <v>1146</v>
      </c>
      <c r="B1574" t="s">
        <v>1147</v>
      </c>
      <c r="C1574">
        <v>2</v>
      </c>
      <c r="D1574" t="s">
        <v>1157</v>
      </c>
      <c r="E1574" t="s">
        <v>1244</v>
      </c>
      <c r="F1574" s="5" t="s">
        <v>26</v>
      </c>
      <c r="G1574" s="19">
        <v>0</v>
      </c>
      <c r="H1574" s="19">
        <v>4</v>
      </c>
      <c r="I1574" t="b">
        <v>0</v>
      </c>
      <c r="J1574" t="s">
        <v>1158</v>
      </c>
      <c r="K1574" t="s">
        <v>32</v>
      </c>
      <c r="Q1574" t="s">
        <v>1148</v>
      </c>
      <c r="R1574" t="s">
        <v>1148</v>
      </c>
      <c r="S1574" s="6">
        <v>5</v>
      </c>
    </row>
    <row r="1575" spans="1:19" hidden="1" x14ac:dyDescent="0.25">
      <c r="A1575" t="s">
        <v>1146</v>
      </c>
      <c r="B1575" t="s">
        <v>1147</v>
      </c>
      <c r="C1575">
        <v>2</v>
      </c>
      <c r="D1575" t="s">
        <v>144</v>
      </c>
      <c r="E1575" t="s">
        <v>1159</v>
      </c>
      <c r="F1575" s="5" t="s">
        <v>25</v>
      </c>
      <c r="G1575" s="19">
        <v>3</v>
      </c>
      <c r="H1575" s="19">
        <v>6</v>
      </c>
      <c r="I1575" t="b">
        <v>1</v>
      </c>
      <c r="J1575" t="s">
        <v>1160</v>
      </c>
      <c r="K1575" t="s">
        <v>32</v>
      </c>
      <c r="Q1575" t="s">
        <v>1148</v>
      </c>
      <c r="R1575" t="s">
        <v>1148</v>
      </c>
      <c r="S1575" s="109">
        <v>9</v>
      </c>
    </row>
    <row r="1576" spans="1:19" hidden="1" x14ac:dyDescent="0.25">
      <c r="A1576" t="s">
        <v>1146</v>
      </c>
      <c r="B1576" t="s">
        <v>1147</v>
      </c>
      <c r="C1576">
        <v>2</v>
      </c>
      <c r="D1576" t="s">
        <v>1161</v>
      </c>
      <c r="E1576" t="s">
        <v>1162</v>
      </c>
      <c r="F1576" s="5" t="s">
        <v>27</v>
      </c>
      <c r="G1576" s="19">
        <v>5</v>
      </c>
      <c r="H1576" s="19">
        <v>10</v>
      </c>
      <c r="I1576" t="b">
        <v>0</v>
      </c>
      <c r="J1576" t="s">
        <v>1163</v>
      </c>
      <c r="K1576" t="s">
        <v>32</v>
      </c>
      <c r="Q1576" t="s">
        <v>1148</v>
      </c>
      <c r="R1576" t="s">
        <v>1148</v>
      </c>
      <c r="S1576" s="109">
        <v>4</v>
      </c>
    </row>
    <row r="1577" spans="1:19" hidden="1" x14ac:dyDescent="0.25">
      <c r="A1577" t="s">
        <v>1146</v>
      </c>
      <c r="B1577" t="s">
        <v>1147</v>
      </c>
      <c r="C1577">
        <v>2</v>
      </c>
      <c r="D1577" t="s">
        <v>109</v>
      </c>
      <c r="E1577" t="s">
        <v>1245</v>
      </c>
      <c r="F1577" s="5" t="s">
        <v>26</v>
      </c>
      <c r="G1577" s="19">
        <v>10</v>
      </c>
      <c r="H1577" s="19">
        <v>20</v>
      </c>
      <c r="I1577" t="b">
        <v>0</v>
      </c>
      <c r="J1577" t="s">
        <v>1164</v>
      </c>
      <c r="K1577" t="s">
        <v>32</v>
      </c>
      <c r="Q1577" t="s">
        <v>1148</v>
      </c>
      <c r="R1577" t="s">
        <v>1148</v>
      </c>
      <c r="S1577" s="109">
        <v>3</v>
      </c>
    </row>
    <row r="1578" spans="1:19" hidden="1" x14ac:dyDescent="0.25">
      <c r="A1578" t="s">
        <v>1146</v>
      </c>
      <c r="B1578" t="s">
        <v>1147</v>
      </c>
      <c r="C1578">
        <v>3</v>
      </c>
      <c r="D1578" t="s">
        <v>11</v>
      </c>
      <c r="E1578" t="s">
        <v>1165</v>
      </c>
      <c r="F1578" s="5" t="s">
        <v>25</v>
      </c>
      <c r="G1578" s="19">
        <v>30</v>
      </c>
      <c r="H1578" s="19">
        <v>35</v>
      </c>
      <c r="I1578" t="b">
        <v>1</v>
      </c>
      <c r="J1578" t="s">
        <v>0</v>
      </c>
      <c r="K1578" t="s">
        <v>32</v>
      </c>
      <c r="Q1578" t="s">
        <v>1148</v>
      </c>
      <c r="R1578" t="s">
        <v>1148</v>
      </c>
      <c r="S1578" s="109">
        <v>1</v>
      </c>
    </row>
    <row r="1579" spans="1:19" hidden="1" x14ac:dyDescent="0.25">
      <c r="A1579" t="s">
        <v>1146</v>
      </c>
      <c r="B1579" t="s">
        <v>1147</v>
      </c>
      <c r="C1579">
        <v>3</v>
      </c>
      <c r="D1579" t="s">
        <v>13</v>
      </c>
      <c r="E1579" t="s">
        <v>1166</v>
      </c>
      <c r="F1579" s="5" t="s">
        <v>25</v>
      </c>
      <c r="G1579" s="19">
        <v>11</v>
      </c>
      <c r="H1579" s="19">
        <v>16</v>
      </c>
      <c r="I1579" t="b">
        <v>1</v>
      </c>
      <c r="J1579" t="s">
        <v>10</v>
      </c>
      <c r="K1579" t="s">
        <v>32</v>
      </c>
      <c r="Q1579" t="s">
        <v>1148</v>
      </c>
      <c r="R1579" t="s">
        <v>1148</v>
      </c>
      <c r="S1579" s="6">
        <v>2</v>
      </c>
    </row>
    <row r="1580" spans="1:19" hidden="1" x14ac:dyDescent="0.25">
      <c r="A1580" t="s">
        <v>1146</v>
      </c>
      <c r="B1580" t="s">
        <v>1147</v>
      </c>
      <c r="C1580">
        <v>3</v>
      </c>
      <c r="D1580" t="s">
        <v>1150</v>
      </c>
      <c r="E1580" t="s">
        <v>1167</v>
      </c>
      <c r="F1580" s="5" t="s">
        <v>27</v>
      </c>
      <c r="G1580" s="19">
        <v>40</v>
      </c>
      <c r="H1580" s="19">
        <v>45</v>
      </c>
      <c r="I1580" t="b">
        <v>0</v>
      </c>
      <c r="J1580" t="s">
        <v>1151</v>
      </c>
      <c r="K1580" t="s">
        <v>32</v>
      </c>
      <c r="Q1580" t="s">
        <v>1148</v>
      </c>
      <c r="R1580" t="s">
        <v>1148</v>
      </c>
      <c r="S1580" s="109">
        <v>7</v>
      </c>
    </row>
    <row r="1581" spans="1:19" hidden="1" x14ac:dyDescent="0.25">
      <c r="A1581" t="s">
        <v>1146</v>
      </c>
      <c r="B1581" t="s">
        <v>1147</v>
      </c>
      <c r="C1581">
        <v>3</v>
      </c>
      <c r="D1581" t="s">
        <v>29</v>
      </c>
      <c r="E1581" t="s">
        <v>1144</v>
      </c>
      <c r="F1581" s="5" t="s">
        <v>25</v>
      </c>
      <c r="G1581" s="19">
        <v>1</v>
      </c>
      <c r="H1581" s="19">
        <v>4</v>
      </c>
      <c r="I1581" t="b">
        <v>1</v>
      </c>
      <c r="J1581" t="s">
        <v>1153</v>
      </c>
      <c r="K1581" t="s">
        <v>32</v>
      </c>
      <c r="Q1581" t="s">
        <v>1148</v>
      </c>
      <c r="R1581" t="s">
        <v>1148</v>
      </c>
      <c r="S1581" s="6">
        <v>6</v>
      </c>
    </row>
    <row r="1582" spans="1:19" hidden="1" x14ac:dyDescent="0.25">
      <c r="A1582" t="s">
        <v>1146</v>
      </c>
      <c r="B1582" t="s">
        <v>1147</v>
      </c>
      <c r="C1582">
        <v>3</v>
      </c>
      <c r="D1582" t="s">
        <v>1154</v>
      </c>
      <c r="E1582" t="s">
        <v>1145</v>
      </c>
      <c r="F1582" s="5" t="s">
        <v>25</v>
      </c>
      <c r="G1582" s="19">
        <v>0</v>
      </c>
      <c r="H1582" s="19">
        <v>3</v>
      </c>
      <c r="I1582" t="b">
        <v>1</v>
      </c>
      <c r="J1582" t="s">
        <v>1156</v>
      </c>
      <c r="K1582" t="s">
        <v>32</v>
      </c>
      <c r="Q1582" t="s">
        <v>1148</v>
      </c>
      <c r="R1582" t="s">
        <v>1148</v>
      </c>
      <c r="S1582" s="6">
        <v>8</v>
      </c>
    </row>
    <row r="1583" spans="1:19" hidden="1" x14ac:dyDescent="0.25">
      <c r="A1583" t="s">
        <v>1146</v>
      </c>
      <c r="B1583" t="s">
        <v>1147</v>
      </c>
      <c r="C1583">
        <v>3</v>
      </c>
      <c r="D1583" t="s">
        <v>1157</v>
      </c>
      <c r="E1583" t="s">
        <v>1246</v>
      </c>
      <c r="F1583" s="5" t="s">
        <v>26</v>
      </c>
      <c r="G1583" s="19">
        <v>4</v>
      </c>
      <c r="H1583" s="19">
        <v>10</v>
      </c>
      <c r="I1583" t="b">
        <v>0</v>
      </c>
      <c r="J1583" t="s">
        <v>1158</v>
      </c>
      <c r="K1583" t="s">
        <v>32</v>
      </c>
      <c r="Q1583" t="s">
        <v>1148</v>
      </c>
      <c r="R1583" t="s">
        <v>1148</v>
      </c>
      <c r="S1583" s="6">
        <v>5</v>
      </c>
    </row>
    <row r="1584" spans="1:19" hidden="1" x14ac:dyDescent="0.25">
      <c r="A1584" t="s">
        <v>1146</v>
      </c>
      <c r="B1584" t="s">
        <v>1147</v>
      </c>
      <c r="C1584">
        <v>3</v>
      </c>
      <c r="D1584" t="s">
        <v>144</v>
      </c>
      <c r="E1584" t="s">
        <v>1145</v>
      </c>
      <c r="F1584" s="5" t="s">
        <v>25</v>
      </c>
      <c r="G1584" s="19">
        <v>0</v>
      </c>
      <c r="H1584" s="19">
        <v>3</v>
      </c>
      <c r="I1584" t="b">
        <v>1</v>
      </c>
      <c r="J1584" t="s">
        <v>1160</v>
      </c>
      <c r="K1584" t="s">
        <v>32</v>
      </c>
      <c r="Q1584" t="s">
        <v>1148</v>
      </c>
      <c r="R1584" t="s">
        <v>1148</v>
      </c>
      <c r="S1584" s="109">
        <v>9</v>
      </c>
    </row>
    <row r="1585" spans="1:19" hidden="1" x14ac:dyDescent="0.25">
      <c r="A1585" t="s">
        <v>1146</v>
      </c>
      <c r="B1585" t="s">
        <v>1147</v>
      </c>
      <c r="C1585">
        <v>3</v>
      </c>
      <c r="D1585" t="s">
        <v>1161</v>
      </c>
      <c r="E1585" t="s">
        <v>1245</v>
      </c>
      <c r="F1585" s="5" t="s">
        <v>26</v>
      </c>
      <c r="G1585" s="19">
        <v>10</v>
      </c>
      <c r="H1585" s="19">
        <v>20</v>
      </c>
      <c r="I1585" t="b">
        <v>0</v>
      </c>
      <c r="J1585" t="s">
        <v>1163</v>
      </c>
      <c r="K1585" t="s">
        <v>32</v>
      </c>
      <c r="Q1585" t="s">
        <v>1148</v>
      </c>
      <c r="R1585" t="s">
        <v>1148</v>
      </c>
      <c r="S1585" s="109">
        <v>4</v>
      </c>
    </row>
    <row r="1586" spans="1:19" hidden="1" x14ac:dyDescent="0.25">
      <c r="A1586" t="s">
        <v>1146</v>
      </c>
      <c r="B1586" t="s">
        <v>1147</v>
      </c>
      <c r="C1586">
        <v>3</v>
      </c>
      <c r="D1586" t="s">
        <v>109</v>
      </c>
      <c r="E1586" t="s">
        <v>1247</v>
      </c>
      <c r="F1586" s="5" t="s">
        <v>26</v>
      </c>
      <c r="G1586" s="19">
        <v>20</v>
      </c>
      <c r="H1586" s="19">
        <v>30</v>
      </c>
      <c r="I1586" t="b">
        <v>0</v>
      </c>
      <c r="J1586" t="s">
        <v>1164</v>
      </c>
      <c r="K1586" t="s">
        <v>32</v>
      </c>
      <c r="Q1586" t="s">
        <v>1148</v>
      </c>
      <c r="R1586" t="s">
        <v>1148</v>
      </c>
      <c r="S1586" s="109">
        <v>3</v>
      </c>
    </row>
    <row r="1587" spans="1:19" hidden="1" x14ac:dyDescent="0.25">
      <c r="A1587" t="s">
        <v>1146</v>
      </c>
      <c r="B1587" t="s">
        <v>1147</v>
      </c>
      <c r="C1587">
        <v>4</v>
      </c>
      <c r="D1587" t="s">
        <v>11</v>
      </c>
      <c r="E1587" t="s">
        <v>1168</v>
      </c>
      <c r="F1587" s="5" t="s">
        <v>25</v>
      </c>
      <c r="G1587" s="19">
        <v>20</v>
      </c>
      <c r="H1587" s="19">
        <v>25</v>
      </c>
      <c r="I1587" t="b">
        <v>1</v>
      </c>
      <c r="J1587" t="s">
        <v>0</v>
      </c>
      <c r="K1587" t="s">
        <v>32</v>
      </c>
      <c r="Q1587" t="s">
        <v>1148</v>
      </c>
      <c r="R1587" t="s">
        <v>1148</v>
      </c>
      <c r="S1587" s="109">
        <v>1</v>
      </c>
    </row>
    <row r="1588" spans="1:19" hidden="1" x14ac:dyDescent="0.25">
      <c r="A1588" t="s">
        <v>1146</v>
      </c>
      <c r="B1588" t="s">
        <v>1147</v>
      </c>
      <c r="C1588">
        <v>4</v>
      </c>
      <c r="D1588" t="s">
        <v>13</v>
      </c>
      <c r="E1588" t="s">
        <v>1169</v>
      </c>
      <c r="F1588" s="5" t="s">
        <v>25</v>
      </c>
      <c r="G1588" s="19">
        <v>6</v>
      </c>
      <c r="H1588" s="19">
        <v>11</v>
      </c>
      <c r="I1588" t="b">
        <v>1</v>
      </c>
      <c r="J1588" t="s">
        <v>10</v>
      </c>
      <c r="K1588" t="s">
        <v>32</v>
      </c>
      <c r="Q1588" t="s">
        <v>1148</v>
      </c>
      <c r="R1588" t="s">
        <v>1148</v>
      </c>
      <c r="S1588" s="6">
        <v>2</v>
      </c>
    </row>
    <row r="1589" spans="1:19" hidden="1" x14ac:dyDescent="0.25">
      <c r="A1589" t="s">
        <v>1146</v>
      </c>
      <c r="B1589" t="s">
        <v>1147</v>
      </c>
      <c r="C1589">
        <v>4</v>
      </c>
      <c r="D1589" t="s">
        <v>1157</v>
      </c>
      <c r="E1589" t="s">
        <v>1248</v>
      </c>
      <c r="F1589" s="5" t="s">
        <v>26</v>
      </c>
      <c r="G1589" s="19">
        <v>15</v>
      </c>
      <c r="H1589" s="19">
        <v>25</v>
      </c>
      <c r="I1589" t="b">
        <v>0</v>
      </c>
      <c r="J1589" t="s">
        <v>1158</v>
      </c>
      <c r="K1589" t="s">
        <v>32</v>
      </c>
      <c r="Q1589" t="s">
        <v>1148</v>
      </c>
      <c r="R1589" t="s">
        <v>1148</v>
      </c>
      <c r="S1589" s="6">
        <v>5</v>
      </c>
    </row>
    <row r="1590" spans="1:19" hidden="1" x14ac:dyDescent="0.25">
      <c r="A1590" t="s">
        <v>1146</v>
      </c>
      <c r="B1590" t="s">
        <v>1147</v>
      </c>
      <c r="C1590">
        <v>4</v>
      </c>
      <c r="D1590" t="s">
        <v>1150</v>
      </c>
      <c r="E1590" t="s">
        <v>1249</v>
      </c>
      <c r="F1590" s="5" t="s">
        <v>26</v>
      </c>
      <c r="G1590" s="19">
        <v>45</v>
      </c>
      <c r="H1590" s="19">
        <v>55</v>
      </c>
      <c r="I1590" t="b">
        <v>0</v>
      </c>
      <c r="J1590" t="s">
        <v>1151</v>
      </c>
      <c r="K1590" t="s">
        <v>32</v>
      </c>
      <c r="L1590" t="s">
        <v>716</v>
      </c>
      <c r="M1590" t="s">
        <v>1170</v>
      </c>
      <c r="Q1590" t="s">
        <v>1148</v>
      </c>
      <c r="R1590" t="s">
        <v>1148</v>
      </c>
      <c r="S1590" s="109">
        <v>7</v>
      </c>
    </row>
    <row r="1591" spans="1:19" hidden="1" x14ac:dyDescent="0.25">
      <c r="A1591" t="s">
        <v>1146</v>
      </c>
      <c r="B1591" t="s">
        <v>1147</v>
      </c>
      <c r="C1591">
        <v>4</v>
      </c>
      <c r="D1591" t="s">
        <v>29</v>
      </c>
      <c r="E1591" t="s">
        <v>1143</v>
      </c>
      <c r="F1591" s="5" t="s">
        <v>25</v>
      </c>
      <c r="G1591" s="19">
        <v>0</v>
      </c>
      <c r="H1591" s="19">
        <v>1</v>
      </c>
      <c r="I1591" t="b">
        <v>1</v>
      </c>
      <c r="J1591" t="s">
        <v>1153</v>
      </c>
      <c r="K1591" t="s">
        <v>32</v>
      </c>
      <c r="L1591" t="s">
        <v>716</v>
      </c>
      <c r="M1591" t="s">
        <v>1170</v>
      </c>
      <c r="Q1591" t="s">
        <v>1148</v>
      </c>
      <c r="R1591" t="s">
        <v>1148</v>
      </c>
      <c r="S1591" s="6">
        <v>6</v>
      </c>
    </row>
    <row r="1592" spans="1:19" hidden="1" x14ac:dyDescent="0.25">
      <c r="A1592" t="s">
        <v>1146</v>
      </c>
      <c r="B1592" t="s">
        <v>1147</v>
      </c>
      <c r="C1592">
        <v>4</v>
      </c>
      <c r="D1592" t="s">
        <v>1161</v>
      </c>
      <c r="E1592" t="s">
        <v>1247</v>
      </c>
      <c r="F1592" s="5" t="s">
        <v>26</v>
      </c>
      <c r="G1592" s="19">
        <v>20</v>
      </c>
      <c r="H1592" s="19">
        <v>30</v>
      </c>
      <c r="I1592" t="b">
        <v>0</v>
      </c>
      <c r="J1592" t="s">
        <v>1163</v>
      </c>
      <c r="K1592" t="s">
        <v>32</v>
      </c>
      <c r="L1592" t="s">
        <v>716</v>
      </c>
      <c r="M1592" t="s">
        <v>1170</v>
      </c>
      <c r="Q1592" t="s">
        <v>1148</v>
      </c>
      <c r="R1592" t="s">
        <v>1148</v>
      </c>
      <c r="S1592" s="109">
        <v>4</v>
      </c>
    </row>
    <row r="1593" spans="1:19" hidden="1" x14ac:dyDescent="0.25">
      <c r="A1593" t="s">
        <v>1146</v>
      </c>
      <c r="B1593" t="s">
        <v>1147</v>
      </c>
      <c r="C1593">
        <v>4</v>
      </c>
      <c r="D1593" t="s">
        <v>109</v>
      </c>
      <c r="E1593" t="s">
        <v>1243</v>
      </c>
      <c r="F1593" s="5" t="s">
        <v>26</v>
      </c>
      <c r="G1593" s="19">
        <v>30</v>
      </c>
      <c r="H1593" s="19">
        <v>40</v>
      </c>
      <c r="I1593" t="b">
        <v>0</v>
      </c>
      <c r="J1593" t="s">
        <v>1164</v>
      </c>
      <c r="K1593" t="s">
        <v>32</v>
      </c>
      <c r="L1593" t="s">
        <v>716</v>
      </c>
      <c r="M1593" t="s">
        <v>1170</v>
      </c>
      <c r="Q1593" t="s">
        <v>1148</v>
      </c>
      <c r="R1593" t="s">
        <v>1148</v>
      </c>
      <c r="S1593" s="109">
        <v>3</v>
      </c>
    </row>
    <row r="1594" spans="1:19" hidden="1" x14ac:dyDescent="0.25">
      <c r="A1594" t="s">
        <v>1146</v>
      </c>
      <c r="B1594" t="s">
        <v>1147</v>
      </c>
      <c r="C1594">
        <v>5</v>
      </c>
      <c r="D1594" t="s">
        <v>11</v>
      </c>
      <c r="E1594" t="s">
        <v>524</v>
      </c>
      <c r="F1594" s="5" t="s">
        <v>24</v>
      </c>
      <c r="G1594" s="19">
        <v>10</v>
      </c>
      <c r="H1594" s="19">
        <v>20</v>
      </c>
      <c r="I1594" t="b">
        <v>1</v>
      </c>
      <c r="J1594" t="s">
        <v>0</v>
      </c>
      <c r="K1594" t="s">
        <v>32</v>
      </c>
      <c r="L1594" t="s">
        <v>716</v>
      </c>
      <c r="M1594" t="s">
        <v>1170</v>
      </c>
      <c r="Q1594" t="s">
        <v>1148</v>
      </c>
      <c r="R1594" t="s">
        <v>1148</v>
      </c>
      <c r="S1594" s="109">
        <v>1</v>
      </c>
    </row>
    <row r="1595" spans="1:19" hidden="1" x14ac:dyDescent="0.25">
      <c r="A1595" t="s">
        <v>1146</v>
      </c>
      <c r="B1595" t="s">
        <v>1147</v>
      </c>
      <c r="C1595">
        <v>5</v>
      </c>
      <c r="D1595" t="s">
        <v>13</v>
      </c>
      <c r="E1595" t="s">
        <v>1171</v>
      </c>
      <c r="F1595" s="5" t="s">
        <v>25</v>
      </c>
      <c r="G1595" s="19">
        <v>0</v>
      </c>
      <c r="H1595" s="19">
        <v>5</v>
      </c>
      <c r="I1595" t="b">
        <v>1</v>
      </c>
      <c r="J1595" t="s">
        <v>10</v>
      </c>
      <c r="K1595" t="s">
        <v>32</v>
      </c>
      <c r="L1595" t="s">
        <v>716</v>
      </c>
      <c r="M1595" t="s">
        <v>1170</v>
      </c>
      <c r="Q1595" t="s">
        <v>1148</v>
      </c>
      <c r="R1595" t="s">
        <v>1148</v>
      </c>
      <c r="S1595" s="6">
        <v>2</v>
      </c>
    </row>
    <row r="1596" spans="1:19" hidden="1" x14ac:dyDescent="0.25">
      <c r="A1596" t="s">
        <v>1146</v>
      </c>
      <c r="B1596" t="s">
        <v>1147</v>
      </c>
      <c r="C1596">
        <v>5</v>
      </c>
      <c r="D1596" t="s">
        <v>1157</v>
      </c>
      <c r="E1596" t="s">
        <v>1250</v>
      </c>
      <c r="F1596" s="5" t="s">
        <v>26</v>
      </c>
      <c r="G1596" s="19">
        <v>25</v>
      </c>
      <c r="H1596" s="19">
        <v>35</v>
      </c>
      <c r="I1596" t="b">
        <v>0</v>
      </c>
      <c r="J1596" t="s">
        <v>1158</v>
      </c>
      <c r="K1596" t="s">
        <v>32</v>
      </c>
      <c r="L1596" t="s">
        <v>716</v>
      </c>
      <c r="M1596" t="s">
        <v>1170</v>
      </c>
      <c r="Q1596" t="s">
        <v>1148</v>
      </c>
      <c r="R1596" t="s">
        <v>1148</v>
      </c>
      <c r="S1596" s="6">
        <v>5</v>
      </c>
    </row>
    <row r="1597" spans="1:19" hidden="1" x14ac:dyDescent="0.25">
      <c r="A1597" t="s">
        <v>1146</v>
      </c>
      <c r="B1597" t="s">
        <v>1147</v>
      </c>
      <c r="C1597">
        <v>5</v>
      </c>
      <c r="D1597" t="s">
        <v>1161</v>
      </c>
      <c r="E1597" t="s">
        <v>1172</v>
      </c>
      <c r="F1597" s="5" t="s">
        <v>27</v>
      </c>
      <c r="G1597" s="19">
        <v>35</v>
      </c>
      <c r="H1597" s="19">
        <v>40</v>
      </c>
      <c r="I1597" t="b">
        <v>0</v>
      </c>
      <c r="J1597" t="s">
        <v>1163</v>
      </c>
      <c r="K1597" t="s">
        <v>32</v>
      </c>
      <c r="L1597" t="s">
        <v>716</v>
      </c>
      <c r="M1597" t="s">
        <v>1170</v>
      </c>
      <c r="Q1597" t="s">
        <v>1148</v>
      </c>
      <c r="R1597" t="s">
        <v>1148</v>
      </c>
      <c r="S1597" s="109">
        <v>4</v>
      </c>
    </row>
    <row r="1598" spans="1:19" hidden="1" x14ac:dyDescent="0.25">
      <c r="A1598" t="s">
        <v>1146</v>
      </c>
      <c r="B1598" t="s">
        <v>1147</v>
      </c>
      <c r="C1598">
        <v>5</v>
      </c>
      <c r="D1598" t="s">
        <v>109</v>
      </c>
      <c r="E1598" t="s">
        <v>1249</v>
      </c>
      <c r="F1598" s="5" t="s">
        <v>26</v>
      </c>
      <c r="G1598" s="19">
        <v>45</v>
      </c>
      <c r="H1598" s="19">
        <v>55</v>
      </c>
      <c r="I1598" t="b">
        <v>0</v>
      </c>
      <c r="J1598" t="s">
        <v>1164</v>
      </c>
      <c r="K1598" t="s">
        <v>32</v>
      </c>
      <c r="L1598" t="s">
        <v>716</v>
      </c>
      <c r="M1598" t="s">
        <v>1170</v>
      </c>
      <c r="Q1598" t="s">
        <v>1148</v>
      </c>
      <c r="R1598" t="s">
        <v>1148</v>
      </c>
      <c r="S1598" s="109">
        <v>3</v>
      </c>
    </row>
    <row r="1599" spans="1:19" hidden="1" x14ac:dyDescent="0.25">
      <c r="A1599" t="s">
        <v>1146</v>
      </c>
      <c r="B1599" t="s">
        <v>1142</v>
      </c>
      <c r="C1599">
        <v>2</v>
      </c>
      <c r="D1599" t="s">
        <v>11</v>
      </c>
      <c r="E1599" t="s">
        <v>541</v>
      </c>
      <c r="F1599" s="5" t="s">
        <v>24</v>
      </c>
      <c r="G1599" s="19">
        <v>35</v>
      </c>
      <c r="H1599" s="19">
        <v>45</v>
      </c>
      <c r="I1599" t="b">
        <v>1</v>
      </c>
      <c r="J1599" t="s">
        <v>0</v>
      </c>
      <c r="K1599" t="s">
        <v>32</v>
      </c>
      <c r="Q1599" t="s">
        <v>1148</v>
      </c>
      <c r="R1599" t="s">
        <v>1148</v>
      </c>
      <c r="S1599" s="109">
        <v>1</v>
      </c>
    </row>
    <row r="1600" spans="1:19" hidden="1" x14ac:dyDescent="0.25">
      <c r="A1600" t="s">
        <v>1146</v>
      </c>
      <c r="B1600" t="s">
        <v>1142</v>
      </c>
      <c r="C1600">
        <v>2</v>
      </c>
      <c r="D1600" t="s">
        <v>13</v>
      </c>
      <c r="E1600" t="s">
        <v>1149</v>
      </c>
      <c r="F1600" s="5" t="s">
        <v>25</v>
      </c>
      <c r="G1600" s="19">
        <v>16</v>
      </c>
      <c r="H1600" s="19">
        <v>21</v>
      </c>
      <c r="I1600" t="b">
        <v>1</v>
      </c>
      <c r="J1600" t="s">
        <v>10</v>
      </c>
      <c r="K1600" t="s">
        <v>32</v>
      </c>
      <c r="Q1600" t="s">
        <v>1148</v>
      </c>
      <c r="R1600" t="s">
        <v>1148</v>
      </c>
      <c r="S1600" s="6">
        <v>2</v>
      </c>
    </row>
    <row r="1601" spans="1:19" hidden="1" x14ac:dyDescent="0.25">
      <c r="A1601" t="s">
        <v>1146</v>
      </c>
      <c r="B1601" t="s">
        <v>1142</v>
      </c>
      <c r="C1601">
        <v>2</v>
      </c>
      <c r="D1601" t="s">
        <v>1150</v>
      </c>
      <c r="E1601" t="s">
        <v>1243</v>
      </c>
      <c r="F1601" s="5" t="s">
        <v>26</v>
      </c>
      <c r="G1601" s="19">
        <v>30</v>
      </c>
      <c r="H1601" s="19">
        <v>40</v>
      </c>
      <c r="I1601" t="b">
        <v>0</v>
      </c>
      <c r="J1601" t="s">
        <v>1151</v>
      </c>
      <c r="K1601" t="s">
        <v>32</v>
      </c>
      <c r="Q1601" t="s">
        <v>1148</v>
      </c>
      <c r="R1601" t="s">
        <v>1148</v>
      </c>
      <c r="S1601" s="109">
        <v>7</v>
      </c>
    </row>
    <row r="1602" spans="1:19" hidden="1" x14ac:dyDescent="0.25">
      <c r="A1602" t="s">
        <v>1146</v>
      </c>
      <c r="B1602" t="s">
        <v>1142</v>
      </c>
      <c r="C1602">
        <v>2</v>
      </c>
      <c r="D1602" t="s">
        <v>29</v>
      </c>
      <c r="E1602" t="s">
        <v>1152</v>
      </c>
      <c r="F1602" s="5" t="s">
        <v>25</v>
      </c>
      <c r="G1602" s="19">
        <v>4</v>
      </c>
      <c r="H1602" s="19">
        <v>9</v>
      </c>
      <c r="I1602" t="b">
        <v>1</v>
      </c>
      <c r="J1602" t="s">
        <v>1153</v>
      </c>
      <c r="K1602" t="s">
        <v>32</v>
      </c>
      <c r="Q1602" t="s">
        <v>1148</v>
      </c>
      <c r="R1602" t="s">
        <v>1148</v>
      </c>
      <c r="S1602" s="6">
        <v>6</v>
      </c>
    </row>
    <row r="1603" spans="1:19" hidden="1" x14ac:dyDescent="0.25">
      <c r="A1603" t="s">
        <v>1146</v>
      </c>
      <c r="B1603" t="s">
        <v>1142</v>
      </c>
      <c r="C1603">
        <v>2</v>
      </c>
      <c r="D1603" t="s">
        <v>1154</v>
      </c>
      <c r="E1603" t="s">
        <v>1155</v>
      </c>
      <c r="F1603" s="5" t="s">
        <v>25</v>
      </c>
      <c r="G1603" s="19">
        <v>5</v>
      </c>
      <c r="H1603" s="19">
        <v>10</v>
      </c>
      <c r="I1603" t="b">
        <v>1</v>
      </c>
      <c r="J1603" t="s">
        <v>1156</v>
      </c>
      <c r="K1603" t="s">
        <v>32</v>
      </c>
      <c r="Q1603" t="s">
        <v>1148</v>
      </c>
      <c r="R1603" t="s">
        <v>1148</v>
      </c>
      <c r="S1603" s="6">
        <v>8</v>
      </c>
    </row>
    <row r="1604" spans="1:19" hidden="1" x14ac:dyDescent="0.25">
      <c r="A1604" t="s">
        <v>1146</v>
      </c>
      <c r="B1604" t="s">
        <v>1142</v>
      </c>
      <c r="C1604">
        <v>2</v>
      </c>
      <c r="D1604" t="s">
        <v>1157</v>
      </c>
      <c r="E1604" t="s">
        <v>1244</v>
      </c>
      <c r="F1604" s="5" t="s">
        <v>26</v>
      </c>
      <c r="G1604" s="19">
        <v>0</v>
      </c>
      <c r="H1604" s="19">
        <v>4</v>
      </c>
      <c r="I1604" t="b">
        <v>0</v>
      </c>
      <c r="J1604" t="s">
        <v>1158</v>
      </c>
      <c r="K1604" t="s">
        <v>32</v>
      </c>
      <c r="Q1604" t="s">
        <v>1148</v>
      </c>
      <c r="R1604" t="s">
        <v>1148</v>
      </c>
      <c r="S1604" s="6">
        <v>5</v>
      </c>
    </row>
    <row r="1605" spans="1:19" hidden="1" x14ac:dyDescent="0.25">
      <c r="A1605" t="s">
        <v>1146</v>
      </c>
      <c r="B1605" t="s">
        <v>1142</v>
      </c>
      <c r="C1605">
        <v>2</v>
      </c>
      <c r="D1605" t="s">
        <v>144</v>
      </c>
      <c r="E1605" t="s">
        <v>1159</v>
      </c>
      <c r="F1605" s="5" t="s">
        <v>25</v>
      </c>
      <c r="G1605" s="19">
        <v>3</v>
      </c>
      <c r="H1605" s="19">
        <v>6</v>
      </c>
      <c r="I1605" t="b">
        <v>1</v>
      </c>
      <c r="J1605" t="s">
        <v>1160</v>
      </c>
      <c r="K1605" t="s">
        <v>32</v>
      </c>
      <c r="Q1605" t="s">
        <v>1148</v>
      </c>
      <c r="R1605" t="s">
        <v>1148</v>
      </c>
      <c r="S1605" s="109">
        <v>9</v>
      </c>
    </row>
    <row r="1606" spans="1:19" hidden="1" x14ac:dyDescent="0.25">
      <c r="A1606" t="s">
        <v>1146</v>
      </c>
      <c r="B1606" t="s">
        <v>1142</v>
      </c>
      <c r="C1606">
        <v>2</v>
      </c>
      <c r="D1606" t="s">
        <v>1161</v>
      </c>
      <c r="E1606" t="s">
        <v>1162</v>
      </c>
      <c r="F1606" s="5" t="s">
        <v>27</v>
      </c>
      <c r="G1606" s="19">
        <v>5</v>
      </c>
      <c r="H1606" s="19">
        <v>10</v>
      </c>
      <c r="I1606" t="b">
        <v>0</v>
      </c>
      <c r="J1606" t="s">
        <v>1163</v>
      </c>
      <c r="K1606" t="s">
        <v>32</v>
      </c>
      <c r="Q1606" t="s">
        <v>1148</v>
      </c>
      <c r="R1606" t="s">
        <v>1148</v>
      </c>
      <c r="S1606" s="109">
        <v>4</v>
      </c>
    </row>
    <row r="1607" spans="1:19" hidden="1" x14ac:dyDescent="0.25">
      <c r="A1607" t="s">
        <v>1146</v>
      </c>
      <c r="B1607" t="s">
        <v>1142</v>
      </c>
      <c r="C1607">
        <v>2</v>
      </c>
      <c r="D1607" t="s">
        <v>109</v>
      </c>
      <c r="E1607" t="s">
        <v>1245</v>
      </c>
      <c r="F1607" s="5" t="s">
        <v>26</v>
      </c>
      <c r="G1607" s="19">
        <v>10</v>
      </c>
      <c r="H1607" s="19">
        <v>20</v>
      </c>
      <c r="I1607" t="b">
        <v>0</v>
      </c>
      <c r="J1607" t="s">
        <v>1164</v>
      </c>
      <c r="K1607" t="s">
        <v>32</v>
      </c>
      <c r="Q1607" t="s">
        <v>1148</v>
      </c>
      <c r="R1607" t="s">
        <v>1148</v>
      </c>
      <c r="S1607" s="109">
        <v>3</v>
      </c>
    </row>
    <row r="1608" spans="1:19" hidden="1" x14ac:dyDescent="0.25">
      <c r="A1608" t="s">
        <v>1146</v>
      </c>
      <c r="B1608" t="s">
        <v>1142</v>
      </c>
      <c r="C1608">
        <v>3</v>
      </c>
      <c r="D1608" t="s">
        <v>11</v>
      </c>
      <c r="E1608" t="s">
        <v>1165</v>
      </c>
      <c r="F1608" s="5" t="s">
        <v>25</v>
      </c>
      <c r="G1608" s="19">
        <v>30</v>
      </c>
      <c r="H1608" s="19">
        <v>35</v>
      </c>
      <c r="I1608" t="b">
        <v>1</v>
      </c>
      <c r="J1608" t="s">
        <v>0</v>
      </c>
      <c r="K1608" t="s">
        <v>32</v>
      </c>
      <c r="Q1608" t="s">
        <v>1148</v>
      </c>
      <c r="R1608" t="s">
        <v>1148</v>
      </c>
      <c r="S1608" s="109">
        <v>1</v>
      </c>
    </row>
    <row r="1609" spans="1:19" hidden="1" x14ac:dyDescent="0.25">
      <c r="A1609" t="s">
        <v>1146</v>
      </c>
      <c r="B1609" t="s">
        <v>1142</v>
      </c>
      <c r="C1609">
        <v>3</v>
      </c>
      <c r="D1609" t="s">
        <v>13</v>
      </c>
      <c r="E1609" t="s">
        <v>1166</v>
      </c>
      <c r="F1609" s="5" t="s">
        <v>25</v>
      </c>
      <c r="G1609" s="19">
        <v>11</v>
      </c>
      <c r="H1609" s="19">
        <v>16</v>
      </c>
      <c r="I1609" t="b">
        <v>1</v>
      </c>
      <c r="J1609" t="s">
        <v>10</v>
      </c>
      <c r="K1609" t="s">
        <v>32</v>
      </c>
      <c r="Q1609" t="s">
        <v>1148</v>
      </c>
      <c r="R1609" t="s">
        <v>1148</v>
      </c>
      <c r="S1609" s="6">
        <v>2</v>
      </c>
    </row>
    <row r="1610" spans="1:19" hidden="1" x14ac:dyDescent="0.25">
      <c r="A1610" t="s">
        <v>1146</v>
      </c>
      <c r="B1610" t="s">
        <v>1142</v>
      </c>
      <c r="C1610">
        <v>3</v>
      </c>
      <c r="D1610" t="s">
        <v>1150</v>
      </c>
      <c r="E1610" t="s">
        <v>1167</v>
      </c>
      <c r="F1610" s="5" t="s">
        <v>27</v>
      </c>
      <c r="G1610" s="19">
        <v>40</v>
      </c>
      <c r="H1610" s="19">
        <v>45</v>
      </c>
      <c r="I1610" t="b">
        <v>0</v>
      </c>
      <c r="J1610" t="s">
        <v>1151</v>
      </c>
      <c r="K1610" t="s">
        <v>32</v>
      </c>
      <c r="Q1610" t="s">
        <v>1148</v>
      </c>
      <c r="R1610" t="s">
        <v>1148</v>
      </c>
      <c r="S1610" s="109">
        <v>7</v>
      </c>
    </row>
    <row r="1611" spans="1:19" hidden="1" x14ac:dyDescent="0.25">
      <c r="A1611" t="s">
        <v>1146</v>
      </c>
      <c r="B1611" t="s">
        <v>1142</v>
      </c>
      <c r="C1611">
        <v>3</v>
      </c>
      <c r="D1611" t="s">
        <v>29</v>
      </c>
      <c r="E1611" t="s">
        <v>1144</v>
      </c>
      <c r="F1611" s="5" t="s">
        <v>25</v>
      </c>
      <c r="G1611" s="19">
        <v>1</v>
      </c>
      <c r="H1611" s="19">
        <v>4</v>
      </c>
      <c r="I1611" t="b">
        <v>1</v>
      </c>
      <c r="J1611" t="s">
        <v>1153</v>
      </c>
      <c r="K1611" t="s">
        <v>32</v>
      </c>
      <c r="Q1611" t="s">
        <v>1148</v>
      </c>
      <c r="R1611" t="s">
        <v>1148</v>
      </c>
      <c r="S1611" s="6">
        <v>6</v>
      </c>
    </row>
    <row r="1612" spans="1:19" hidden="1" x14ac:dyDescent="0.25">
      <c r="A1612" t="s">
        <v>1146</v>
      </c>
      <c r="B1612" t="s">
        <v>1142</v>
      </c>
      <c r="C1612">
        <v>3</v>
      </c>
      <c r="D1612" t="s">
        <v>1154</v>
      </c>
      <c r="E1612" t="s">
        <v>1145</v>
      </c>
      <c r="F1612" s="5" t="s">
        <v>25</v>
      </c>
      <c r="G1612" s="19">
        <v>0</v>
      </c>
      <c r="H1612" s="19">
        <v>3</v>
      </c>
      <c r="I1612" t="b">
        <v>1</v>
      </c>
      <c r="J1612" t="s">
        <v>1156</v>
      </c>
      <c r="K1612" t="s">
        <v>32</v>
      </c>
      <c r="Q1612" t="s">
        <v>1148</v>
      </c>
      <c r="R1612" t="s">
        <v>1148</v>
      </c>
      <c r="S1612" s="6">
        <v>8</v>
      </c>
    </row>
    <row r="1613" spans="1:19" hidden="1" x14ac:dyDescent="0.25">
      <c r="A1613" t="s">
        <v>1146</v>
      </c>
      <c r="B1613" t="s">
        <v>1142</v>
      </c>
      <c r="C1613">
        <v>3</v>
      </c>
      <c r="D1613" t="s">
        <v>1157</v>
      </c>
      <c r="E1613" t="s">
        <v>1246</v>
      </c>
      <c r="F1613" s="5" t="s">
        <v>26</v>
      </c>
      <c r="G1613" s="19">
        <v>4</v>
      </c>
      <c r="H1613" s="19">
        <v>10</v>
      </c>
      <c r="I1613" t="b">
        <v>0</v>
      </c>
      <c r="J1613" t="s">
        <v>1158</v>
      </c>
      <c r="K1613" t="s">
        <v>32</v>
      </c>
      <c r="Q1613" t="s">
        <v>1148</v>
      </c>
      <c r="R1613" t="s">
        <v>1148</v>
      </c>
      <c r="S1613" s="6">
        <v>5</v>
      </c>
    </row>
    <row r="1614" spans="1:19" hidden="1" x14ac:dyDescent="0.25">
      <c r="A1614" t="s">
        <v>1146</v>
      </c>
      <c r="B1614" t="s">
        <v>1142</v>
      </c>
      <c r="C1614">
        <v>3</v>
      </c>
      <c r="D1614" t="s">
        <v>144</v>
      </c>
      <c r="E1614" t="s">
        <v>1145</v>
      </c>
      <c r="F1614" s="5" t="s">
        <v>25</v>
      </c>
      <c r="G1614" s="19">
        <v>0</v>
      </c>
      <c r="H1614" s="19">
        <v>3</v>
      </c>
      <c r="I1614" t="b">
        <v>1</v>
      </c>
      <c r="J1614" t="s">
        <v>1160</v>
      </c>
      <c r="K1614" t="s">
        <v>32</v>
      </c>
      <c r="Q1614" t="s">
        <v>1148</v>
      </c>
      <c r="R1614" t="s">
        <v>1148</v>
      </c>
      <c r="S1614" s="109">
        <v>9</v>
      </c>
    </row>
    <row r="1615" spans="1:19" hidden="1" x14ac:dyDescent="0.25">
      <c r="A1615" t="s">
        <v>1146</v>
      </c>
      <c r="B1615" t="s">
        <v>1142</v>
      </c>
      <c r="C1615">
        <v>3</v>
      </c>
      <c r="D1615" t="s">
        <v>1161</v>
      </c>
      <c r="E1615" t="s">
        <v>1245</v>
      </c>
      <c r="F1615" s="5" t="s">
        <v>26</v>
      </c>
      <c r="G1615" s="19">
        <v>10</v>
      </c>
      <c r="H1615" s="19">
        <v>20</v>
      </c>
      <c r="I1615" t="b">
        <v>0</v>
      </c>
      <c r="J1615" t="s">
        <v>1163</v>
      </c>
      <c r="K1615" t="s">
        <v>32</v>
      </c>
      <c r="Q1615" t="s">
        <v>1148</v>
      </c>
      <c r="R1615" t="s">
        <v>1148</v>
      </c>
      <c r="S1615" s="109">
        <v>4</v>
      </c>
    </row>
    <row r="1616" spans="1:19" hidden="1" x14ac:dyDescent="0.25">
      <c r="A1616" t="s">
        <v>1146</v>
      </c>
      <c r="B1616" t="s">
        <v>1142</v>
      </c>
      <c r="C1616">
        <v>3</v>
      </c>
      <c r="D1616" t="s">
        <v>109</v>
      </c>
      <c r="E1616" t="s">
        <v>1247</v>
      </c>
      <c r="F1616" s="5" t="s">
        <v>26</v>
      </c>
      <c r="G1616" s="19">
        <v>20</v>
      </c>
      <c r="H1616" s="19">
        <v>30</v>
      </c>
      <c r="I1616" t="b">
        <v>0</v>
      </c>
      <c r="J1616" t="s">
        <v>1164</v>
      </c>
      <c r="K1616" t="s">
        <v>32</v>
      </c>
      <c r="Q1616" t="s">
        <v>1148</v>
      </c>
      <c r="R1616" t="s">
        <v>1148</v>
      </c>
      <c r="S1616" s="109">
        <v>3</v>
      </c>
    </row>
    <row r="1617" spans="1:19" hidden="1" x14ac:dyDescent="0.25">
      <c r="A1617" t="s">
        <v>1146</v>
      </c>
      <c r="B1617" t="s">
        <v>1142</v>
      </c>
      <c r="C1617">
        <v>4</v>
      </c>
      <c r="D1617" t="s">
        <v>11</v>
      </c>
      <c r="E1617" t="s">
        <v>1168</v>
      </c>
      <c r="F1617" s="5" t="s">
        <v>25</v>
      </c>
      <c r="G1617" s="19">
        <v>20</v>
      </c>
      <c r="H1617" s="19">
        <v>25</v>
      </c>
      <c r="I1617" t="b">
        <v>1</v>
      </c>
      <c r="J1617" t="s">
        <v>0</v>
      </c>
      <c r="K1617" t="s">
        <v>32</v>
      </c>
      <c r="Q1617" t="s">
        <v>1148</v>
      </c>
      <c r="R1617" t="s">
        <v>1148</v>
      </c>
      <c r="S1617" s="109">
        <v>1</v>
      </c>
    </row>
    <row r="1618" spans="1:19" hidden="1" x14ac:dyDescent="0.25">
      <c r="A1618" t="s">
        <v>1146</v>
      </c>
      <c r="B1618" t="s">
        <v>1142</v>
      </c>
      <c r="C1618">
        <v>4</v>
      </c>
      <c r="D1618" t="s">
        <v>13</v>
      </c>
      <c r="E1618" t="s">
        <v>1169</v>
      </c>
      <c r="F1618" s="5" t="s">
        <v>25</v>
      </c>
      <c r="G1618" s="19">
        <v>6</v>
      </c>
      <c r="H1618" s="19">
        <v>11</v>
      </c>
      <c r="I1618" t="b">
        <v>1</v>
      </c>
      <c r="J1618" t="s">
        <v>10</v>
      </c>
      <c r="K1618" t="s">
        <v>32</v>
      </c>
      <c r="Q1618" t="s">
        <v>1148</v>
      </c>
      <c r="R1618" t="s">
        <v>1148</v>
      </c>
      <c r="S1618" s="6">
        <v>2</v>
      </c>
    </row>
    <row r="1619" spans="1:19" hidden="1" x14ac:dyDescent="0.25">
      <c r="A1619" t="s">
        <v>1146</v>
      </c>
      <c r="B1619" t="s">
        <v>1142</v>
      </c>
      <c r="C1619">
        <v>4</v>
      </c>
      <c r="D1619" t="s">
        <v>1157</v>
      </c>
      <c r="E1619" t="s">
        <v>1248</v>
      </c>
      <c r="F1619" s="5" t="s">
        <v>26</v>
      </c>
      <c r="G1619" s="19">
        <v>15</v>
      </c>
      <c r="H1619" s="19">
        <v>25</v>
      </c>
      <c r="I1619" t="b">
        <v>0</v>
      </c>
      <c r="J1619" t="s">
        <v>1158</v>
      </c>
      <c r="K1619" t="s">
        <v>32</v>
      </c>
      <c r="Q1619" t="s">
        <v>1148</v>
      </c>
      <c r="R1619" t="s">
        <v>1148</v>
      </c>
      <c r="S1619" s="6">
        <v>5</v>
      </c>
    </row>
    <row r="1620" spans="1:19" hidden="1" x14ac:dyDescent="0.25">
      <c r="A1620" t="s">
        <v>1146</v>
      </c>
      <c r="B1620" t="s">
        <v>1142</v>
      </c>
      <c r="C1620">
        <v>4</v>
      </c>
      <c r="D1620" t="s">
        <v>1150</v>
      </c>
      <c r="E1620" t="s">
        <v>1249</v>
      </c>
      <c r="F1620" s="5" t="s">
        <v>26</v>
      </c>
      <c r="G1620" s="19">
        <v>45</v>
      </c>
      <c r="H1620" s="19">
        <v>55</v>
      </c>
      <c r="I1620" t="b">
        <v>0</v>
      </c>
      <c r="J1620" t="s">
        <v>1151</v>
      </c>
      <c r="K1620" t="s">
        <v>32</v>
      </c>
      <c r="L1620" t="s">
        <v>716</v>
      </c>
      <c r="M1620" t="s">
        <v>1170</v>
      </c>
      <c r="Q1620" t="s">
        <v>1148</v>
      </c>
      <c r="R1620" t="s">
        <v>1148</v>
      </c>
      <c r="S1620" s="109">
        <v>7</v>
      </c>
    </row>
    <row r="1621" spans="1:19" hidden="1" x14ac:dyDescent="0.25">
      <c r="A1621" t="s">
        <v>1146</v>
      </c>
      <c r="B1621" t="s">
        <v>1142</v>
      </c>
      <c r="C1621">
        <v>4</v>
      </c>
      <c r="D1621" t="s">
        <v>29</v>
      </c>
      <c r="E1621" t="s">
        <v>1143</v>
      </c>
      <c r="F1621" s="5" t="s">
        <v>25</v>
      </c>
      <c r="G1621" s="19">
        <v>0</v>
      </c>
      <c r="H1621" s="19">
        <v>1</v>
      </c>
      <c r="I1621" t="b">
        <v>1</v>
      </c>
      <c r="J1621" t="s">
        <v>1153</v>
      </c>
      <c r="K1621" t="s">
        <v>32</v>
      </c>
      <c r="L1621" t="s">
        <v>716</v>
      </c>
      <c r="M1621" t="s">
        <v>1170</v>
      </c>
      <c r="Q1621" t="s">
        <v>1148</v>
      </c>
      <c r="R1621" t="s">
        <v>1148</v>
      </c>
      <c r="S1621" s="6">
        <v>6</v>
      </c>
    </row>
    <row r="1622" spans="1:19" hidden="1" x14ac:dyDescent="0.25">
      <c r="A1622" t="s">
        <v>1146</v>
      </c>
      <c r="B1622" t="s">
        <v>1142</v>
      </c>
      <c r="C1622">
        <v>4</v>
      </c>
      <c r="D1622" t="s">
        <v>1161</v>
      </c>
      <c r="E1622" t="s">
        <v>1247</v>
      </c>
      <c r="F1622" s="5" t="s">
        <v>26</v>
      </c>
      <c r="G1622" s="19">
        <v>20</v>
      </c>
      <c r="H1622" s="19">
        <v>30</v>
      </c>
      <c r="I1622" t="b">
        <v>0</v>
      </c>
      <c r="J1622" t="s">
        <v>1163</v>
      </c>
      <c r="K1622" t="s">
        <v>32</v>
      </c>
      <c r="L1622" t="s">
        <v>716</v>
      </c>
      <c r="M1622" t="s">
        <v>1170</v>
      </c>
      <c r="Q1622" t="s">
        <v>1148</v>
      </c>
      <c r="R1622" t="s">
        <v>1148</v>
      </c>
      <c r="S1622" s="109">
        <v>4</v>
      </c>
    </row>
    <row r="1623" spans="1:19" hidden="1" x14ac:dyDescent="0.25">
      <c r="A1623" t="s">
        <v>1146</v>
      </c>
      <c r="B1623" t="s">
        <v>1142</v>
      </c>
      <c r="C1623">
        <v>4</v>
      </c>
      <c r="D1623" t="s">
        <v>109</v>
      </c>
      <c r="E1623" t="s">
        <v>1243</v>
      </c>
      <c r="F1623" s="5" t="s">
        <v>26</v>
      </c>
      <c r="G1623" s="19">
        <v>30</v>
      </c>
      <c r="H1623" s="19">
        <v>40</v>
      </c>
      <c r="I1623" t="b">
        <v>0</v>
      </c>
      <c r="J1623" t="s">
        <v>1164</v>
      </c>
      <c r="K1623" t="s">
        <v>32</v>
      </c>
      <c r="L1623" t="s">
        <v>716</v>
      </c>
      <c r="M1623" t="s">
        <v>1170</v>
      </c>
      <c r="Q1623" t="s">
        <v>1148</v>
      </c>
      <c r="R1623" t="s">
        <v>1148</v>
      </c>
      <c r="S1623" s="109">
        <v>3</v>
      </c>
    </row>
    <row r="1624" spans="1:19" hidden="1" x14ac:dyDescent="0.25">
      <c r="A1624" t="s">
        <v>1146</v>
      </c>
      <c r="B1624" t="s">
        <v>1142</v>
      </c>
      <c r="C1624">
        <v>5</v>
      </c>
      <c r="D1624" t="s">
        <v>11</v>
      </c>
      <c r="E1624" t="s">
        <v>524</v>
      </c>
      <c r="F1624" s="5" t="s">
        <v>24</v>
      </c>
      <c r="G1624" s="19">
        <v>10</v>
      </c>
      <c r="H1624" s="19">
        <v>20</v>
      </c>
      <c r="I1624" t="b">
        <v>1</v>
      </c>
      <c r="J1624" t="s">
        <v>0</v>
      </c>
      <c r="K1624" t="s">
        <v>32</v>
      </c>
      <c r="L1624" t="s">
        <v>716</v>
      </c>
      <c r="M1624" t="s">
        <v>1170</v>
      </c>
      <c r="Q1624" t="s">
        <v>1148</v>
      </c>
      <c r="R1624" t="s">
        <v>1148</v>
      </c>
      <c r="S1624" s="109">
        <v>1</v>
      </c>
    </row>
    <row r="1625" spans="1:19" hidden="1" x14ac:dyDescent="0.25">
      <c r="A1625" t="s">
        <v>1146</v>
      </c>
      <c r="B1625" t="s">
        <v>1142</v>
      </c>
      <c r="C1625">
        <v>5</v>
      </c>
      <c r="D1625" t="s">
        <v>13</v>
      </c>
      <c r="E1625" t="s">
        <v>1171</v>
      </c>
      <c r="F1625" s="5" t="s">
        <v>25</v>
      </c>
      <c r="G1625" s="19">
        <v>0</v>
      </c>
      <c r="H1625" s="19">
        <v>5</v>
      </c>
      <c r="I1625" t="b">
        <v>1</v>
      </c>
      <c r="J1625" t="s">
        <v>10</v>
      </c>
      <c r="K1625" t="s">
        <v>32</v>
      </c>
      <c r="L1625" t="s">
        <v>716</v>
      </c>
      <c r="M1625" t="s">
        <v>1170</v>
      </c>
      <c r="Q1625" t="s">
        <v>1148</v>
      </c>
      <c r="R1625" t="s">
        <v>1148</v>
      </c>
      <c r="S1625" s="6">
        <v>2</v>
      </c>
    </row>
    <row r="1626" spans="1:19" hidden="1" x14ac:dyDescent="0.25">
      <c r="A1626" t="s">
        <v>1146</v>
      </c>
      <c r="B1626" t="s">
        <v>1142</v>
      </c>
      <c r="C1626">
        <v>5</v>
      </c>
      <c r="D1626" t="s">
        <v>1157</v>
      </c>
      <c r="E1626" t="s">
        <v>1250</v>
      </c>
      <c r="F1626" s="5" t="s">
        <v>26</v>
      </c>
      <c r="G1626" s="19">
        <v>25</v>
      </c>
      <c r="H1626" s="19">
        <v>35</v>
      </c>
      <c r="I1626" t="b">
        <v>0</v>
      </c>
      <c r="J1626" t="s">
        <v>1158</v>
      </c>
      <c r="K1626" t="s">
        <v>32</v>
      </c>
      <c r="L1626" t="s">
        <v>716</v>
      </c>
      <c r="M1626" t="s">
        <v>1170</v>
      </c>
      <c r="Q1626" t="s">
        <v>1148</v>
      </c>
      <c r="R1626" t="s">
        <v>1148</v>
      </c>
      <c r="S1626" s="6">
        <v>5</v>
      </c>
    </row>
    <row r="1627" spans="1:19" hidden="1" x14ac:dyDescent="0.25">
      <c r="A1627" t="s">
        <v>1146</v>
      </c>
      <c r="B1627" t="s">
        <v>1142</v>
      </c>
      <c r="C1627">
        <v>5</v>
      </c>
      <c r="D1627" t="s">
        <v>1161</v>
      </c>
      <c r="E1627" t="s">
        <v>1172</v>
      </c>
      <c r="F1627" s="5" t="s">
        <v>27</v>
      </c>
      <c r="G1627" s="19">
        <v>35</v>
      </c>
      <c r="H1627" s="19">
        <v>40</v>
      </c>
      <c r="I1627" t="b">
        <v>0</v>
      </c>
      <c r="J1627" t="s">
        <v>1163</v>
      </c>
      <c r="K1627" t="s">
        <v>32</v>
      </c>
      <c r="L1627" t="s">
        <v>716</v>
      </c>
      <c r="M1627" t="s">
        <v>1170</v>
      </c>
      <c r="Q1627" t="s">
        <v>1148</v>
      </c>
      <c r="R1627" t="s">
        <v>1148</v>
      </c>
      <c r="S1627" s="109">
        <v>4</v>
      </c>
    </row>
    <row r="1628" spans="1:19" hidden="1" x14ac:dyDescent="0.25">
      <c r="A1628" t="s">
        <v>1146</v>
      </c>
      <c r="B1628" t="s">
        <v>1142</v>
      </c>
      <c r="C1628">
        <v>5</v>
      </c>
      <c r="D1628" t="s">
        <v>109</v>
      </c>
      <c r="E1628" t="s">
        <v>1249</v>
      </c>
      <c r="F1628" s="5" t="s">
        <v>26</v>
      </c>
      <c r="G1628" s="19">
        <v>45</v>
      </c>
      <c r="H1628" s="19">
        <v>55</v>
      </c>
      <c r="I1628" t="b">
        <v>0</v>
      </c>
      <c r="J1628" t="s">
        <v>1164</v>
      </c>
      <c r="K1628" t="s">
        <v>32</v>
      </c>
      <c r="L1628" t="s">
        <v>716</v>
      </c>
      <c r="M1628" t="s">
        <v>1170</v>
      </c>
      <c r="Q1628" t="s">
        <v>1148</v>
      </c>
      <c r="R1628" t="s">
        <v>1148</v>
      </c>
      <c r="S1628" s="109">
        <v>3</v>
      </c>
    </row>
    <row r="1629" spans="1:19" hidden="1" x14ac:dyDescent="0.25">
      <c r="A1629" t="s">
        <v>1146</v>
      </c>
      <c r="B1629" t="s">
        <v>1173</v>
      </c>
      <c r="C1629">
        <v>2</v>
      </c>
      <c r="D1629" t="s">
        <v>11</v>
      </c>
      <c r="E1629" t="s">
        <v>541</v>
      </c>
      <c r="F1629" s="5" t="s">
        <v>24</v>
      </c>
      <c r="G1629" s="19">
        <v>35</v>
      </c>
      <c r="H1629" s="19">
        <v>45</v>
      </c>
      <c r="I1629" t="b">
        <v>1</v>
      </c>
      <c r="J1629" t="s">
        <v>0</v>
      </c>
      <c r="K1629" t="s">
        <v>32</v>
      </c>
      <c r="Q1629" t="s">
        <v>1148</v>
      </c>
      <c r="R1629" t="s">
        <v>1148</v>
      </c>
      <c r="S1629" s="109">
        <v>1</v>
      </c>
    </row>
    <row r="1630" spans="1:19" hidden="1" x14ac:dyDescent="0.25">
      <c r="A1630" t="s">
        <v>1146</v>
      </c>
      <c r="B1630" t="s">
        <v>1173</v>
      </c>
      <c r="C1630">
        <v>2</v>
      </c>
      <c r="D1630" t="s">
        <v>13</v>
      </c>
      <c r="E1630" t="s">
        <v>1149</v>
      </c>
      <c r="F1630" s="5" t="s">
        <v>25</v>
      </c>
      <c r="G1630" s="19">
        <v>16</v>
      </c>
      <c r="H1630" s="19">
        <v>21</v>
      </c>
      <c r="I1630" t="b">
        <v>1</v>
      </c>
      <c r="J1630" t="s">
        <v>10</v>
      </c>
      <c r="K1630" t="s">
        <v>32</v>
      </c>
      <c r="Q1630" t="s">
        <v>1148</v>
      </c>
      <c r="R1630" t="s">
        <v>1148</v>
      </c>
      <c r="S1630" s="6">
        <v>2</v>
      </c>
    </row>
    <row r="1631" spans="1:19" hidden="1" x14ac:dyDescent="0.25">
      <c r="A1631" t="s">
        <v>1146</v>
      </c>
      <c r="B1631" t="s">
        <v>1173</v>
      </c>
      <c r="C1631">
        <v>2</v>
      </c>
      <c r="D1631" t="s">
        <v>1150</v>
      </c>
      <c r="E1631" t="s">
        <v>1243</v>
      </c>
      <c r="F1631" s="5" t="s">
        <v>26</v>
      </c>
      <c r="G1631" s="19">
        <v>30</v>
      </c>
      <c r="H1631" s="19">
        <v>40</v>
      </c>
      <c r="I1631" t="b">
        <v>0</v>
      </c>
      <c r="J1631" t="s">
        <v>1151</v>
      </c>
      <c r="K1631" t="s">
        <v>32</v>
      </c>
      <c r="Q1631" t="s">
        <v>1148</v>
      </c>
      <c r="R1631" t="s">
        <v>1148</v>
      </c>
      <c r="S1631" s="109">
        <v>7</v>
      </c>
    </row>
    <row r="1632" spans="1:19" hidden="1" x14ac:dyDescent="0.25">
      <c r="A1632" t="s">
        <v>1146</v>
      </c>
      <c r="B1632" t="s">
        <v>1173</v>
      </c>
      <c r="C1632">
        <v>2</v>
      </c>
      <c r="D1632" t="s">
        <v>29</v>
      </c>
      <c r="E1632" t="s">
        <v>1152</v>
      </c>
      <c r="F1632" s="5" t="s">
        <v>25</v>
      </c>
      <c r="G1632" s="19">
        <v>4</v>
      </c>
      <c r="H1632" s="19">
        <v>9</v>
      </c>
      <c r="I1632" t="b">
        <v>1</v>
      </c>
      <c r="J1632" t="s">
        <v>1153</v>
      </c>
      <c r="K1632" t="s">
        <v>32</v>
      </c>
      <c r="Q1632" t="s">
        <v>1148</v>
      </c>
      <c r="R1632" t="s">
        <v>1148</v>
      </c>
      <c r="S1632" s="6">
        <v>6</v>
      </c>
    </row>
    <row r="1633" spans="1:19" hidden="1" x14ac:dyDescent="0.25">
      <c r="A1633" t="s">
        <v>1146</v>
      </c>
      <c r="B1633" t="s">
        <v>1173</v>
      </c>
      <c r="C1633">
        <v>2</v>
      </c>
      <c r="D1633" t="s">
        <v>1154</v>
      </c>
      <c r="E1633" t="s">
        <v>1155</v>
      </c>
      <c r="F1633" s="5" t="s">
        <v>25</v>
      </c>
      <c r="G1633" s="19">
        <v>5</v>
      </c>
      <c r="H1633" s="19">
        <v>10</v>
      </c>
      <c r="I1633" t="b">
        <v>1</v>
      </c>
      <c r="J1633" t="s">
        <v>1156</v>
      </c>
      <c r="K1633" t="s">
        <v>32</v>
      </c>
      <c r="Q1633" t="s">
        <v>1148</v>
      </c>
      <c r="R1633" t="s">
        <v>1148</v>
      </c>
      <c r="S1633" s="6">
        <v>8</v>
      </c>
    </row>
    <row r="1634" spans="1:19" hidden="1" x14ac:dyDescent="0.25">
      <c r="A1634" t="s">
        <v>1146</v>
      </c>
      <c r="B1634" t="s">
        <v>1173</v>
      </c>
      <c r="C1634">
        <v>2</v>
      </c>
      <c r="D1634" t="s">
        <v>1157</v>
      </c>
      <c r="E1634" t="s">
        <v>1244</v>
      </c>
      <c r="F1634" s="5" t="s">
        <v>26</v>
      </c>
      <c r="G1634" s="19">
        <v>0</v>
      </c>
      <c r="H1634" s="19">
        <v>4</v>
      </c>
      <c r="I1634" t="b">
        <v>0</v>
      </c>
      <c r="J1634" t="s">
        <v>1158</v>
      </c>
      <c r="K1634" t="s">
        <v>32</v>
      </c>
      <c r="Q1634" t="s">
        <v>1148</v>
      </c>
      <c r="R1634" t="s">
        <v>1148</v>
      </c>
      <c r="S1634" s="6">
        <v>5</v>
      </c>
    </row>
    <row r="1635" spans="1:19" hidden="1" x14ac:dyDescent="0.25">
      <c r="A1635" t="s">
        <v>1146</v>
      </c>
      <c r="B1635" t="s">
        <v>1173</v>
      </c>
      <c r="C1635">
        <v>2</v>
      </c>
      <c r="D1635" t="s">
        <v>144</v>
      </c>
      <c r="E1635" t="s">
        <v>1159</v>
      </c>
      <c r="F1635" s="5" t="s">
        <v>25</v>
      </c>
      <c r="G1635" s="19">
        <v>3</v>
      </c>
      <c r="H1635" s="19">
        <v>6</v>
      </c>
      <c r="I1635" t="b">
        <v>1</v>
      </c>
      <c r="J1635" t="s">
        <v>1160</v>
      </c>
      <c r="K1635" t="s">
        <v>32</v>
      </c>
      <c r="Q1635" t="s">
        <v>1148</v>
      </c>
      <c r="R1635" t="s">
        <v>1148</v>
      </c>
      <c r="S1635" s="109">
        <v>9</v>
      </c>
    </row>
    <row r="1636" spans="1:19" hidden="1" x14ac:dyDescent="0.25">
      <c r="A1636" t="s">
        <v>1146</v>
      </c>
      <c r="B1636" t="s">
        <v>1173</v>
      </c>
      <c r="C1636">
        <v>2</v>
      </c>
      <c r="D1636" t="s">
        <v>1161</v>
      </c>
      <c r="E1636" t="s">
        <v>1162</v>
      </c>
      <c r="F1636" s="5" t="s">
        <v>27</v>
      </c>
      <c r="G1636" s="19">
        <v>5</v>
      </c>
      <c r="H1636" s="19">
        <v>10</v>
      </c>
      <c r="I1636" t="b">
        <v>0</v>
      </c>
      <c r="J1636" t="s">
        <v>1163</v>
      </c>
      <c r="K1636" t="s">
        <v>32</v>
      </c>
      <c r="Q1636" t="s">
        <v>1148</v>
      </c>
      <c r="R1636" t="s">
        <v>1148</v>
      </c>
      <c r="S1636" s="109">
        <v>4</v>
      </c>
    </row>
    <row r="1637" spans="1:19" hidden="1" x14ac:dyDescent="0.25">
      <c r="A1637" t="s">
        <v>1146</v>
      </c>
      <c r="B1637" t="s">
        <v>1173</v>
      </c>
      <c r="C1637">
        <v>2</v>
      </c>
      <c r="D1637" t="s">
        <v>109</v>
      </c>
      <c r="E1637" t="s">
        <v>1245</v>
      </c>
      <c r="F1637" s="5" t="s">
        <v>26</v>
      </c>
      <c r="G1637" s="19">
        <v>10</v>
      </c>
      <c r="H1637" s="19">
        <v>20</v>
      </c>
      <c r="I1637" t="b">
        <v>0</v>
      </c>
      <c r="J1637" t="s">
        <v>1164</v>
      </c>
      <c r="K1637" t="s">
        <v>32</v>
      </c>
      <c r="Q1637" t="s">
        <v>1148</v>
      </c>
      <c r="R1637" t="s">
        <v>1148</v>
      </c>
      <c r="S1637" s="109">
        <v>3</v>
      </c>
    </row>
    <row r="1638" spans="1:19" hidden="1" x14ac:dyDescent="0.25">
      <c r="A1638" t="s">
        <v>1146</v>
      </c>
      <c r="B1638" t="s">
        <v>1173</v>
      </c>
      <c r="C1638">
        <v>3</v>
      </c>
      <c r="D1638" t="s">
        <v>11</v>
      </c>
      <c r="E1638" t="s">
        <v>1165</v>
      </c>
      <c r="F1638" s="5" t="s">
        <v>25</v>
      </c>
      <c r="G1638" s="19">
        <v>30</v>
      </c>
      <c r="H1638" s="19">
        <v>35</v>
      </c>
      <c r="I1638" t="b">
        <v>1</v>
      </c>
      <c r="J1638" t="s">
        <v>0</v>
      </c>
      <c r="K1638" t="s">
        <v>32</v>
      </c>
      <c r="Q1638" t="s">
        <v>1148</v>
      </c>
      <c r="R1638" t="s">
        <v>1148</v>
      </c>
      <c r="S1638" s="109">
        <v>1</v>
      </c>
    </row>
    <row r="1639" spans="1:19" hidden="1" x14ac:dyDescent="0.25">
      <c r="A1639" t="s">
        <v>1146</v>
      </c>
      <c r="B1639" t="s">
        <v>1173</v>
      </c>
      <c r="C1639">
        <v>3</v>
      </c>
      <c r="D1639" t="s">
        <v>13</v>
      </c>
      <c r="E1639" t="s">
        <v>1166</v>
      </c>
      <c r="F1639" s="5" t="s">
        <v>25</v>
      </c>
      <c r="G1639" s="19">
        <v>11</v>
      </c>
      <c r="H1639" s="19">
        <v>16</v>
      </c>
      <c r="I1639" t="b">
        <v>1</v>
      </c>
      <c r="J1639" t="s">
        <v>10</v>
      </c>
      <c r="K1639" t="s">
        <v>32</v>
      </c>
      <c r="Q1639" t="s">
        <v>1148</v>
      </c>
      <c r="R1639" t="s">
        <v>1148</v>
      </c>
      <c r="S1639" s="6">
        <v>2</v>
      </c>
    </row>
    <row r="1640" spans="1:19" hidden="1" x14ac:dyDescent="0.25">
      <c r="A1640" t="s">
        <v>1146</v>
      </c>
      <c r="B1640" t="s">
        <v>1173</v>
      </c>
      <c r="C1640">
        <v>3</v>
      </c>
      <c r="D1640" t="s">
        <v>1150</v>
      </c>
      <c r="E1640" t="s">
        <v>1167</v>
      </c>
      <c r="F1640" s="5" t="s">
        <v>27</v>
      </c>
      <c r="G1640" s="19">
        <v>40</v>
      </c>
      <c r="H1640" s="19">
        <v>45</v>
      </c>
      <c r="I1640" t="b">
        <v>0</v>
      </c>
      <c r="J1640" t="s">
        <v>1151</v>
      </c>
      <c r="K1640" t="s">
        <v>32</v>
      </c>
      <c r="Q1640" t="s">
        <v>1148</v>
      </c>
      <c r="R1640" t="s">
        <v>1148</v>
      </c>
      <c r="S1640" s="109">
        <v>7</v>
      </c>
    </row>
    <row r="1641" spans="1:19" hidden="1" x14ac:dyDescent="0.25">
      <c r="A1641" t="s">
        <v>1146</v>
      </c>
      <c r="B1641" t="s">
        <v>1173</v>
      </c>
      <c r="C1641">
        <v>3</v>
      </c>
      <c r="D1641" t="s">
        <v>29</v>
      </c>
      <c r="E1641" t="s">
        <v>1144</v>
      </c>
      <c r="F1641" s="5" t="s">
        <v>25</v>
      </c>
      <c r="G1641" s="19">
        <v>1</v>
      </c>
      <c r="H1641" s="19">
        <v>4</v>
      </c>
      <c r="I1641" t="b">
        <v>1</v>
      </c>
      <c r="J1641" t="s">
        <v>1153</v>
      </c>
      <c r="K1641" t="s">
        <v>32</v>
      </c>
      <c r="Q1641" t="s">
        <v>1148</v>
      </c>
      <c r="R1641" t="s">
        <v>1148</v>
      </c>
      <c r="S1641" s="6">
        <v>6</v>
      </c>
    </row>
    <row r="1642" spans="1:19" hidden="1" x14ac:dyDescent="0.25">
      <c r="A1642" t="s">
        <v>1146</v>
      </c>
      <c r="B1642" t="s">
        <v>1173</v>
      </c>
      <c r="C1642">
        <v>3</v>
      </c>
      <c r="D1642" t="s">
        <v>1154</v>
      </c>
      <c r="E1642" t="s">
        <v>1145</v>
      </c>
      <c r="F1642" s="5" t="s">
        <v>25</v>
      </c>
      <c r="G1642" s="19">
        <v>0</v>
      </c>
      <c r="H1642" s="19">
        <v>3</v>
      </c>
      <c r="I1642" t="b">
        <v>1</v>
      </c>
      <c r="J1642" t="s">
        <v>1156</v>
      </c>
      <c r="K1642" t="s">
        <v>32</v>
      </c>
      <c r="Q1642" t="s">
        <v>1148</v>
      </c>
      <c r="R1642" t="s">
        <v>1148</v>
      </c>
      <c r="S1642" s="6">
        <v>8</v>
      </c>
    </row>
    <row r="1643" spans="1:19" hidden="1" x14ac:dyDescent="0.25">
      <c r="A1643" t="s">
        <v>1146</v>
      </c>
      <c r="B1643" t="s">
        <v>1173</v>
      </c>
      <c r="C1643">
        <v>3</v>
      </c>
      <c r="D1643" t="s">
        <v>1157</v>
      </c>
      <c r="E1643" t="s">
        <v>1246</v>
      </c>
      <c r="F1643" s="5" t="s">
        <v>26</v>
      </c>
      <c r="G1643" s="19">
        <v>4</v>
      </c>
      <c r="H1643" s="19">
        <v>10</v>
      </c>
      <c r="I1643" t="b">
        <v>0</v>
      </c>
      <c r="J1643" t="s">
        <v>1158</v>
      </c>
      <c r="K1643" t="s">
        <v>32</v>
      </c>
      <c r="Q1643" t="s">
        <v>1148</v>
      </c>
      <c r="R1643" t="s">
        <v>1148</v>
      </c>
      <c r="S1643" s="6">
        <v>5</v>
      </c>
    </row>
    <row r="1644" spans="1:19" hidden="1" x14ac:dyDescent="0.25">
      <c r="A1644" t="s">
        <v>1146</v>
      </c>
      <c r="B1644" t="s">
        <v>1173</v>
      </c>
      <c r="C1644">
        <v>3</v>
      </c>
      <c r="D1644" t="s">
        <v>144</v>
      </c>
      <c r="E1644" t="s">
        <v>1145</v>
      </c>
      <c r="F1644" s="5" t="s">
        <v>25</v>
      </c>
      <c r="G1644" s="19">
        <v>0</v>
      </c>
      <c r="H1644" s="19">
        <v>3</v>
      </c>
      <c r="I1644" t="b">
        <v>1</v>
      </c>
      <c r="J1644" t="s">
        <v>1160</v>
      </c>
      <c r="K1644" t="s">
        <v>32</v>
      </c>
      <c r="Q1644" t="s">
        <v>1148</v>
      </c>
      <c r="R1644" t="s">
        <v>1148</v>
      </c>
      <c r="S1644" s="109">
        <v>9</v>
      </c>
    </row>
    <row r="1645" spans="1:19" hidden="1" x14ac:dyDescent="0.25">
      <c r="A1645" t="s">
        <v>1146</v>
      </c>
      <c r="B1645" t="s">
        <v>1173</v>
      </c>
      <c r="C1645">
        <v>3</v>
      </c>
      <c r="D1645" t="s">
        <v>1161</v>
      </c>
      <c r="E1645" t="s">
        <v>1245</v>
      </c>
      <c r="F1645" s="5" t="s">
        <v>26</v>
      </c>
      <c r="G1645" s="19">
        <v>10</v>
      </c>
      <c r="H1645" s="19">
        <v>20</v>
      </c>
      <c r="I1645" t="b">
        <v>0</v>
      </c>
      <c r="J1645" t="s">
        <v>1163</v>
      </c>
      <c r="K1645" t="s">
        <v>32</v>
      </c>
      <c r="Q1645" t="s">
        <v>1148</v>
      </c>
      <c r="R1645" t="s">
        <v>1148</v>
      </c>
      <c r="S1645" s="109">
        <v>4</v>
      </c>
    </row>
    <row r="1646" spans="1:19" hidden="1" x14ac:dyDescent="0.25">
      <c r="A1646" t="s">
        <v>1146</v>
      </c>
      <c r="B1646" t="s">
        <v>1173</v>
      </c>
      <c r="C1646">
        <v>3</v>
      </c>
      <c r="D1646" t="s">
        <v>109</v>
      </c>
      <c r="E1646" t="s">
        <v>1247</v>
      </c>
      <c r="F1646" s="5" t="s">
        <v>26</v>
      </c>
      <c r="G1646" s="19">
        <v>20</v>
      </c>
      <c r="H1646" s="19">
        <v>30</v>
      </c>
      <c r="I1646" t="b">
        <v>0</v>
      </c>
      <c r="J1646" t="s">
        <v>1164</v>
      </c>
      <c r="K1646" t="s">
        <v>32</v>
      </c>
      <c r="Q1646" t="s">
        <v>1148</v>
      </c>
      <c r="R1646" t="s">
        <v>1148</v>
      </c>
      <c r="S1646" s="109">
        <v>3</v>
      </c>
    </row>
    <row r="1647" spans="1:19" hidden="1" x14ac:dyDescent="0.25">
      <c r="A1647" t="s">
        <v>1146</v>
      </c>
      <c r="B1647" t="s">
        <v>1173</v>
      </c>
      <c r="C1647">
        <v>4</v>
      </c>
      <c r="D1647" t="s">
        <v>11</v>
      </c>
      <c r="E1647" t="s">
        <v>1168</v>
      </c>
      <c r="F1647" s="5" t="s">
        <v>25</v>
      </c>
      <c r="G1647" s="19">
        <v>20</v>
      </c>
      <c r="H1647" s="19">
        <v>25</v>
      </c>
      <c r="I1647" t="b">
        <v>1</v>
      </c>
      <c r="J1647" t="s">
        <v>0</v>
      </c>
      <c r="K1647" t="s">
        <v>32</v>
      </c>
      <c r="Q1647" t="s">
        <v>1148</v>
      </c>
      <c r="R1647" t="s">
        <v>1148</v>
      </c>
      <c r="S1647" s="109">
        <v>1</v>
      </c>
    </row>
    <row r="1648" spans="1:19" hidden="1" x14ac:dyDescent="0.25">
      <c r="A1648" t="s">
        <v>1146</v>
      </c>
      <c r="B1648" t="s">
        <v>1173</v>
      </c>
      <c r="C1648">
        <v>4</v>
      </c>
      <c r="D1648" t="s">
        <v>13</v>
      </c>
      <c r="E1648" t="s">
        <v>1169</v>
      </c>
      <c r="F1648" s="5" t="s">
        <v>25</v>
      </c>
      <c r="G1648" s="19">
        <v>6</v>
      </c>
      <c r="H1648" s="19">
        <v>11</v>
      </c>
      <c r="I1648" t="b">
        <v>1</v>
      </c>
      <c r="J1648" t="s">
        <v>10</v>
      </c>
      <c r="K1648" t="s">
        <v>32</v>
      </c>
      <c r="Q1648" t="s">
        <v>1148</v>
      </c>
      <c r="R1648" t="s">
        <v>1148</v>
      </c>
      <c r="S1648" s="6">
        <v>2</v>
      </c>
    </row>
    <row r="1649" spans="1:19" hidden="1" x14ac:dyDescent="0.25">
      <c r="A1649" t="s">
        <v>1146</v>
      </c>
      <c r="B1649" t="s">
        <v>1173</v>
      </c>
      <c r="C1649">
        <v>4</v>
      </c>
      <c r="D1649" t="s">
        <v>1157</v>
      </c>
      <c r="E1649" t="s">
        <v>1248</v>
      </c>
      <c r="F1649" s="5" t="s">
        <v>26</v>
      </c>
      <c r="G1649" s="19">
        <v>15</v>
      </c>
      <c r="H1649" s="19">
        <v>25</v>
      </c>
      <c r="I1649" t="b">
        <v>0</v>
      </c>
      <c r="J1649" t="s">
        <v>1158</v>
      </c>
      <c r="K1649" t="s">
        <v>32</v>
      </c>
      <c r="Q1649" t="s">
        <v>1148</v>
      </c>
      <c r="R1649" t="s">
        <v>1148</v>
      </c>
      <c r="S1649" s="6">
        <v>5</v>
      </c>
    </row>
    <row r="1650" spans="1:19" hidden="1" x14ac:dyDescent="0.25">
      <c r="A1650" t="s">
        <v>1146</v>
      </c>
      <c r="B1650" t="s">
        <v>1173</v>
      </c>
      <c r="C1650">
        <v>4</v>
      </c>
      <c r="D1650" t="s">
        <v>1150</v>
      </c>
      <c r="E1650" t="s">
        <v>1249</v>
      </c>
      <c r="F1650" s="5" t="s">
        <v>26</v>
      </c>
      <c r="G1650" s="19">
        <v>45</v>
      </c>
      <c r="H1650" s="19">
        <v>55</v>
      </c>
      <c r="I1650" t="b">
        <v>0</v>
      </c>
      <c r="J1650" t="s">
        <v>1151</v>
      </c>
      <c r="K1650" t="s">
        <v>32</v>
      </c>
      <c r="L1650" t="s">
        <v>716</v>
      </c>
      <c r="M1650" t="s">
        <v>1170</v>
      </c>
      <c r="Q1650" t="s">
        <v>1148</v>
      </c>
      <c r="R1650" t="s">
        <v>1148</v>
      </c>
      <c r="S1650" s="109">
        <v>7</v>
      </c>
    </row>
    <row r="1651" spans="1:19" hidden="1" x14ac:dyDescent="0.25">
      <c r="A1651" t="s">
        <v>1146</v>
      </c>
      <c r="B1651" t="s">
        <v>1173</v>
      </c>
      <c r="C1651">
        <v>4</v>
      </c>
      <c r="D1651" t="s">
        <v>29</v>
      </c>
      <c r="E1651" t="s">
        <v>1143</v>
      </c>
      <c r="F1651" s="5" t="s">
        <v>25</v>
      </c>
      <c r="G1651" s="19">
        <v>0</v>
      </c>
      <c r="H1651" s="19">
        <v>1</v>
      </c>
      <c r="I1651" t="b">
        <v>1</v>
      </c>
      <c r="J1651" t="s">
        <v>1153</v>
      </c>
      <c r="K1651" t="s">
        <v>32</v>
      </c>
      <c r="L1651" t="s">
        <v>716</v>
      </c>
      <c r="M1651" t="s">
        <v>1170</v>
      </c>
      <c r="Q1651" t="s">
        <v>1148</v>
      </c>
      <c r="R1651" t="s">
        <v>1148</v>
      </c>
      <c r="S1651" s="6">
        <v>6</v>
      </c>
    </row>
    <row r="1652" spans="1:19" hidden="1" x14ac:dyDescent="0.25">
      <c r="A1652" t="s">
        <v>1146</v>
      </c>
      <c r="B1652" t="s">
        <v>1173</v>
      </c>
      <c r="C1652">
        <v>4</v>
      </c>
      <c r="D1652" t="s">
        <v>1161</v>
      </c>
      <c r="E1652" t="s">
        <v>1247</v>
      </c>
      <c r="F1652" s="5" t="s">
        <v>26</v>
      </c>
      <c r="G1652" s="19">
        <v>20</v>
      </c>
      <c r="H1652" s="19">
        <v>30</v>
      </c>
      <c r="I1652" t="b">
        <v>0</v>
      </c>
      <c r="J1652" t="s">
        <v>1163</v>
      </c>
      <c r="K1652" t="s">
        <v>32</v>
      </c>
      <c r="L1652" t="s">
        <v>716</v>
      </c>
      <c r="M1652" t="s">
        <v>1170</v>
      </c>
      <c r="Q1652" t="s">
        <v>1148</v>
      </c>
      <c r="R1652" t="s">
        <v>1148</v>
      </c>
      <c r="S1652" s="109">
        <v>4</v>
      </c>
    </row>
    <row r="1653" spans="1:19" hidden="1" x14ac:dyDescent="0.25">
      <c r="A1653" t="s">
        <v>1146</v>
      </c>
      <c r="B1653" t="s">
        <v>1173</v>
      </c>
      <c r="C1653">
        <v>4</v>
      </c>
      <c r="D1653" t="s">
        <v>109</v>
      </c>
      <c r="E1653" t="s">
        <v>1243</v>
      </c>
      <c r="F1653" s="5" t="s">
        <v>26</v>
      </c>
      <c r="G1653" s="19">
        <v>30</v>
      </c>
      <c r="H1653" s="19">
        <v>40</v>
      </c>
      <c r="I1653" t="b">
        <v>0</v>
      </c>
      <c r="J1653" t="s">
        <v>1164</v>
      </c>
      <c r="K1653" t="s">
        <v>32</v>
      </c>
      <c r="L1653" t="s">
        <v>716</v>
      </c>
      <c r="M1653" t="s">
        <v>1170</v>
      </c>
      <c r="Q1653" t="s">
        <v>1148</v>
      </c>
      <c r="R1653" t="s">
        <v>1148</v>
      </c>
      <c r="S1653" s="109">
        <v>3</v>
      </c>
    </row>
    <row r="1654" spans="1:19" hidden="1" x14ac:dyDescent="0.25">
      <c r="A1654" t="s">
        <v>1146</v>
      </c>
      <c r="B1654" t="s">
        <v>1173</v>
      </c>
      <c r="C1654">
        <v>5</v>
      </c>
      <c r="D1654" t="s">
        <v>11</v>
      </c>
      <c r="E1654" t="s">
        <v>524</v>
      </c>
      <c r="F1654" s="5" t="s">
        <v>24</v>
      </c>
      <c r="G1654" s="19">
        <v>10</v>
      </c>
      <c r="H1654" s="19">
        <v>20</v>
      </c>
      <c r="I1654" t="b">
        <v>1</v>
      </c>
      <c r="J1654" t="s">
        <v>0</v>
      </c>
      <c r="K1654" t="s">
        <v>32</v>
      </c>
      <c r="L1654" t="s">
        <v>716</v>
      </c>
      <c r="M1654" t="s">
        <v>1170</v>
      </c>
      <c r="Q1654" t="s">
        <v>1148</v>
      </c>
      <c r="R1654" t="s">
        <v>1148</v>
      </c>
      <c r="S1654" s="109">
        <v>1</v>
      </c>
    </row>
    <row r="1655" spans="1:19" hidden="1" x14ac:dyDescent="0.25">
      <c r="A1655" t="s">
        <v>1146</v>
      </c>
      <c r="B1655" t="s">
        <v>1173</v>
      </c>
      <c r="C1655">
        <v>5</v>
      </c>
      <c r="D1655" t="s">
        <v>13</v>
      </c>
      <c r="E1655" t="s">
        <v>1171</v>
      </c>
      <c r="F1655" s="5" t="s">
        <v>25</v>
      </c>
      <c r="G1655" s="19">
        <v>0</v>
      </c>
      <c r="H1655" s="19">
        <v>5</v>
      </c>
      <c r="I1655" t="b">
        <v>1</v>
      </c>
      <c r="J1655" t="s">
        <v>10</v>
      </c>
      <c r="K1655" t="s">
        <v>32</v>
      </c>
      <c r="L1655" t="s">
        <v>716</v>
      </c>
      <c r="M1655" t="s">
        <v>1170</v>
      </c>
      <c r="Q1655" t="s">
        <v>1148</v>
      </c>
      <c r="R1655" t="s">
        <v>1148</v>
      </c>
      <c r="S1655" s="6">
        <v>2</v>
      </c>
    </row>
    <row r="1656" spans="1:19" hidden="1" x14ac:dyDescent="0.25">
      <c r="A1656" t="s">
        <v>1146</v>
      </c>
      <c r="B1656" t="s">
        <v>1173</v>
      </c>
      <c r="C1656">
        <v>5</v>
      </c>
      <c r="D1656" t="s">
        <v>1157</v>
      </c>
      <c r="E1656" t="s">
        <v>1250</v>
      </c>
      <c r="F1656" s="5" t="s">
        <v>26</v>
      </c>
      <c r="G1656" s="19">
        <v>25</v>
      </c>
      <c r="H1656" s="19">
        <v>35</v>
      </c>
      <c r="I1656" t="b">
        <v>0</v>
      </c>
      <c r="J1656" t="s">
        <v>1158</v>
      </c>
      <c r="K1656" t="s">
        <v>32</v>
      </c>
      <c r="L1656" t="s">
        <v>716</v>
      </c>
      <c r="M1656" t="s">
        <v>1170</v>
      </c>
      <c r="Q1656" t="s">
        <v>1148</v>
      </c>
      <c r="R1656" t="s">
        <v>1148</v>
      </c>
      <c r="S1656" s="6">
        <v>5</v>
      </c>
    </row>
    <row r="1657" spans="1:19" hidden="1" x14ac:dyDescent="0.25">
      <c r="A1657" t="s">
        <v>1146</v>
      </c>
      <c r="B1657" t="s">
        <v>1173</v>
      </c>
      <c r="C1657">
        <v>5</v>
      </c>
      <c r="D1657" t="s">
        <v>1161</v>
      </c>
      <c r="E1657" t="s">
        <v>1172</v>
      </c>
      <c r="F1657" s="5" t="s">
        <v>27</v>
      </c>
      <c r="G1657" s="19">
        <v>35</v>
      </c>
      <c r="H1657" s="19">
        <v>40</v>
      </c>
      <c r="I1657" t="b">
        <v>0</v>
      </c>
      <c r="J1657" t="s">
        <v>1163</v>
      </c>
      <c r="K1657" t="s">
        <v>32</v>
      </c>
      <c r="L1657" t="s">
        <v>716</v>
      </c>
      <c r="M1657" t="s">
        <v>1170</v>
      </c>
      <c r="Q1657" t="s">
        <v>1148</v>
      </c>
      <c r="R1657" t="s">
        <v>1148</v>
      </c>
      <c r="S1657" s="109">
        <v>4</v>
      </c>
    </row>
    <row r="1658" spans="1:19" hidden="1" x14ac:dyDescent="0.25">
      <c r="A1658" t="s">
        <v>1146</v>
      </c>
      <c r="B1658" t="s">
        <v>1173</v>
      </c>
      <c r="C1658">
        <v>5</v>
      </c>
      <c r="D1658" t="s">
        <v>109</v>
      </c>
      <c r="E1658" t="s">
        <v>1249</v>
      </c>
      <c r="F1658" s="5" t="s">
        <v>26</v>
      </c>
      <c r="G1658" s="19">
        <v>45</v>
      </c>
      <c r="H1658" s="19">
        <v>55</v>
      </c>
      <c r="I1658" t="b">
        <v>0</v>
      </c>
      <c r="J1658" t="s">
        <v>1164</v>
      </c>
      <c r="K1658" t="s">
        <v>32</v>
      </c>
      <c r="L1658" t="s">
        <v>716</v>
      </c>
      <c r="M1658" t="s">
        <v>1170</v>
      </c>
      <c r="Q1658" t="s">
        <v>1148</v>
      </c>
      <c r="R1658" t="s">
        <v>1148</v>
      </c>
      <c r="S1658" s="109">
        <v>3</v>
      </c>
    </row>
    <row r="1659" spans="1:19" hidden="1" x14ac:dyDescent="0.25">
      <c r="A1659" t="s">
        <v>1146</v>
      </c>
      <c r="B1659" t="s">
        <v>1174</v>
      </c>
      <c r="C1659">
        <v>2</v>
      </c>
      <c r="D1659" t="s">
        <v>11</v>
      </c>
      <c r="E1659" t="s">
        <v>541</v>
      </c>
      <c r="F1659" s="5" t="s">
        <v>24</v>
      </c>
      <c r="G1659" s="19">
        <v>35</v>
      </c>
      <c r="H1659" s="19">
        <v>45</v>
      </c>
      <c r="I1659" t="b">
        <v>1</v>
      </c>
      <c r="J1659" t="s">
        <v>0</v>
      </c>
      <c r="K1659" t="s">
        <v>32</v>
      </c>
      <c r="Q1659" t="s">
        <v>1148</v>
      </c>
      <c r="R1659" t="s">
        <v>1148</v>
      </c>
      <c r="S1659" s="109">
        <v>1</v>
      </c>
    </row>
    <row r="1660" spans="1:19" hidden="1" x14ac:dyDescent="0.25">
      <c r="A1660" t="s">
        <v>1146</v>
      </c>
      <c r="B1660" t="s">
        <v>1174</v>
      </c>
      <c r="C1660">
        <v>2</v>
      </c>
      <c r="D1660" t="s">
        <v>13</v>
      </c>
      <c r="E1660" t="s">
        <v>1149</v>
      </c>
      <c r="F1660" s="5" t="s">
        <v>25</v>
      </c>
      <c r="G1660" s="19">
        <v>16</v>
      </c>
      <c r="H1660" s="19">
        <v>21</v>
      </c>
      <c r="I1660" t="b">
        <v>1</v>
      </c>
      <c r="J1660" t="s">
        <v>10</v>
      </c>
      <c r="K1660" t="s">
        <v>32</v>
      </c>
      <c r="Q1660" t="s">
        <v>1148</v>
      </c>
      <c r="R1660" t="s">
        <v>1148</v>
      </c>
      <c r="S1660" s="6">
        <v>2</v>
      </c>
    </row>
    <row r="1661" spans="1:19" hidden="1" x14ac:dyDescent="0.25">
      <c r="A1661" t="s">
        <v>1146</v>
      </c>
      <c r="B1661" t="s">
        <v>1174</v>
      </c>
      <c r="C1661">
        <v>2</v>
      </c>
      <c r="D1661" t="s">
        <v>1150</v>
      </c>
      <c r="E1661" t="s">
        <v>1243</v>
      </c>
      <c r="F1661" s="5" t="s">
        <v>26</v>
      </c>
      <c r="G1661" s="19">
        <v>30</v>
      </c>
      <c r="H1661" s="19">
        <v>40</v>
      </c>
      <c r="I1661" t="b">
        <v>0</v>
      </c>
      <c r="J1661" t="s">
        <v>1151</v>
      </c>
      <c r="K1661" t="s">
        <v>32</v>
      </c>
      <c r="Q1661" t="s">
        <v>1148</v>
      </c>
      <c r="R1661" t="s">
        <v>1148</v>
      </c>
      <c r="S1661" s="109">
        <v>7</v>
      </c>
    </row>
    <row r="1662" spans="1:19" hidden="1" x14ac:dyDescent="0.25">
      <c r="A1662" t="s">
        <v>1146</v>
      </c>
      <c r="B1662" t="s">
        <v>1174</v>
      </c>
      <c r="C1662">
        <v>2</v>
      </c>
      <c r="D1662" t="s">
        <v>29</v>
      </c>
      <c r="E1662" t="s">
        <v>1152</v>
      </c>
      <c r="F1662" s="5" t="s">
        <v>25</v>
      </c>
      <c r="G1662" s="19">
        <v>4</v>
      </c>
      <c r="H1662" s="19">
        <v>9</v>
      </c>
      <c r="I1662" t="b">
        <v>1</v>
      </c>
      <c r="J1662" t="s">
        <v>1153</v>
      </c>
      <c r="K1662" t="s">
        <v>32</v>
      </c>
      <c r="Q1662" t="s">
        <v>1148</v>
      </c>
      <c r="R1662" t="s">
        <v>1148</v>
      </c>
      <c r="S1662" s="6">
        <v>6</v>
      </c>
    </row>
    <row r="1663" spans="1:19" hidden="1" x14ac:dyDescent="0.25">
      <c r="A1663" t="s">
        <v>1146</v>
      </c>
      <c r="B1663" t="s">
        <v>1174</v>
      </c>
      <c r="C1663">
        <v>2</v>
      </c>
      <c r="D1663" t="s">
        <v>1154</v>
      </c>
      <c r="E1663" t="s">
        <v>1155</v>
      </c>
      <c r="F1663" s="5" t="s">
        <v>25</v>
      </c>
      <c r="G1663" s="19">
        <v>5</v>
      </c>
      <c r="H1663" s="19">
        <v>10</v>
      </c>
      <c r="I1663" t="b">
        <v>1</v>
      </c>
      <c r="J1663" t="s">
        <v>1156</v>
      </c>
      <c r="K1663" t="s">
        <v>32</v>
      </c>
      <c r="Q1663" t="s">
        <v>1148</v>
      </c>
      <c r="R1663" t="s">
        <v>1148</v>
      </c>
      <c r="S1663" s="6">
        <v>8</v>
      </c>
    </row>
    <row r="1664" spans="1:19" hidden="1" x14ac:dyDescent="0.25">
      <c r="A1664" t="s">
        <v>1146</v>
      </c>
      <c r="B1664" t="s">
        <v>1174</v>
      </c>
      <c r="C1664">
        <v>2</v>
      </c>
      <c r="D1664" t="s">
        <v>1157</v>
      </c>
      <c r="E1664" t="s">
        <v>1244</v>
      </c>
      <c r="F1664" s="5" t="s">
        <v>26</v>
      </c>
      <c r="G1664" s="19">
        <v>0</v>
      </c>
      <c r="H1664" s="19">
        <v>4</v>
      </c>
      <c r="I1664" t="b">
        <v>0</v>
      </c>
      <c r="J1664" t="s">
        <v>1158</v>
      </c>
      <c r="K1664" t="s">
        <v>32</v>
      </c>
      <c r="Q1664" t="s">
        <v>1148</v>
      </c>
      <c r="R1664" t="s">
        <v>1148</v>
      </c>
      <c r="S1664" s="6">
        <v>5</v>
      </c>
    </row>
    <row r="1665" spans="1:19" hidden="1" x14ac:dyDescent="0.25">
      <c r="A1665" t="s">
        <v>1146</v>
      </c>
      <c r="B1665" t="s">
        <v>1174</v>
      </c>
      <c r="C1665">
        <v>2</v>
      </c>
      <c r="D1665" t="s">
        <v>144</v>
      </c>
      <c r="E1665" t="s">
        <v>1159</v>
      </c>
      <c r="F1665" s="5" t="s">
        <v>25</v>
      </c>
      <c r="G1665" s="19">
        <v>3</v>
      </c>
      <c r="H1665" s="19">
        <v>6</v>
      </c>
      <c r="I1665" t="b">
        <v>1</v>
      </c>
      <c r="J1665" t="s">
        <v>1160</v>
      </c>
      <c r="K1665" t="s">
        <v>32</v>
      </c>
      <c r="Q1665" t="s">
        <v>1148</v>
      </c>
      <c r="R1665" t="s">
        <v>1148</v>
      </c>
      <c r="S1665" s="109">
        <v>9</v>
      </c>
    </row>
    <row r="1666" spans="1:19" hidden="1" x14ac:dyDescent="0.25">
      <c r="A1666" t="s">
        <v>1146</v>
      </c>
      <c r="B1666" t="s">
        <v>1174</v>
      </c>
      <c r="C1666">
        <v>2</v>
      </c>
      <c r="D1666" t="s">
        <v>1161</v>
      </c>
      <c r="E1666" t="s">
        <v>1162</v>
      </c>
      <c r="F1666" s="5" t="s">
        <v>27</v>
      </c>
      <c r="G1666" s="19">
        <v>5</v>
      </c>
      <c r="H1666" s="19">
        <v>10</v>
      </c>
      <c r="I1666" t="b">
        <v>0</v>
      </c>
      <c r="J1666" t="s">
        <v>1163</v>
      </c>
      <c r="K1666" t="s">
        <v>32</v>
      </c>
      <c r="Q1666" t="s">
        <v>1148</v>
      </c>
      <c r="R1666" t="s">
        <v>1148</v>
      </c>
      <c r="S1666" s="109">
        <v>4</v>
      </c>
    </row>
    <row r="1667" spans="1:19" hidden="1" x14ac:dyDescent="0.25">
      <c r="A1667" t="s">
        <v>1146</v>
      </c>
      <c r="B1667" t="s">
        <v>1174</v>
      </c>
      <c r="C1667">
        <v>2</v>
      </c>
      <c r="D1667" t="s">
        <v>109</v>
      </c>
      <c r="E1667" t="s">
        <v>1245</v>
      </c>
      <c r="F1667" s="5" t="s">
        <v>26</v>
      </c>
      <c r="G1667" s="19">
        <v>10</v>
      </c>
      <c r="H1667" s="19">
        <v>20</v>
      </c>
      <c r="I1667" t="b">
        <v>0</v>
      </c>
      <c r="J1667" t="s">
        <v>1164</v>
      </c>
      <c r="K1667" t="s">
        <v>32</v>
      </c>
      <c r="Q1667" t="s">
        <v>1148</v>
      </c>
      <c r="R1667" t="s">
        <v>1148</v>
      </c>
      <c r="S1667" s="109">
        <v>3</v>
      </c>
    </row>
    <row r="1668" spans="1:19" hidden="1" x14ac:dyDescent="0.25">
      <c r="A1668" t="s">
        <v>1146</v>
      </c>
      <c r="B1668" t="s">
        <v>1174</v>
      </c>
      <c r="C1668">
        <v>3</v>
      </c>
      <c r="D1668" t="s">
        <v>11</v>
      </c>
      <c r="E1668" t="s">
        <v>1165</v>
      </c>
      <c r="F1668" s="5" t="s">
        <v>25</v>
      </c>
      <c r="G1668" s="19">
        <v>30</v>
      </c>
      <c r="H1668" s="19">
        <v>35</v>
      </c>
      <c r="I1668" t="b">
        <v>1</v>
      </c>
      <c r="J1668" t="s">
        <v>0</v>
      </c>
      <c r="K1668" t="s">
        <v>32</v>
      </c>
      <c r="Q1668" t="s">
        <v>1148</v>
      </c>
      <c r="R1668" t="s">
        <v>1148</v>
      </c>
      <c r="S1668" s="109">
        <v>1</v>
      </c>
    </row>
    <row r="1669" spans="1:19" hidden="1" x14ac:dyDescent="0.25">
      <c r="A1669" t="s">
        <v>1146</v>
      </c>
      <c r="B1669" t="s">
        <v>1174</v>
      </c>
      <c r="C1669">
        <v>3</v>
      </c>
      <c r="D1669" t="s">
        <v>13</v>
      </c>
      <c r="E1669" t="s">
        <v>1166</v>
      </c>
      <c r="F1669" s="5" t="s">
        <v>25</v>
      </c>
      <c r="G1669" s="19">
        <v>11</v>
      </c>
      <c r="H1669" s="19">
        <v>16</v>
      </c>
      <c r="I1669" t="b">
        <v>1</v>
      </c>
      <c r="J1669" t="s">
        <v>10</v>
      </c>
      <c r="K1669" t="s">
        <v>32</v>
      </c>
      <c r="Q1669" t="s">
        <v>1148</v>
      </c>
      <c r="R1669" t="s">
        <v>1148</v>
      </c>
      <c r="S1669" s="6">
        <v>2</v>
      </c>
    </row>
    <row r="1670" spans="1:19" hidden="1" x14ac:dyDescent="0.25">
      <c r="A1670" t="s">
        <v>1146</v>
      </c>
      <c r="B1670" t="s">
        <v>1174</v>
      </c>
      <c r="C1670">
        <v>3</v>
      </c>
      <c r="D1670" t="s">
        <v>1150</v>
      </c>
      <c r="E1670" t="s">
        <v>1167</v>
      </c>
      <c r="F1670" s="5" t="s">
        <v>27</v>
      </c>
      <c r="G1670" s="19">
        <v>40</v>
      </c>
      <c r="H1670" s="19">
        <v>45</v>
      </c>
      <c r="I1670" t="b">
        <v>0</v>
      </c>
      <c r="J1670" t="s">
        <v>1151</v>
      </c>
      <c r="K1670" t="s">
        <v>32</v>
      </c>
      <c r="Q1670" t="s">
        <v>1148</v>
      </c>
      <c r="R1670" t="s">
        <v>1148</v>
      </c>
      <c r="S1670" s="109">
        <v>7</v>
      </c>
    </row>
    <row r="1671" spans="1:19" hidden="1" x14ac:dyDescent="0.25">
      <c r="A1671" t="s">
        <v>1146</v>
      </c>
      <c r="B1671" t="s">
        <v>1174</v>
      </c>
      <c r="C1671">
        <v>3</v>
      </c>
      <c r="D1671" t="s">
        <v>29</v>
      </c>
      <c r="E1671" t="s">
        <v>1144</v>
      </c>
      <c r="F1671" s="5" t="s">
        <v>25</v>
      </c>
      <c r="G1671" s="19">
        <v>1</v>
      </c>
      <c r="H1671" s="19">
        <v>4</v>
      </c>
      <c r="I1671" t="b">
        <v>1</v>
      </c>
      <c r="J1671" t="s">
        <v>1153</v>
      </c>
      <c r="K1671" t="s">
        <v>32</v>
      </c>
      <c r="Q1671" t="s">
        <v>1148</v>
      </c>
      <c r="R1671" t="s">
        <v>1148</v>
      </c>
      <c r="S1671" s="6">
        <v>6</v>
      </c>
    </row>
    <row r="1672" spans="1:19" hidden="1" x14ac:dyDescent="0.25">
      <c r="A1672" t="s">
        <v>1146</v>
      </c>
      <c r="B1672" t="s">
        <v>1174</v>
      </c>
      <c r="C1672">
        <v>3</v>
      </c>
      <c r="D1672" t="s">
        <v>1154</v>
      </c>
      <c r="E1672" t="s">
        <v>1145</v>
      </c>
      <c r="F1672" s="5" t="s">
        <v>25</v>
      </c>
      <c r="G1672" s="19">
        <v>0</v>
      </c>
      <c r="H1672" s="19">
        <v>3</v>
      </c>
      <c r="I1672" t="b">
        <v>1</v>
      </c>
      <c r="J1672" t="s">
        <v>1156</v>
      </c>
      <c r="K1672" t="s">
        <v>32</v>
      </c>
      <c r="Q1672" t="s">
        <v>1148</v>
      </c>
      <c r="R1672" t="s">
        <v>1148</v>
      </c>
      <c r="S1672" s="6">
        <v>8</v>
      </c>
    </row>
    <row r="1673" spans="1:19" hidden="1" x14ac:dyDescent="0.25">
      <c r="A1673" t="s">
        <v>1146</v>
      </c>
      <c r="B1673" t="s">
        <v>1174</v>
      </c>
      <c r="C1673">
        <v>3</v>
      </c>
      <c r="D1673" t="s">
        <v>1157</v>
      </c>
      <c r="E1673" t="s">
        <v>1246</v>
      </c>
      <c r="F1673" s="5" t="s">
        <v>26</v>
      </c>
      <c r="G1673" s="19">
        <v>4</v>
      </c>
      <c r="H1673" s="19">
        <v>10</v>
      </c>
      <c r="I1673" t="b">
        <v>0</v>
      </c>
      <c r="J1673" t="s">
        <v>1158</v>
      </c>
      <c r="K1673" t="s">
        <v>32</v>
      </c>
      <c r="Q1673" t="s">
        <v>1148</v>
      </c>
      <c r="R1673" t="s">
        <v>1148</v>
      </c>
      <c r="S1673" s="6">
        <v>5</v>
      </c>
    </row>
    <row r="1674" spans="1:19" hidden="1" x14ac:dyDescent="0.25">
      <c r="A1674" t="s">
        <v>1146</v>
      </c>
      <c r="B1674" t="s">
        <v>1174</v>
      </c>
      <c r="C1674">
        <v>3</v>
      </c>
      <c r="D1674" t="s">
        <v>144</v>
      </c>
      <c r="E1674" t="s">
        <v>1145</v>
      </c>
      <c r="F1674" s="5" t="s">
        <v>25</v>
      </c>
      <c r="G1674" s="19">
        <v>0</v>
      </c>
      <c r="H1674" s="19">
        <v>3</v>
      </c>
      <c r="I1674" t="b">
        <v>1</v>
      </c>
      <c r="J1674" t="s">
        <v>1160</v>
      </c>
      <c r="K1674" t="s">
        <v>32</v>
      </c>
      <c r="Q1674" t="s">
        <v>1148</v>
      </c>
      <c r="R1674" t="s">
        <v>1148</v>
      </c>
      <c r="S1674" s="109">
        <v>9</v>
      </c>
    </row>
    <row r="1675" spans="1:19" hidden="1" x14ac:dyDescent="0.25">
      <c r="A1675" t="s">
        <v>1146</v>
      </c>
      <c r="B1675" t="s">
        <v>1174</v>
      </c>
      <c r="C1675">
        <v>3</v>
      </c>
      <c r="D1675" t="s">
        <v>1161</v>
      </c>
      <c r="E1675" t="s">
        <v>1245</v>
      </c>
      <c r="F1675" s="5" t="s">
        <v>26</v>
      </c>
      <c r="G1675" s="19">
        <v>10</v>
      </c>
      <c r="H1675" s="19">
        <v>20</v>
      </c>
      <c r="I1675" t="b">
        <v>0</v>
      </c>
      <c r="J1675" t="s">
        <v>1163</v>
      </c>
      <c r="K1675" t="s">
        <v>32</v>
      </c>
      <c r="Q1675" t="s">
        <v>1148</v>
      </c>
      <c r="R1675" t="s">
        <v>1148</v>
      </c>
      <c r="S1675" s="109">
        <v>4</v>
      </c>
    </row>
    <row r="1676" spans="1:19" hidden="1" x14ac:dyDescent="0.25">
      <c r="A1676" t="s">
        <v>1146</v>
      </c>
      <c r="B1676" t="s">
        <v>1174</v>
      </c>
      <c r="C1676">
        <v>3</v>
      </c>
      <c r="D1676" t="s">
        <v>109</v>
      </c>
      <c r="E1676" t="s">
        <v>1247</v>
      </c>
      <c r="F1676" s="5" t="s">
        <v>26</v>
      </c>
      <c r="G1676" s="19">
        <v>20</v>
      </c>
      <c r="H1676" s="19">
        <v>30</v>
      </c>
      <c r="I1676" t="b">
        <v>0</v>
      </c>
      <c r="J1676" t="s">
        <v>1164</v>
      </c>
      <c r="K1676" t="s">
        <v>32</v>
      </c>
      <c r="Q1676" t="s">
        <v>1148</v>
      </c>
      <c r="R1676" t="s">
        <v>1148</v>
      </c>
      <c r="S1676" s="109">
        <v>3</v>
      </c>
    </row>
    <row r="1677" spans="1:19" hidden="1" x14ac:dyDescent="0.25">
      <c r="A1677" t="s">
        <v>1146</v>
      </c>
      <c r="B1677" t="s">
        <v>1174</v>
      </c>
      <c r="C1677">
        <v>4</v>
      </c>
      <c r="D1677" t="s">
        <v>11</v>
      </c>
      <c r="E1677" t="s">
        <v>1168</v>
      </c>
      <c r="F1677" s="5" t="s">
        <v>25</v>
      </c>
      <c r="G1677" s="19">
        <v>20</v>
      </c>
      <c r="H1677" s="19">
        <v>25</v>
      </c>
      <c r="I1677" t="b">
        <v>1</v>
      </c>
      <c r="J1677" t="s">
        <v>0</v>
      </c>
      <c r="K1677" t="s">
        <v>32</v>
      </c>
      <c r="Q1677" t="s">
        <v>1148</v>
      </c>
      <c r="R1677" t="s">
        <v>1148</v>
      </c>
      <c r="S1677" s="109">
        <v>1</v>
      </c>
    </row>
    <row r="1678" spans="1:19" hidden="1" x14ac:dyDescent="0.25">
      <c r="A1678" t="s">
        <v>1146</v>
      </c>
      <c r="B1678" t="s">
        <v>1174</v>
      </c>
      <c r="C1678">
        <v>4</v>
      </c>
      <c r="D1678" t="s">
        <v>13</v>
      </c>
      <c r="E1678" t="s">
        <v>1169</v>
      </c>
      <c r="F1678" s="5" t="s">
        <v>25</v>
      </c>
      <c r="G1678" s="19">
        <v>6</v>
      </c>
      <c r="H1678" s="19">
        <v>11</v>
      </c>
      <c r="I1678" t="b">
        <v>1</v>
      </c>
      <c r="J1678" t="s">
        <v>10</v>
      </c>
      <c r="K1678" t="s">
        <v>32</v>
      </c>
      <c r="Q1678" t="s">
        <v>1148</v>
      </c>
      <c r="R1678" t="s">
        <v>1148</v>
      </c>
      <c r="S1678" s="6">
        <v>2</v>
      </c>
    </row>
    <row r="1679" spans="1:19" hidden="1" x14ac:dyDescent="0.25">
      <c r="A1679" t="s">
        <v>1146</v>
      </c>
      <c r="B1679" t="s">
        <v>1174</v>
      </c>
      <c r="C1679">
        <v>4</v>
      </c>
      <c r="D1679" t="s">
        <v>1157</v>
      </c>
      <c r="E1679" t="s">
        <v>1248</v>
      </c>
      <c r="F1679" s="5" t="s">
        <v>26</v>
      </c>
      <c r="G1679" s="19">
        <v>15</v>
      </c>
      <c r="H1679" s="19">
        <v>25</v>
      </c>
      <c r="I1679" t="b">
        <v>0</v>
      </c>
      <c r="J1679" t="s">
        <v>1158</v>
      </c>
      <c r="K1679" t="s">
        <v>32</v>
      </c>
      <c r="Q1679" t="s">
        <v>1148</v>
      </c>
      <c r="R1679" t="s">
        <v>1148</v>
      </c>
      <c r="S1679" s="6">
        <v>5</v>
      </c>
    </row>
    <row r="1680" spans="1:19" hidden="1" x14ac:dyDescent="0.25">
      <c r="A1680" t="s">
        <v>1146</v>
      </c>
      <c r="B1680" t="s">
        <v>1174</v>
      </c>
      <c r="C1680">
        <v>4</v>
      </c>
      <c r="D1680" t="s">
        <v>1150</v>
      </c>
      <c r="E1680" t="s">
        <v>1249</v>
      </c>
      <c r="F1680" s="5" t="s">
        <v>26</v>
      </c>
      <c r="G1680" s="19">
        <v>45</v>
      </c>
      <c r="H1680" s="19">
        <v>55</v>
      </c>
      <c r="I1680" t="b">
        <v>0</v>
      </c>
      <c r="J1680" t="s">
        <v>1151</v>
      </c>
      <c r="K1680" t="s">
        <v>32</v>
      </c>
      <c r="L1680" t="s">
        <v>716</v>
      </c>
      <c r="M1680" t="s">
        <v>1170</v>
      </c>
      <c r="Q1680" t="s">
        <v>1148</v>
      </c>
      <c r="R1680" t="s">
        <v>1148</v>
      </c>
      <c r="S1680" s="109">
        <v>7</v>
      </c>
    </row>
    <row r="1681" spans="1:19" hidden="1" x14ac:dyDescent="0.25">
      <c r="A1681" t="s">
        <v>1146</v>
      </c>
      <c r="B1681" t="s">
        <v>1174</v>
      </c>
      <c r="C1681">
        <v>4</v>
      </c>
      <c r="D1681" t="s">
        <v>29</v>
      </c>
      <c r="E1681" t="s">
        <v>1143</v>
      </c>
      <c r="F1681" s="5" t="s">
        <v>25</v>
      </c>
      <c r="G1681" s="19">
        <v>0</v>
      </c>
      <c r="H1681" s="19">
        <v>1</v>
      </c>
      <c r="I1681" t="b">
        <v>1</v>
      </c>
      <c r="J1681" t="s">
        <v>1153</v>
      </c>
      <c r="K1681" t="s">
        <v>32</v>
      </c>
      <c r="L1681" t="s">
        <v>716</v>
      </c>
      <c r="M1681" t="s">
        <v>1170</v>
      </c>
      <c r="Q1681" t="s">
        <v>1148</v>
      </c>
      <c r="R1681" t="s">
        <v>1148</v>
      </c>
      <c r="S1681" s="6">
        <v>6</v>
      </c>
    </row>
    <row r="1682" spans="1:19" hidden="1" x14ac:dyDescent="0.25">
      <c r="A1682" t="s">
        <v>1146</v>
      </c>
      <c r="B1682" t="s">
        <v>1174</v>
      </c>
      <c r="C1682">
        <v>4</v>
      </c>
      <c r="D1682" t="s">
        <v>1161</v>
      </c>
      <c r="E1682" t="s">
        <v>1247</v>
      </c>
      <c r="F1682" s="5" t="s">
        <v>26</v>
      </c>
      <c r="G1682" s="19">
        <v>20</v>
      </c>
      <c r="H1682" s="19">
        <v>30</v>
      </c>
      <c r="I1682" t="b">
        <v>0</v>
      </c>
      <c r="J1682" t="s">
        <v>1163</v>
      </c>
      <c r="K1682" t="s">
        <v>32</v>
      </c>
      <c r="L1682" t="s">
        <v>716</v>
      </c>
      <c r="M1682" t="s">
        <v>1170</v>
      </c>
      <c r="Q1682" t="s">
        <v>1148</v>
      </c>
      <c r="R1682" t="s">
        <v>1148</v>
      </c>
      <c r="S1682" s="109">
        <v>4</v>
      </c>
    </row>
    <row r="1683" spans="1:19" hidden="1" x14ac:dyDescent="0.25">
      <c r="A1683" t="s">
        <v>1146</v>
      </c>
      <c r="B1683" t="s">
        <v>1174</v>
      </c>
      <c r="C1683">
        <v>4</v>
      </c>
      <c r="D1683" t="s">
        <v>109</v>
      </c>
      <c r="E1683" t="s">
        <v>1243</v>
      </c>
      <c r="F1683" s="5" t="s">
        <v>26</v>
      </c>
      <c r="G1683" s="19">
        <v>30</v>
      </c>
      <c r="H1683" s="19">
        <v>40</v>
      </c>
      <c r="I1683" t="b">
        <v>0</v>
      </c>
      <c r="J1683" t="s">
        <v>1164</v>
      </c>
      <c r="K1683" t="s">
        <v>32</v>
      </c>
      <c r="L1683" t="s">
        <v>716</v>
      </c>
      <c r="M1683" t="s">
        <v>1170</v>
      </c>
      <c r="Q1683" t="s">
        <v>1148</v>
      </c>
      <c r="R1683" t="s">
        <v>1148</v>
      </c>
      <c r="S1683" s="109">
        <v>3</v>
      </c>
    </row>
    <row r="1684" spans="1:19" hidden="1" x14ac:dyDescent="0.25">
      <c r="A1684" t="s">
        <v>1146</v>
      </c>
      <c r="B1684" t="s">
        <v>1174</v>
      </c>
      <c r="C1684">
        <v>5</v>
      </c>
      <c r="D1684" t="s">
        <v>11</v>
      </c>
      <c r="E1684" t="s">
        <v>524</v>
      </c>
      <c r="F1684" s="5" t="s">
        <v>24</v>
      </c>
      <c r="G1684" s="19">
        <v>10</v>
      </c>
      <c r="H1684" s="19">
        <v>20</v>
      </c>
      <c r="I1684" t="b">
        <v>1</v>
      </c>
      <c r="J1684" t="s">
        <v>0</v>
      </c>
      <c r="K1684" t="s">
        <v>32</v>
      </c>
      <c r="L1684" t="s">
        <v>716</v>
      </c>
      <c r="M1684" t="s">
        <v>1170</v>
      </c>
      <c r="Q1684" t="s">
        <v>1148</v>
      </c>
      <c r="R1684" t="s">
        <v>1148</v>
      </c>
      <c r="S1684" s="109">
        <v>1</v>
      </c>
    </row>
    <row r="1685" spans="1:19" hidden="1" x14ac:dyDescent="0.25">
      <c r="A1685" t="s">
        <v>1146</v>
      </c>
      <c r="B1685" t="s">
        <v>1174</v>
      </c>
      <c r="C1685">
        <v>5</v>
      </c>
      <c r="D1685" t="s">
        <v>13</v>
      </c>
      <c r="E1685" t="s">
        <v>1171</v>
      </c>
      <c r="F1685" s="5" t="s">
        <v>25</v>
      </c>
      <c r="G1685" s="19">
        <v>0</v>
      </c>
      <c r="H1685" s="19">
        <v>5</v>
      </c>
      <c r="I1685" t="b">
        <v>1</v>
      </c>
      <c r="J1685" t="s">
        <v>10</v>
      </c>
      <c r="K1685" t="s">
        <v>32</v>
      </c>
      <c r="L1685" t="s">
        <v>716</v>
      </c>
      <c r="M1685" t="s">
        <v>1170</v>
      </c>
      <c r="Q1685" t="s">
        <v>1148</v>
      </c>
      <c r="R1685" t="s">
        <v>1148</v>
      </c>
      <c r="S1685" s="6">
        <v>2</v>
      </c>
    </row>
    <row r="1686" spans="1:19" hidden="1" x14ac:dyDescent="0.25">
      <c r="A1686" t="s">
        <v>1146</v>
      </c>
      <c r="B1686" t="s">
        <v>1174</v>
      </c>
      <c r="C1686">
        <v>5</v>
      </c>
      <c r="D1686" t="s">
        <v>1157</v>
      </c>
      <c r="E1686" t="s">
        <v>1250</v>
      </c>
      <c r="F1686" s="5" t="s">
        <v>26</v>
      </c>
      <c r="G1686" s="19">
        <v>25</v>
      </c>
      <c r="H1686" s="19">
        <v>35</v>
      </c>
      <c r="I1686" t="b">
        <v>0</v>
      </c>
      <c r="J1686" t="s">
        <v>1158</v>
      </c>
      <c r="K1686" t="s">
        <v>32</v>
      </c>
      <c r="L1686" t="s">
        <v>716</v>
      </c>
      <c r="M1686" t="s">
        <v>1170</v>
      </c>
      <c r="Q1686" t="s">
        <v>1148</v>
      </c>
      <c r="R1686" t="s">
        <v>1148</v>
      </c>
      <c r="S1686" s="6">
        <v>5</v>
      </c>
    </row>
    <row r="1687" spans="1:19" hidden="1" x14ac:dyDescent="0.25">
      <c r="A1687" t="s">
        <v>1146</v>
      </c>
      <c r="B1687" t="s">
        <v>1174</v>
      </c>
      <c r="C1687">
        <v>5</v>
      </c>
      <c r="D1687" t="s">
        <v>1161</v>
      </c>
      <c r="E1687" t="s">
        <v>1172</v>
      </c>
      <c r="F1687" s="5" t="s">
        <v>27</v>
      </c>
      <c r="G1687" s="19">
        <v>35</v>
      </c>
      <c r="H1687" s="19">
        <v>40</v>
      </c>
      <c r="I1687" t="b">
        <v>0</v>
      </c>
      <c r="J1687" t="s">
        <v>1163</v>
      </c>
      <c r="K1687" t="s">
        <v>32</v>
      </c>
      <c r="L1687" t="s">
        <v>716</v>
      </c>
      <c r="M1687" t="s">
        <v>1170</v>
      </c>
      <c r="Q1687" t="s">
        <v>1148</v>
      </c>
      <c r="R1687" t="s">
        <v>1148</v>
      </c>
      <c r="S1687" s="109">
        <v>4</v>
      </c>
    </row>
    <row r="1688" spans="1:19" hidden="1" x14ac:dyDescent="0.25">
      <c r="A1688" t="s">
        <v>1146</v>
      </c>
      <c r="B1688" t="s">
        <v>1174</v>
      </c>
      <c r="C1688">
        <v>5</v>
      </c>
      <c r="D1688" t="s">
        <v>109</v>
      </c>
      <c r="E1688" t="s">
        <v>1249</v>
      </c>
      <c r="F1688" s="5" t="s">
        <v>26</v>
      </c>
      <c r="G1688" s="19">
        <v>45</v>
      </c>
      <c r="H1688" s="19">
        <v>55</v>
      </c>
      <c r="I1688" t="b">
        <v>0</v>
      </c>
      <c r="J1688" t="s">
        <v>1164</v>
      </c>
      <c r="K1688" t="s">
        <v>32</v>
      </c>
      <c r="L1688" t="s">
        <v>716</v>
      </c>
      <c r="M1688" t="s">
        <v>1170</v>
      </c>
      <c r="Q1688" t="s">
        <v>1148</v>
      </c>
      <c r="R1688" t="s">
        <v>1148</v>
      </c>
      <c r="S1688" s="109">
        <v>3</v>
      </c>
    </row>
    <row r="1689" spans="1:19" hidden="1" x14ac:dyDescent="0.25">
      <c r="A1689" t="s">
        <v>1146</v>
      </c>
      <c r="B1689" t="s">
        <v>1175</v>
      </c>
      <c r="C1689">
        <v>2</v>
      </c>
      <c r="D1689" t="s">
        <v>11</v>
      </c>
      <c r="E1689" t="s">
        <v>1176</v>
      </c>
      <c r="F1689" s="5" t="s">
        <v>25</v>
      </c>
      <c r="G1689" s="19">
        <v>40</v>
      </c>
      <c r="H1689" s="19">
        <v>45</v>
      </c>
      <c r="I1689" t="b">
        <v>1</v>
      </c>
      <c r="J1689" t="s">
        <v>0</v>
      </c>
      <c r="K1689" t="s">
        <v>32</v>
      </c>
      <c r="Q1689" t="s">
        <v>1177</v>
      </c>
      <c r="R1689" t="s">
        <v>1177</v>
      </c>
      <c r="S1689" s="109">
        <v>1</v>
      </c>
    </row>
    <row r="1690" spans="1:19" hidden="1" x14ac:dyDescent="0.25">
      <c r="A1690" t="s">
        <v>1146</v>
      </c>
      <c r="B1690" t="s">
        <v>1175</v>
      </c>
      <c r="C1690">
        <v>2</v>
      </c>
      <c r="D1690" t="s">
        <v>13</v>
      </c>
      <c r="E1690" t="s">
        <v>1178</v>
      </c>
      <c r="F1690" s="5" t="s">
        <v>25</v>
      </c>
      <c r="G1690" s="19">
        <v>18</v>
      </c>
      <c r="H1690" s="19">
        <v>23</v>
      </c>
      <c r="I1690" t="b">
        <v>1</v>
      </c>
      <c r="J1690" t="s">
        <v>10</v>
      </c>
      <c r="K1690" t="s">
        <v>32</v>
      </c>
      <c r="Q1690" t="s">
        <v>1177</v>
      </c>
      <c r="R1690" t="s">
        <v>1177</v>
      </c>
      <c r="S1690" s="6">
        <v>2</v>
      </c>
    </row>
    <row r="1691" spans="1:19" hidden="1" x14ac:dyDescent="0.25">
      <c r="A1691" t="s">
        <v>1146</v>
      </c>
      <c r="B1691" t="s">
        <v>1175</v>
      </c>
      <c r="C1691">
        <v>2</v>
      </c>
      <c r="D1691" t="s">
        <v>1150</v>
      </c>
      <c r="E1691" t="s">
        <v>1250</v>
      </c>
      <c r="F1691" s="5" t="s">
        <v>26</v>
      </c>
      <c r="G1691" s="19">
        <v>25</v>
      </c>
      <c r="H1691" s="19">
        <v>35</v>
      </c>
      <c r="I1691" t="b">
        <v>0</v>
      </c>
      <c r="J1691" t="s">
        <v>1151</v>
      </c>
      <c r="K1691" t="s">
        <v>32</v>
      </c>
      <c r="Q1691" t="s">
        <v>1177</v>
      </c>
      <c r="R1691" t="s">
        <v>1177</v>
      </c>
      <c r="S1691" s="109">
        <v>7</v>
      </c>
    </row>
    <row r="1692" spans="1:19" hidden="1" x14ac:dyDescent="0.25">
      <c r="A1692" t="s">
        <v>1146</v>
      </c>
      <c r="B1692" t="s">
        <v>1175</v>
      </c>
      <c r="C1692">
        <v>2</v>
      </c>
      <c r="D1692" t="s">
        <v>29</v>
      </c>
      <c r="E1692" t="s">
        <v>1251</v>
      </c>
      <c r="F1692" s="5" t="s">
        <v>24</v>
      </c>
      <c r="G1692" s="19">
        <v>5</v>
      </c>
      <c r="H1692" s="19">
        <v>9</v>
      </c>
      <c r="I1692" t="b">
        <v>1</v>
      </c>
      <c r="J1692" t="s">
        <v>1153</v>
      </c>
      <c r="K1692" t="s">
        <v>32</v>
      </c>
      <c r="Q1692" t="s">
        <v>1177</v>
      </c>
      <c r="R1692" t="s">
        <v>1177</v>
      </c>
      <c r="S1692" s="6">
        <v>6</v>
      </c>
    </row>
    <row r="1693" spans="1:19" hidden="1" x14ac:dyDescent="0.25">
      <c r="A1693" t="s">
        <v>1146</v>
      </c>
      <c r="B1693" t="s">
        <v>1175</v>
      </c>
      <c r="C1693">
        <v>2</v>
      </c>
      <c r="D1693" t="s">
        <v>1154</v>
      </c>
      <c r="E1693" t="s">
        <v>1159</v>
      </c>
      <c r="F1693" s="5" t="s">
        <v>25</v>
      </c>
      <c r="G1693" s="19">
        <v>3</v>
      </c>
      <c r="H1693" s="19">
        <v>6</v>
      </c>
      <c r="I1693" t="b">
        <v>1</v>
      </c>
      <c r="J1693" t="s">
        <v>1156</v>
      </c>
      <c r="K1693" t="s">
        <v>32</v>
      </c>
      <c r="Q1693" t="s">
        <v>1177</v>
      </c>
      <c r="R1693" t="s">
        <v>1177</v>
      </c>
      <c r="S1693" s="6">
        <v>8</v>
      </c>
    </row>
    <row r="1694" spans="1:19" hidden="1" x14ac:dyDescent="0.25">
      <c r="A1694" t="s">
        <v>1146</v>
      </c>
      <c r="B1694" t="s">
        <v>1175</v>
      </c>
      <c r="C1694">
        <v>2</v>
      </c>
      <c r="D1694" t="s">
        <v>1157</v>
      </c>
      <c r="E1694" t="s">
        <v>1244</v>
      </c>
      <c r="F1694" s="5" t="s">
        <v>26</v>
      </c>
      <c r="G1694" s="19">
        <v>0</v>
      </c>
      <c r="H1694" s="19">
        <v>4</v>
      </c>
      <c r="I1694" t="b">
        <v>0</v>
      </c>
      <c r="J1694" t="s">
        <v>1158</v>
      </c>
      <c r="K1694" t="s">
        <v>32</v>
      </c>
      <c r="Q1694" t="s">
        <v>1177</v>
      </c>
      <c r="R1694" t="s">
        <v>1177</v>
      </c>
      <c r="S1694" s="6">
        <v>5</v>
      </c>
    </row>
    <row r="1695" spans="1:19" hidden="1" x14ac:dyDescent="0.25">
      <c r="A1695" t="s">
        <v>1146</v>
      </c>
      <c r="B1695" t="s">
        <v>1175</v>
      </c>
      <c r="C1695">
        <v>2</v>
      </c>
      <c r="D1695" t="s">
        <v>144</v>
      </c>
      <c r="E1695" t="s">
        <v>1144</v>
      </c>
      <c r="F1695" s="5" t="s">
        <v>25</v>
      </c>
      <c r="G1695" s="19">
        <v>1</v>
      </c>
      <c r="H1695" s="19">
        <v>4</v>
      </c>
      <c r="I1695" t="b">
        <v>1</v>
      </c>
      <c r="J1695" t="s">
        <v>1160</v>
      </c>
      <c r="K1695" t="s">
        <v>32</v>
      </c>
      <c r="Q1695" t="s">
        <v>1177</v>
      </c>
      <c r="R1695" t="s">
        <v>1177</v>
      </c>
      <c r="S1695" s="109">
        <v>9</v>
      </c>
    </row>
    <row r="1696" spans="1:19" hidden="1" x14ac:dyDescent="0.25">
      <c r="A1696" t="s">
        <v>1146</v>
      </c>
      <c r="B1696" t="s">
        <v>1175</v>
      </c>
      <c r="C1696">
        <v>2</v>
      </c>
      <c r="D1696" t="s">
        <v>1161</v>
      </c>
      <c r="E1696" t="s">
        <v>1162</v>
      </c>
      <c r="F1696" s="5" t="s">
        <v>27</v>
      </c>
      <c r="G1696" s="19">
        <v>5</v>
      </c>
      <c r="H1696" s="19">
        <v>10</v>
      </c>
      <c r="I1696" t="b">
        <v>0</v>
      </c>
      <c r="J1696" t="s">
        <v>1163</v>
      </c>
      <c r="K1696" t="s">
        <v>32</v>
      </c>
      <c r="Q1696" t="s">
        <v>1177</v>
      </c>
      <c r="R1696" t="s">
        <v>1177</v>
      </c>
      <c r="S1696" s="109">
        <v>4</v>
      </c>
    </row>
    <row r="1697" spans="1:19" hidden="1" x14ac:dyDescent="0.25">
      <c r="A1697" t="s">
        <v>1146</v>
      </c>
      <c r="B1697" t="s">
        <v>1175</v>
      </c>
      <c r="C1697">
        <v>2</v>
      </c>
      <c r="D1697" t="s">
        <v>109</v>
      </c>
      <c r="E1697" t="s">
        <v>1245</v>
      </c>
      <c r="F1697" s="5" t="s">
        <v>26</v>
      </c>
      <c r="G1697" s="19">
        <v>10</v>
      </c>
      <c r="H1697" s="19">
        <v>20</v>
      </c>
      <c r="I1697" t="b">
        <v>0</v>
      </c>
      <c r="J1697" t="s">
        <v>1164</v>
      </c>
      <c r="K1697" t="s">
        <v>32</v>
      </c>
      <c r="Q1697" t="s">
        <v>1177</v>
      </c>
      <c r="R1697" t="s">
        <v>1177</v>
      </c>
      <c r="S1697" s="109">
        <v>3</v>
      </c>
    </row>
    <row r="1698" spans="1:19" hidden="1" x14ac:dyDescent="0.25">
      <c r="A1698" t="s">
        <v>1146</v>
      </c>
      <c r="B1698" t="s">
        <v>1175</v>
      </c>
      <c r="C1698">
        <v>3</v>
      </c>
      <c r="D1698" t="s">
        <v>11</v>
      </c>
      <c r="E1698" t="s">
        <v>551</v>
      </c>
      <c r="F1698" s="5" t="s">
        <v>24</v>
      </c>
      <c r="G1698" s="19">
        <v>30</v>
      </c>
      <c r="H1698" s="19">
        <v>40</v>
      </c>
      <c r="I1698" t="b">
        <v>1</v>
      </c>
      <c r="J1698" t="s">
        <v>0</v>
      </c>
      <c r="K1698" t="s">
        <v>32</v>
      </c>
      <c r="Q1698" t="s">
        <v>1177</v>
      </c>
      <c r="R1698" t="s">
        <v>1177</v>
      </c>
      <c r="S1698" s="109">
        <v>1</v>
      </c>
    </row>
    <row r="1699" spans="1:19" hidden="1" x14ac:dyDescent="0.25">
      <c r="A1699" t="s">
        <v>1146</v>
      </c>
      <c r="B1699" t="s">
        <v>1175</v>
      </c>
      <c r="C1699">
        <v>3</v>
      </c>
      <c r="D1699" t="s">
        <v>13</v>
      </c>
      <c r="E1699" t="s">
        <v>1179</v>
      </c>
      <c r="F1699" s="5" t="s">
        <v>25</v>
      </c>
      <c r="G1699" s="19">
        <v>13</v>
      </c>
      <c r="H1699" s="19">
        <v>18</v>
      </c>
      <c r="I1699" t="b">
        <v>1</v>
      </c>
      <c r="J1699" t="s">
        <v>10</v>
      </c>
      <c r="K1699" t="s">
        <v>32</v>
      </c>
      <c r="Q1699" t="s">
        <v>1177</v>
      </c>
      <c r="R1699" t="s">
        <v>1177</v>
      </c>
      <c r="S1699" s="6">
        <v>2</v>
      </c>
    </row>
    <row r="1700" spans="1:19" hidden="1" x14ac:dyDescent="0.25">
      <c r="A1700" t="s">
        <v>1146</v>
      </c>
      <c r="B1700" t="s">
        <v>1175</v>
      </c>
      <c r="C1700">
        <v>3</v>
      </c>
      <c r="D1700" t="s">
        <v>1150</v>
      </c>
      <c r="E1700" t="s">
        <v>1252</v>
      </c>
      <c r="F1700" s="5" t="s">
        <v>26</v>
      </c>
      <c r="G1700" s="19">
        <v>35</v>
      </c>
      <c r="H1700" s="19">
        <v>45</v>
      </c>
      <c r="I1700" t="b">
        <v>0</v>
      </c>
      <c r="J1700" t="s">
        <v>1151</v>
      </c>
      <c r="K1700" t="s">
        <v>32</v>
      </c>
      <c r="Q1700" t="s">
        <v>1177</v>
      </c>
      <c r="R1700" t="s">
        <v>1177</v>
      </c>
      <c r="S1700" s="109">
        <v>7</v>
      </c>
    </row>
    <row r="1701" spans="1:19" hidden="1" x14ac:dyDescent="0.25">
      <c r="A1701" t="s">
        <v>1146</v>
      </c>
      <c r="B1701" t="s">
        <v>1175</v>
      </c>
      <c r="C1701">
        <v>3</v>
      </c>
      <c r="D1701" t="s">
        <v>29</v>
      </c>
      <c r="E1701" t="s">
        <v>1171</v>
      </c>
      <c r="F1701" s="5" t="s">
        <v>25</v>
      </c>
      <c r="G1701" s="19">
        <v>0</v>
      </c>
      <c r="H1701" s="19">
        <v>5</v>
      </c>
      <c r="I1701" t="b">
        <v>1</v>
      </c>
      <c r="J1701" t="s">
        <v>1153</v>
      </c>
      <c r="K1701" t="s">
        <v>32</v>
      </c>
      <c r="Q1701" t="s">
        <v>1177</v>
      </c>
      <c r="R1701" t="s">
        <v>1177</v>
      </c>
      <c r="S1701" s="6">
        <v>6</v>
      </c>
    </row>
    <row r="1702" spans="1:19" hidden="1" x14ac:dyDescent="0.25">
      <c r="A1702" t="s">
        <v>1146</v>
      </c>
      <c r="B1702" t="s">
        <v>1175</v>
      </c>
      <c r="C1702">
        <v>3</v>
      </c>
      <c r="D1702" t="s">
        <v>1154</v>
      </c>
      <c r="E1702" t="s">
        <v>1145</v>
      </c>
      <c r="F1702" s="5" t="s">
        <v>25</v>
      </c>
      <c r="G1702" s="19">
        <v>0</v>
      </c>
      <c r="H1702" s="19">
        <v>3</v>
      </c>
      <c r="I1702" t="b">
        <v>1</v>
      </c>
      <c r="J1702" t="s">
        <v>1156</v>
      </c>
      <c r="K1702" t="s">
        <v>32</v>
      </c>
      <c r="Q1702" t="s">
        <v>1177</v>
      </c>
      <c r="R1702" t="s">
        <v>1177</v>
      </c>
      <c r="S1702" s="6">
        <v>8</v>
      </c>
    </row>
    <row r="1703" spans="1:19" hidden="1" x14ac:dyDescent="0.25">
      <c r="A1703" t="s">
        <v>1146</v>
      </c>
      <c r="B1703" t="s">
        <v>1175</v>
      </c>
      <c r="C1703">
        <v>3</v>
      </c>
      <c r="D1703" t="s">
        <v>1157</v>
      </c>
      <c r="E1703" t="s">
        <v>1246</v>
      </c>
      <c r="F1703" s="5" t="s">
        <v>26</v>
      </c>
      <c r="G1703" s="19">
        <v>4</v>
      </c>
      <c r="H1703" s="19">
        <v>10</v>
      </c>
      <c r="I1703" t="b">
        <v>0</v>
      </c>
      <c r="J1703" t="s">
        <v>1158</v>
      </c>
      <c r="K1703" t="s">
        <v>32</v>
      </c>
      <c r="Q1703" t="s">
        <v>1177</v>
      </c>
      <c r="R1703" t="s">
        <v>1177</v>
      </c>
      <c r="S1703" s="6">
        <v>5</v>
      </c>
    </row>
    <row r="1704" spans="1:19" hidden="1" x14ac:dyDescent="0.25">
      <c r="A1704" t="s">
        <v>1146</v>
      </c>
      <c r="B1704" t="s">
        <v>1175</v>
      </c>
      <c r="C1704">
        <v>3</v>
      </c>
      <c r="D1704" t="s">
        <v>144</v>
      </c>
      <c r="E1704" t="s">
        <v>1143</v>
      </c>
      <c r="F1704" s="5" t="s">
        <v>25</v>
      </c>
      <c r="G1704" s="19">
        <v>0</v>
      </c>
      <c r="H1704" s="19">
        <v>1</v>
      </c>
      <c r="I1704" t="b">
        <v>1</v>
      </c>
      <c r="J1704" t="s">
        <v>1160</v>
      </c>
      <c r="K1704" t="s">
        <v>32</v>
      </c>
      <c r="Q1704" t="s">
        <v>1177</v>
      </c>
      <c r="R1704" t="s">
        <v>1177</v>
      </c>
      <c r="S1704" s="109">
        <v>9</v>
      </c>
    </row>
    <row r="1705" spans="1:19" hidden="1" x14ac:dyDescent="0.25">
      <c r="A1705" t="s">
        <v>1146</v>
      </c>
      <c r="B1705" t="s">
        <v>1175</v>
      </c>
      <c r="C1705">
        <v>3</v>
      </c>
      <c r="D1705" t="s">
        <v>1161</v>
      </c>
      <c r="E1705" t="s">
        <v>1245</v>
      </c>
      <c r="F1705" s="5" t="s">
        <v>26</v>
      </c>
      <c r="G1705" s="19">
        <v>10</v>
      </c>
      <c r="H1705" s="19">
        <v>20</v>
      </c>
      <c r="I1705" t="b">
        <v>0</v>
      </c>
      <c r="J1705" t="s">
        <v>1163</v>
      </c>
      <c r="K1705" t="s">
        <v>32</v>
      </c>
      <c r="Q1705" t="s">
        <v>1177</v>
      </c>
      <c r="R1705" t="s">
        <v>1177</v>
      </c>
      <c r="S1705" s="109">
        <v>4</v>
      </c>
    </row>
    <row r="1706" spans="1:19" hidden="1" x14ac:dyDescent="0.25">
      <c r="A1706" t="s">
        <v>1146</v>
      </c>
      <c r="B1706" t="s">
        <v>1175</v>
      </c>
      <c r="C1706">
        <v>3</v>
      </c>
      <c r="D1706" t="s">
        <v>109</v>
      </c>
      <c r="E1706" t="s">
        <v>1247</v>
      </c>
      <c r="F1706" s="5" t="s">
        <v>26</v>
      </c>
      <c r="G1706" s="19">
        <v>20</v>
      </c>
      <c r="H1706" s="19">
        <v>30</v>
      </c>
      <c r="I1706" t="b">
        <v>0</v>
      </c>
      <c r="J1706" t="s">
        <v>1164</v>
      </c>
      <c r="K1706" t="s">
        <v>32</v>
      </c>
      <c r="Q1706" t="s">
        <v>1177</v>
      </c>
      <c r="R1706" t="s">
        <v>1177</v>
      </c>
      <c r="S1706" s="109">
        <v>3</v>
      </c>
    </row>
    <row r="1707" spans="1:19" hidden="1" x14ac:dyDescent="0.25">
      <c r="A1707" t="s">
        <v>1146</v>
      </c>
      <c r="B1707" t="s">
        <v>1175</v>
      </c>
      <c r="C1707">
        <v>4</v>
      </c>
      <c r="D1707" t="s">
        <v>11</v>
      </c>
      <c r="E1707" t="s">
        <v>525</v>
      </c>
      <c r="F1707" s="5" t="s">
        <v>24</v>
      </c>
      <c r="G1707" s="19">
        <v>20</v>
      </c>
      <c r="H1707" s="19">
        <v>30</v>
      </c>
      <c r="I1707" t="b">
        <v>1</v>
      </c>
      <c r="J1707" t="s">
        <v>0</v>
      </c>
      <c r="K1707" t="s">
        <v>32</v>
      </c>
      <c r="Q1707" t="s">
        <v>1177</v>
      </c>
      <c r="R1707" t="s">
        <v>1177</v>
      </c>
      <c r="S1707" s="109">
        <v>1</v>
      </c>
    </row>
    <row r="1708" spans="1:19" hidden="1" x14ac:dyDescent="0.25">
      <c r="A1708" t="s">
        <v>1146</v>
      </c>
      <c r="B1708" t="s">
        <v>1175</v>
      </c>
      <c r="C1708">
        <v>4</v>
      </c>
      <c r="D1708" t="s">
        <v>13</v>
      </c>
      <c r="E1708" t="s">
        <v>1180</v>
      </c>
      <c r="F1708" s="5" t="s">
        <v>25</v>
      </c>
      <c r="G1708" s="19">
        <v>6</v>
      </c>
      <c r="H1708" s="19">
        <v>13</v>
      </c>
      <c r="I1708" t="b">
        <v>1</v>
      </c>
      <c r="J1708" t="s">
        <v>10</v>
      </c>
      <c r="K1708" t="s">
        <v>32</v>
      </c>
      <c r="Q1708" t="s">
        <v>1177</v>
      </c>
      <c r="R1708" t="s">
        <v>1177</v>
      </c>
      <c r="S1708" s="6">
        <v>2</v>
      </c>
    </row>
    <row r="1709" spans="1:19" hidden="1" x14ac:dyDescent="0.25">
      <c r="A1709" t="s">
        <v>1146</v>
      </c>
      <c r="B1709" t="s">
        <v>1175</v>
      </c>
      <c r="C1709">
        <v>4</v>
      </c>
      <c r="D1709" t="s">
        <v>1157</v>
      </c>
      <c r="E1709" t="s">
        <v>1248</v>
      </c>
      <c r="F1709" s="5" t="s">
        <v>26</v>
      </c>
      <c r="G1709" s="19">
        <v>15</v>
      </c>
      <c r="H1709" s="19">
        <v>25</v>
      </c>
      <c r="I1709" t="b">
        <v>0</v>
      </c>
      <c r="J1709" t="s">
        <v>1158</v>
      </c>
      <c r="K1709" t="s">
        <v>32</v>
      </c>
      <c r="Q1709" t="s">
        <v>1177</v>
      </c>
      <c r="R1709" t="s">
        <v>1177</v>
      </c>
      <c r="S1709" s="6">
        <v>5</v>
      </c>
    </row>
    <row r="1710" spans="1:19" hidden="1" x14ac:dyDescent="0.25">
      <c r="A1710" t="s">
        <v>1146</v>
      </c>
      <c r="B1710" t="s">
        <v>1175</v>
      </c>
      <c r="C1710">
        <v>4</v>
      </c>
      <c r="D1710" t="s">
        <v>1150</v>
      </c>
      <c r="E1710" t="s">
        <v>1249</v>
      </c>
      <c r="F1710" s="5" t="s">
        <v>26</v>
      </c>
      <c r="G1710" s="19">
        <v>45</v>
      </c>
      <c r="H1710" s="19">
        <v>55</v>
      </c>
      <c r="I1710" t="b">
        <v>0</v>
      </c>
      <c r="J1710" t="s">
        <v>1151</v>
      </c>
      <c r="K1710" t="s">
        <v>32</v>
      </c>
      <c r="L1710" t="s">
        <v>716</v>
      </c>
      <c r="M1710" t="s">
        <v>1170</v>
      </c>
      <c r="Q1710" t="s">
        <v>1177</v>
      </c>
      <c r="R1710" t="s">
        <v>1177</v>
      </c>
      <c r="S1710" s="109">
        <v>7</v>
      </c>
    </row>
    <row r="1711" spans="1:19" hidden="1" x14ac:dyDescent="0.25">
      <c r="A1711" t="s">
        <v>1146</v>
      </c>
      <c r="B1711" t="s">
        <v>1175</v>
      </c>
      <c r="C1711">
        <v>4</v>
      </c>
      <c r="D1711" t="s">
        <v>29</v>
      </c>
      <c r="E1711" t="s">
        <v>1143</v>
      </c>
      <c r="F1711" s="5" t="s">
        <v>25</v>
      </c>
      <c r="G1711" s="19">
        <v>0</v>
      </c>
      <c r="H1711" s="19">
        <v>1</v>
      </c>
      <c r="I1711" t="b">
        <v>1</v>
      </c>
      <c r="J1711" t="s">
        <v>1153</v>
      </c>
      <c r="K1711" t="s">
        <v>32</v>
      </c>
      <c r="L1711" t="s">
        <v>716</v>
      </c>
      <c r="M1711" t="s">
        <v>1170</v>
      </c>
      <c r="Q1711" t="s">
        <v>1177</v>
      </c>
      <c r="R1711" t="s">
        <v>1177</v>
      </c>
      <c r="S1711" s="6">
        <v>6</v>
      </c>
    </row>
    <row r="1712" spans="1:19" hidden="1" x14ac:dyDescent="0.25">
      <c r="A1712" t="s">
        <v>1146</v>
      </c>
      <c r="B1712" t="s">
        <v>1175</v>
      </c>
      <c r="C1712">
        <v>4</v>
      </c>
      <c r="D1712" t="s">
        <v>1161</v>
      </c>
      <c r="E1712" t="s">
        <v>1247</v>
      </c>
      <c r="F1712" s="5" t="s">
        <v>26</v>
      </c>
      <c r="G1712" s="19">
        <v>20</v>
      </c>
      <c r="H1712" s="19">
        <v>30</v>
      </c>
      <c r="I1712" t="b">
        <v>0</v>
      </c>
      <c r="J1712" t="s">
        <v>1163</v>
      </c>
      <c r="K1712" t="s">
        <v>32</v>
      </c>
      <c r="L1712" t="s">
        <v>716</v>
      </c>
      <c r="M1712" t="s">
        <v>1170</v>
      </c>
      <c r="Q1712" t="s">
        <v>1177</v>
      </c>
      <c r="R1712" t="s">
        <v>1177</v>
      </c>
      <c r="S1712" s="109">
        <v>4</v>
      </c>
    </row>
    <row r="1713" spans="1:19" hidden="1" x14ac:dyDescent="0.25">
      <c r="A1713" t="s">
        <v>1146</v>
      </c>
      <c r="B1713" t="s">
        <v>1175</v>
      </c>
      <c r="C1713">
        <v>4</v>
      </c>
      <c r="D1713" t="s">
        <v>109</v>
      </c>
      <c r="E1713" t="s">
        <v>1243</v>
      </c>
      <c r="F1713" s="5" t="s">
        <v>26</v>
      </c>
      <c r="G1713" s="19">
        <v>30</v>
      </c>
      <c r="H1713" s="19">
        <v>40</v>
      </c>
      <c r="I1713" t="b">
        <v>0</v>
      </c>
      <c r="J1713" t="s">
        <v>1164</v>
      </c>
      <c r="K1713" t="s">
        <v>32</v>
      </c>
      <c r="L1713" t="s">
        <v>716</v>
      </c>
      <c r="M1713" t="s">
        <v>1170</v>
      </c>
      <c r="Q1713" t="s">
        <v>1177</v>
      </c>
      <c r="R1713" t="s">
        <v>1177</v>
      </c>
      <c r="S1713" s="109">
        <v>3</v>
      </c>
    </row>
    <row r="1714" spans="1:19" hidden="1" x14ac:dyDescent="0.25">
      <c r="A1714" t="s">
        <v>1146</v>
      </c>
      <c r="B1714" t="s">
        <v>1175</v>
      </c>
      <c r="C1714">
        <v>5</v>
      </c>
      <c r="D1714" t="s">
        <v>11</v>
      </c>
      <c r="E1714" t="s">
        <v>524</v>
      </c>
      <c r="F1714" s="5" t="s">
        <v>24</v>
      </c>
      <c r="G1714" s="19">
        <v>10</v>
      </c>
      <c r="H1714" s="19">
        <v>20</v>
      </c>
      <c r="I1714" t="b">
        <v>1</v>
      </c>
      <c r="J1714" t="s">
        <v>0</v>
      </c>
      <c r="K1714" t="s">
        <v>32</v>
      </c>
      <c r="L1714" t="s">
        <v>716</v>
      </c>
      <c r="M1714" t="s">
        <v>1170</v>
      </c>
      <c r="Q1714" t="s">
        <v>1177</v>
      </c>
      <c r="R1714" t="s">
        <v>1177</v>
      </c>
      <c r="S1714" s="109">
        <v>1</v>
      </c>
    </row>
    <row r="1715" spans="1:19" hidden="1" x14ac:dyDescent="0.25">
      <c r="A1715" t="s">
        <v>1146</v>
      </c>
      <c r="B1715" t="s">
        <v>1175</v>
      </c>
      <c r="C1715">
        <v>5</v>
      </c>
      <c r="D1715" t="s">
        <v>13</v>
      </c>
      <c r="E1715" t="s">
        <v>1144</v>
      </c>
      <c r="F1715" s="5" t="s">
        <v>25</v>
      </c>
      <c r="G1715" s="19">
        <v>1</v>
      </c>
      <c r="H1715" s="19">
        <v>4</v>
      </c>
      <c r="I1715" t="b">
        <v>1</v>
      </c>
      <c r="J1715" t="s">
        <v>10</v>
      </c>
      <c r="K1715" t="s">
        <v>32</v>
      </c>
      <c r="L1715" t="s">
        <v>716</v>
      </c>
      <c r="M1715" t="s">
        <v>1170</v>
      </c>
      <c r="Q1715" t="s">
        <v>1177</v>
      </c>
      <c r="R1715" t="s">
        <v>1177</v>
      </c>
      <c r="S1715" s="6">
        <v>2</v>
      </c>
    </row>
    <row r="1716" spans="1:19" hidden="1" x14ac:dyDescent="0.25">
      <c r="A1716" t="s">
        <v>1146</v>
      </c>
      <c r="B1716" t="s">
        <v>1175</v>
      </c>
      <c r="C1716">
        <v>5</v>
      </c>
      <c r="D1716" t="s">
        <v>1161</v>
      </c>
      <c r="E1716" t="s">
        <v>1167</v>
      </c>
      <c r="F1716" s="5" t="s">
        <v>27</v>
      </c>
      <c r="G1716" s="19">
        <v>40</v>
      </c>
      <c r="H1716" s="19">
        <v>45</v>
      </c>
      <c r="I1716" t="b">
        <v>0</v>
      </c>
      <c r="J1716" t="s">
        <v>1163</v>
      </c>
      <c r="K1716" t="s">
        <v>32</v>
      </c>
      <c r="L1716" t="s">
        <v>716</v>
      </c>
      <c r="M1716" t="s">
        <v>1170</v>
      </c>
      <c r="Q1716" t="s">
        <v>1177</v>
      </c>
      <c r="R1716" t="s">
        <v>1177</v>
      </c>
      <c r="S1716" s="109">
        <v>4</v>
      </c>
    </row>
    <row r="1717" spans="1:19" hidden="1" x14ac:dyDescent="0.25">
      <c r="A1717" t="s">
        <v>1146</v>
      </c>
      <c r="B1717" t="s">
        <v>1175</v>
      </c>
      <c r="C1717">
        <v>5</v>
      </c>
      <c r="D1717" t="s">
        <v>109</v>
      </c>
      <c r="E1717" t="s">
        <v>1249</v>
      </c>
      <c r="F1717" s="5" t="s">
        <v>26</v>
      </c>
      <c r="G1717" s="19">
        <v>45</v>
      </c>
      <c r="H1717" s="19">
        <v>55</v>
      </c>
      <c r="I1717" t="b">
        <v>0</v>
      </c>
      <c r="J1717" t="s">
        <v>1164</v>
      </c>
      <c r="K1717" t="s">
        <v>32</v>
      </c>
      <c r="L1717" t="s">
        <v>716</v>
      </c>
      <c r="M1717" t="s">
        <v>1170</v>
      </c>
      <c r="Q1717" t="s">
        <v>1177</v>
      </c>
      <c r="R1717" t="s">
        <v>1177</v>
      </c>
      <c r="S1717" s="109">
        <v>3</v>
      </c>
    </row>
    <row r="1718" spans="1:19" hidden="1" x14ac:dyDescent="0.25">
      <c r="A1718" t="s">
        <v>1146</v>
      </c>
      <c r="B1718" t="s">
        <v>1181</v>
      </c>
      <c r="C1718">
        <v>2</v>
      </c>
      <c r="D1718" t="s">
        <v>11</v>
      </c>
      <c r="E1718" t="s">
        <v>1176</v>
      </c>
      <c r="F1718" s="5" t="s">
        <v>25</v>
      </c>
      <c r="G1718" s="19">
        <v>40</v>
      </c>
      <c r="H1718" s="19">
        <v>45</v>
      </c>
      <c r="I1718" t="b">
        <v>1</v>
      </c>
      <c r="J1718" t="s">
        <v>0</v>
      </c>
      <c r="K1718" t="s">
        <v>32</v>
      </c>
      <c r="Q1718" t="s">
        <v>1177</v>
      </c>
      <c r="R1718" t="s">
        <v>1177</v>
      </c>
      <c r="S1718" s="109">
        <v>1</v>
      </c>
    </row>
    <row r="1719" spans="1:19" hidden="1" x14ac:dyDescent="0.25">
      <c r="A1719" t="s">
        <v>1146</v>
      </c>
      <c r="B1719" t="s">
        <v>1181</v>
      </c>
      <c r="C1719">
        <v>2</v>
      </c>
      <c r="D1719" t="s">
        <v>13</v>
      </c>
      <c r="E1719" t="s">
        <v>1178</v>
      </c>
      <c r="F1719" s="5" t="s">
        <v>25</v>
      </c>
      <c r="G1719" s="19">
        <v>18</v>
      </c>
      <c r="H1719" s="19">
        <v>23</v>
      </c>
      <c r="I1719" t="b">
        <v>1</v>
      </c>
      <c r="J1719" t="s">
        <v>10</v>
      </c>
      <c r="K1719" t="s">
        <v>32</v>
      </c>
      <c r="Q1719" t="s">
        <v>1177</v>
      </c>
      <c r="R1719" t="s">
        <v>1177</v>
      </c>
      <c r="S1719" s="6">
        <v>2</v>
      </c>
    </row>
    <row r="1720" spans="1:19" hidden="1" x14ac:dyDescent="0.25">
      <c r="A1720" t="s">
        <v>1146</v>
      </c>
      <c r="B1720" t="s">
        <v>1181</v>
      </c>
      <c r="C1720">
        <v>2</v>
      </c>
      <c r="D1720" t="s">
        <v>1150</v>
      </c>
      <c r="E1720" t="s">
        <v>1250</v>
      </c>
      <c r="F1720" s="5" t="s">
        <v>26</v>
      </c>
      <c r="G1720" s="19">
        <v>25</v>
      </c>
      <c r="H1720" s="19">
        <v>35</v>
      </c>
      <c r="I1720" t="b">
        <v>0</v>
      </c>
      <c r="J1720" t="s">
        <v>1151</v>
      </c>
      <c r="K1720" t="s">
        <v>32</v>
      </c>
      <c r="Q1720" t="s">
        <v>1177</v>
      </c>
      <c r="R1720" t="s">
        <v>1177</v>
      </c>
      <c r="S1720" s="109">
        <v>7</v>
      </c>
    </row>
    <row r="1721" spans="1:19" hidden="1" x14ac:dyDescent="0.25">
      <c r="A1721" t="s">
        <v>1146</v>
      </c>
      <c r="B1721" t="s">
        <v>1181</v>
      </c>
      <c r="C1721">
        <v>2</v>
      </c>
      <c r="D1721" t="s">
        <v>29</v>
      </c>
      <c r="E1721" t="s">
        <v>1251</v>
      </c>
      <c r="F1721" s="5" t="s">
        <v>24</v>
      </c>
      <c r="G1721" s="19">
        <v>5</v>
      </c>
      <c r="H1721" s="19">
        <v>9</v>
      </c>
      <c r="I1721" t="b">
        <v>1</v>
      </c>
      <c r="J1721" t="s">
        <v>1153</v>
      </c>
      <c r="K1721" t="s">
        <v>32</v>
      </c>
      <c r="Q1721" t="s">
        <v>1177</v>
      </c>
      <c r="R1721" t="s">
        <v>1177</v>
      </c>
      <c r="S1721" s="6">
        <v>6</v>
      </c>
    </row>
    <row r="1722" spans="1:19" hidden="1" x14ac:dyDescent="0.25">
      <c r="A1722" t="s">
        <v>1146</v>
      </c>
      <c r="B1722" t="s">
        <v>1181</v>
      </c>
      <c r="C1722">
        <v>2</v>
      </c>
      <c r="D1722" t="s">
        <v>1154</v>
      </c>
      <c r="E1722" t="s">
        <v>1159</v>
      </c>
      <c r="F1722" s="5" t="s">
        <v>25</v>
      </c>
      <c r="G1722" s="19">
        <v>3</v>
      </c>
      <c r="H1722" s="19">
        <v>6</v>
      </c>
      <c r="I1722" t="b">
        <v>1</v>
      </c>
      <c r="J1722" t="s">
        <v>1156</v>
      </c>
      <c r="K1722" t="s">
        <v>32</v>
      </c>
      <c r="Q1722" t="s">
        <v>1177</v>
      </c>
      <c r="R1722" t="s">
        <v>1177</v>
      </c>
      <c r="S1722" s="6">
        <v>8</v>
      </c>
    </row>
    <row r="1723" spans="1:19" hidden="1" x14ac:dyDescent="0.25">
      <c r="A1723" t="s">
        <v>1146</v>
      </c>
      <c r="B1723" t="s">
        <v>1181</v>
      </c>
      <c r="C1723">
        <v>2</v>
      </c>
      <c r="D1723" t="s">
        <v>1157</v>
      </c>
      <c r="E1723" t="s">
        <v>1244</v>
      </c>
      <c r="F1723" s="5" t="s">
        <v>26</v>
      </c>
      <c r="G1723" s="19">
        <v>0</v>
      </c>
      <c r="H1723" s="19">
        <v>4</v>
      </c>
      <c r="I1723" t="b">
        <v>0</v>
      </c>
      <c r="J1723" t="s">
        <v>1158</v>
      </c>
      <c r="K1723" t="s">
        <v>32</v>
      </c>
      <c r="Q1723" t="s">
        <v>1177</v>
      </c>
      <c r="R1723" t="s">
        <v>1177</v>
      </c>
      <c r="S1723" s="6">
        <v>5</v>
      </c>
    </row>
    <row r="1724" spans="1:19" hidden="1" x14ac:dyDescent="0.25">
      <c r="A1724" t="s">
        <v>1146</v>
      </c>
      <c r="B1724" t="s">
        <v>1181</v>
      </c>
      <c r="C1724">
        <v>2</v>
      </c>
      <c r="D1724" t="s">
        <v>144</v>
      </c>
      <c r="E1724" t="s">
        <v>1144</v>
      </c>
      <c r="F1724" s="5" t="s">
        <v>25</v>
      </c>
      <c r="G1724" s="19">
        <v>1</v>
      </c>
      <c r="H1724" s="19">
        <v>4</v>
      </c>
      <c r="I1724" t="b">
        <v>1</v>
      </c>
      <c r="J1724" t="s">
        <v>1160</v>
      </c>
      <c r="K1724" t="s">
        <v>32</v>
      </c>
      <c r="Q1724" t="s">
        <v>1177</v>
      </c>
      <c r="R1724" t="s">
        <v>1177</v>
      </c>
      <c r="S1724" s="109">
        <v>9</v>
      </c>
    </row>
    <row r="1725" spans="1:19" hidden="1" x14ac:dyDescent="0.25">
      <c r="A1725" t="s">
        <v>1146</v>
      </c>
      <c r="B1725" t="s">
        <v>1181</v>
      </c>
      <c r="C1725">
        <v>2</v>
      </c>
      <c r="D1725" t="s">
        <v>1161</v>
      </c>
      <c r="E1725" t="s">
        <v>1162</v>
      </c>
      <c r="F1725" s="5" t="s">
        <v>27</v>
      </c>
      <c r="G1725" s="19">
        <v>5</v>
      </c>
      <c r="H1725" s="19">
        <v>10</v>
      </c>
      <c r="I1725" t="b">
        <v>0</v>
      </c>
      <c r="J1725" t="s">
        <v>1163</v>
      </c>
      <c r="K1725" t="s">
        <v>32</v>
      </c>
      <c r="Q1725" t="s">
        <v>1177</v>
      </c>
      <c r="R1725" t="s">
        <v>1177</v>
      </c>
      <c r="S1725" s="109">
        <v>4</v>
      </c>
    </row>
    <row r="1726" spans="1:19" hidden="1" x14ac:dyDescent="0.25">
      <c r="A1726" t="s">
        <v>1146</v>
      </c>
      <c r="B1726" t="s">
        <v>1181</v>
      </c>
      <c r="C1726">
        <v>2</v>
      </c>
      <c r="D1726" t="s">
        <v>109</v>
      </c>
      <c r="E1726" t="s">
        <v>1245</v>
      </c>
      <c r="F1726" s="5" t="s">
        <v>26</v>
      </c>
      <c r="G1726" s="19">
        <v>10</v>
      </c>
      <c r="H1726" s="19">
        <v>20</v>
      </c>
      <c r="I1726" t="b">
        <v>0</v>
      </c>
      <c r="J1726" t="s">
        <v>1164</v>
      </c>
      <c r="K1726" t="s">
        <v>32</v>
      </c>
      <c r="Q1726" t="s">
        <v>1177</v>
      </c>
      <c r="R1726" t="s">
        <v>1177</v>
      </c>
      <c r="S1726" s="109">
        <v>3</v>
      </c>
    </row>
    <row r="1727" spans="1:19" hidden="1" x14ac:dyDescent="0.25">
      <c r="A1727" t="s">
        <v>1146</v>
      </c>
      <c r="B1727" t="s">
        <v>1181</v>
      </c>
      <c r="C1727">
        <v>3</v>
      </c>
      <c r="D1727" t="s">
        <v>11</v>
      </c>
      <c r="E1727" t="s">
        <v>551</v>
      </c>
      <c r="F1727" s="5" t="s">
        <v>24</v>
      </c>
      <c r="G1727" s="19">
        <v>30</v>
      </c>
      <c r="H1727" s="19">
        <v>40</v>
      </c>
      <c r="I1727" t="b">
        <v>1</v>
      </c>
      <c r="J1727" t="s">
        <v>0</v>
      </c>
      <c r="K1727" t="s">
        <v>32</v>
      </c>
      <c r="Q1727" t="s">
        <v>1177</v>
      </c>
      <c r="R1727" t="s">
        <v>1177</v>
      </c>
      <c r="S1727" s="109">
        <v>1</v>
      </c>
    </row>
    <row r="1728" spans="1:19" hidden="1" x14ac:dyDescent="0.25">
      <c r="A1728" t="s">
        <v>1146</v>
      </c>
      <c r="B1728" t="s">
        <v>1181</v>
      </c>
      <c r="C1728">
        <v>3</v>
      </c>
      <c r="D1728" t="s">
        <v>13</v>
      </c>
      <c r="E1728" t="s">
        <v>1179</v>
      </c>
      <c r="F1728" s="5" t="s">
        <v>25</v>
      </c>
      <c r="G1728" s="19">
        <v>13</v>
      </c>
      <c r="H1728" s="19">
        <v>18</v>
      </c>
      <c r="I1728" t="b">
        <v>1</v>
      </c>
      <c r="J1728" t="s">
        <v>10</v>
      </c>
      <c r="K1728" t="s">
        <v>32</v>
      </c>
      <c r="Q1728" t="s">
        <v>1177</v>
      </c>
      <c r="R1728" t="s">
        <v>1177</v>
      </c>
      <c r="S1728" s="6">
        <v>2</v>
      </c>
    </row>
    <row r="1729" spans="1:19" hidden="1" x14ac:dyDescent="0.25">
      <c r="A1729" t="s">
        <v>1146</v>
      </c>
      <c r="B1729" t="s">
        <v>1181</v>
      </c>
      <c r="C1729">
        <v>3</v>
      </c>
      <c r="D1729" t="s">
        <v>1150</v>
      </c>
      <c r="E1729" t="s">
        <v>1252</v>
      </c>
      <c r="F1729" s="5" t="s">
        <v>26</v>
      </c>
      <c r="G1729" s="19">
        <v>35</v>
      </c>
      <c r="H1729" s="19">
        <v>45</v>
      </c>
      <c r="I1729" t="b">
        <v>0</v>
      </c>
      <c r="J1729" t="s">
        <v>1151</v>
      </c>
      <c r="K1729" t="s">
        <v>32</v>
      </c>
      <c r="Q1729" t="s">
        <v>1177</v>
      </c>
      <c r="R1729" t="s">
        <v>1177</v>
      </c>
      <c r="S1729" s="109">
        <v>7</v>
      </c>
    </row>
    <row r="1730" spans="1:19" hidden="1" x14ac:dyDescent="0.25">
      <c r="A1730" t="s">
        <v>1146</v>
      </c>
      <c r="B1730" t="s">
        <v>1181</v>
      </c>
      <c r="C1730">
        <v>3</v>
      </c>
      <c r="D1730" t="s">
        <v>29</v>
      </c>
      <c r="E1730" t="s">
        <v>1171</v>
      </c>
      <c r="F1730" s="5" t="s">
        <v>25</v>
      </c>
      <c r="G1730" s="19">
        <v>0</v>
      </c>
      <c r="H1730" s="19">
        <v>5</v>
      </c>
      <c r="I1730" t="b">
        <v>1</v>
      </c>
      <c r="J1730" t="s">
        <v>1153</v>
      </c>
      <c r="K1730" t="s">
        <v>32</v>
      </c>
      <c r="Q1730" t="s">
        <v>1177</v>
      </c>
      <c r="R1730" t="s">
        <v>1177</v>
      </c>
      <c r="S1730" s="6">
        <v>6</v>
      </c>
    </row>
    <row r="1731" spans="1:19" hidden="1" x14ac:dyDescent="0.25">
      <c r="A1731" t="s">
        <v>1146</v>
      </c>
      <c r="B1731" t="s">
        <v>1181</v>
      </c>
      <c r="C1731">
        <v>3</v>
      </c>
      <c r="D1731" t="s">
        <v>1154</v>
      </c>
      <c r="E1731" t="s">
        <v>1145</v>
      </c>
      <c r="F1731" s="5" t="s">
        <v>25</v>
      </c>
      <c r="G1731" s="19">
        <v>0</v>
      </c>
      <c r="H1731" s="19">
        <v>3</v>
      </c>
      <c r="I1731" t="b">
        <v>1</v>
      </c>
      <c r="J1731" t="s">
        <v>1156</v>
      </c>
      <c r="K1731" t="s">
        <v>32</v>
      </c>
      <c r="Q1731" t="s">
        <v>1177</v>
      </c>
      <c r="R1731" t="s">
        <v>1177</v>
      </c>
      <c r="S1731" s="6">
        <v>8</v>
      </c>
    </row>
    <row r="1732" spans="1:19" hidden="1" x14ac:dyDescent="0.25">
      <c r="A1732" t="s">
        <v>1146</v>
      </c>
      <c r="B1732" t="s">
        <v>1181</v>
      </c>
      <c r="C1732">
        <v>3</v>
      </c>
      <c r="D1732" t="s">
        <v>1157</v>
      </c>
      <c r="E1732" t="s">
        <v>1246</v>
      </c>
      <c r="F1732" s="5" t="s">
        <v>26</v>
      </c>
      <c r="G1732" s="19">
        <v>4</v>
      </c>
      <c r="H1732" s="19">
        <v>10</v>
      </c>
      <c r="I1732" t="b">
        <v>0</v>
      </c>
      <c r="J1732" t="s">
        <v>1158</v>
      </c>
      <c r="K1732" t="s">
        <v>32</v>
      </c>
      <c r="Q1732" t="s">
        <v>1177</v>
      </c>
      <c r="R1732" t="s">
        <v>1177</v>
      </c>
      <c r="S1732" s="6">
        <v>5</v>
      </c>
    </row>
    <row r="1733" spans="1:19" hidden="1" x14ac:dyDescent="0.25">
      <c r="A1733" t="s">
        <v>1146</v>
      </c>
      <c r="B1733" t="s">
        <v>1181</v>
      </c>
      <c r="C1733">
        <v>3</v>
      </c>
      <c r="D1733" t="s">
        <v>144</v>
      </c>
      <c r="E1733" t="s">
        <v>1143</v>
      </c>
      <c r="F1733" s="5" t="s">
        <v>25</v>
      </c>
      <c r="G1733" s="19">
        <v>0</v>
      </c>
      <c r="H1733" s="19">
        <v>1</v>
      </c>
      <c r="I1733" t="b">
        <v>1</v>
      </c>
      <c r="J1733" t="s">
        <v>1160</v>
      </c>
      <c r="K1733" t="s">
        <v>32</v>
      </c>
      <c r="Q1733" t="s">
        <v>1177</v>
      </c>
      <c r="R1733" t="s">
        <v>1177</v>
      </c>
      <c r="S1733" s="109">
        <v>9</v>
      </c>
    </row>
    <row r="1734" spans="1:19" hidden="1" x14ac:dyDescent="0.25">
      <c r="A1734" t="s">
        <v>1146</v>
      </c>
      <c r="B1734" t="s">
        <v>1181</v>
      </c>
      <c r="C1734">
        <v>3</v>
      </c>
      <c r="D1734" t="s">
        <v>1161</v>
      </c>
      <c r="E1734" t="s">
        <v>1245</v>
      </c>
      <c r="F1734" s="5" t="s">
        <v>26</v>
      </c>
      <c r="G1734" s="19">
        <v>10</v>
      </c>
      <c r="H1734" s="19">
        <v>20</v>
      </c>
      <c r="I1734" t="b">
        <v>0</v>
      </c>
      <c r="J1734" t="s">
        <v>1163</v>
      </c>
      <c r="K1734" t="s">
        <v>32</v>
      </c>
      <c r="Q1734" t="s">
        <v>1177</v>
      </c>
      <c r="R1734" t="s">
        <v>1177</v>
      </c>
      <c r="S1734" s="109">
        <v>4</v>
      </c>
    </row>
    <row r="1735" spans="1:19" hidden="1" x14ac:dyDescent="0.25">
      <c r="A1735" t="s">
        <v>1146</v>
      </c>
      <c r="B1735" t="s">
        <v>1181</v>
      </c>
      <c r="C1735">
        <v>3</v>
      </c>
      <c r="D1735" t="s">
        <v>109</v>
      </c>
      <c r="E1735" t="s">
        <v>1247</v>
      </c>
      <c r="F1735" s="5" t="s">
        <v>26</v>
      </c>
      <c r="G1735" s="19">
        <v>20</v>
      </c>
      <c r="H1735" s="19">
        <v>30</v>
      </c>
      <c r="I1735" t="b">
        <v>0</v>
      </c>
      <c r="J1735" t="s">
        <v>1164</v>
      </c>
      <c r="K1735" t="s">
        <v>32</v>
      </c>
      <c r="Q1735" t="s">
        <v>1177</v>
      </c>
      <c r="R1735" t="s">
        <v>1177</v>
      </c>
      <c r="S1735" s="109">
        <v>3</v>
      </c>
    </row>
    <row r="1736" spans="1:19" hidden="1" x14ac:dyDescent="0.25">
      <c r="A1736" t="s">
        <v>1146</v>
      </c>
      <c r="B1736" t="s">
        <v>1181</v>
      </c>
      <c r="C1736">
        <v>4</v>
      </c>
      <c r="D1736" t="s">
        <v>11</v>
      </c>
      <c r="E1736" t="s">
        <v>525</v>
      </c>
      <c r="F1736" s="5" t="s">
        <v>24</v>
      </c>
      <c r="G1736" s="19">
        <v>20</v>
      </c>
      <c r="H1736" s="19">
        <v>30</v>
      </c>
      <c r="I1736" t="b">
        <v>1</v>
      </c>
      <c r="J1736" t="s">
        <v>0</v>
      </c>
      <c r="K1736" t="s">
        <v>32</v>
      </c>
      <c r="Q1736" t="s">
        <v>1177</v>
      </c>
      <c r="R1736" t="s">
        <v>1177</v>
      </c>
      <c r="S1736" s="109">
        <v>1</v>
      </c>
    </row>
    <row r="1737" spans="1:19" hidden="1" x14ac:dyDescent="0.25">
      <c r="A1737" t="s">
        <v>1146</v>
      </c>
      <c r="B1737" t="s">
        <v>1181</v>
      </c>
      <c r="C1737">
        <v>4</v>
      </c>
      <c r="D1737" t="s">
        <v>13</v>
      </c>
      <c r="E1737" t="s">
        <v>1180</v>
      </c>
      <c r="F1737" s="5" t="s">
        <v>25</v>
      </c>
      <c r="G1737" s="19">
        <v>6</v>
      </c>
      <c r="H1737" s="19">
        <v>13</v>
      </c>
      <c r="I1737" t="b">
        <v>1</v>
      </c>
      <c r="J1737" t="s">
        <v>10</v>
      </c>
      <c r="K1737" t="s">
        <v>32</v>
      </c>
      <c r="Q1737" t="s">
        <v>1177</v>
      </c>
      <c r="R1737" t="s">
        <v>1177</v>
      </c>
      <c r="S1737" s="6">
        <v>2</v>
      </c>
    </row>
    <row r="1738" spans="1:19" hidden="1" x14ac:dyDescent="0.25">
      <c r="A1738" t="s">
        <v>1146</v>
      </c>
      <c r="B1738" t="s">
        <v>1181</v>
      </c>
      <c r="C1738">
        <v>4</v>
      </c>
      <c r="D1738" t="s">
        <v>1157</v>
      </c>
      <c r="E1738" t="s">
        <v>1248</v>
      </c>
      <c r="F1738" s="5" t="s">
        <v>26</v>
      </c>
      <c r="G1738" s="19">
        <v>15</v>
      </c>
      <c r="H1738" s="19">
        <v>25</v>
      </c>
      <c r="I1738" t="b">
        <v>0</v>
      </c>
      <c r="J1738" t="s">
        <v>1158</v>
      </c>
      <c r="K1738" t="s">
        <v>32</v>
      </c>
      <c r="Q1738" t="s">
        <v>1177</v>
      </c>
      <c r="R1738" t="s">
        <v>1177</v>
      </c>
      <c r="S1738" s="6">
        <v>5</v>
      </c>
    </row>
    <row r="1739" spans="1:19" hidden="1" x14ac:dyDescent="0.25">
      <c r="A1739" t="s">
        <v>1146</v>
      </c>
      <c r="B1739" t="s">
        <v>1181</v>
      </c>
      <c r="C1739">
        <v>4</v>
      </c>
      <c r="D1739" t="s">
        <v>1150</v>
      </c>
      <c r="E1739" t="s">
        <v>1249</v>
      </c>
      <c r="F1739" s="5" t="s">
        <v>26</v>
      </c>
      <c r="G1739" s="19">
        <v>45</v>
      </c>
      <c r="H1739" s="19">
        <v>55</v>
      </c>
      <c r="I1739" t="b">
        <v>0</v>
      </c>
      <c r="J1739" t="s">
        <v>1151</v>
      </c>
      <c r="K1739" t="s">
        <v>32</v>
      </c>
      <c r="L1739" t="s">
        <v>716</v>
      </c>
      <c r="M1739" t="s">
        <v>1170</v>
      </c>
      <c r="Q1739" t="s">
        <v>1177</v>
      </c>
      <c r="R1739" t="s">
        <v>1177</v>
      </c>
      <c r="S1739" s="109">
        <v>7</v>
      </c>
    </row>
    <row r="1740" spans="1:19" hidden="1" x14ac:dyDescent="0.25">
      <c r="A1740" t="s">
        <v>1146</v>
      </c>
      <c r="B1740" t="s">
        <v>1181</v>
      </c>
      <c r="C1740">
        <v>4</v>
      </c>
      <c r="D1740" t="s">
        <v>29</v>
      </c>
      <c r="E1740" t="s">
        <v>1143</v>
      </c>
      <c r="F1740" s="5" t="s">
        <v>25</v>
      </c>
      <c r="G1740" s="19">
        <v>0</v>
      </c>
      <c r="H1740" s="19">
        <v>1</v>
      </c>
      <c r="I1740" t="b">
        <v>1</v>
      </c>
      <c r="J1740" t="s">
        <v>1153</v>
      </c>
      <c r="K1740" t="s">
        <v>32</v>
      </c>
      <c r="L1740" t="s">
        <v>716</v>
      </c>
      <c r="M1740" t="s">
        <v>1170</v>
      </c>
      <c r="Q1740" t="s">
        <v>1177</v>
      </c>
      <c r="R1740" t="s">
        <v>1177</v>
      </c>
      <c r="S1740" s="6">
        <v>6</v>
      </c>
    </row>
    <row r="1741" spans="1:19" hidden="1" x14ac:dyDescent="0.25">
      <c r="A1741" t="s">
        <v>1146</v>
      </c>
      <c r="B1741" t="s">
        <v>1181</v>
      </c>
      <c r="C1741">
        <v>4</v>
      </c>
      <c r="D1741" t="s">
        <v>1161</v>
      </c>
      <c r="E1741" t="s">
        <v>1247</v>
      </c>
      <c r="F1741" s="5" t="s">
        <v>26</v>
      </c>
      <c r="G1741" s="19">
        <v>20</v>
      </c>
      <c r="H1741" s="19">
        <v>30</v>
      </c>
      <c r="I1741" t="b">
        <v>0</v>
      </c>
      <c r="J1741" t="s">
        <v>1163</v>
      </c>
      <c r="K1741" t="s">
        <v>32</v>
      </c>
      <c r="L1741" t="s">
        <v>716</v>
      </c>
      <c r="M1741" t="s">
        <v>1170</v>
      </c>
      <c r="Q1741" t="s">
        <v>1177</v>
      </c>
      <c r="R1741" t="s">
        <v>1177</v>
      </c>
      <c r="S1741" s="109">
        <v>4</v>
      </c>
    </row>
    <row r="1742" spans="1:19" hidden="1" x14ac:dyDescent="0.25">
      <c r="A1742" t="s">
        <v>1146</v>
      </c>
      <c r="B1742" t="s">
        <v>1181</v>
      </c>
      <c r="C1742">
        <v>4</v>
      </c>
      <c r="D1742" t="s">
        <v>109</v>
      </c>
      <c r="E1742" t="s">
        <v>1243</v>
      </c>
      <c r="F1742" s="5" t="s">
        <v>26</v>
      </c>
      <c r="G1742" s="19">
        <v>30</v>
      </c>
      <c r="H1742" s="19">
        <v>40</v>
      </c>
      <c r="I1742" t="b">
        <v>0</v>
      </c>
      <c r="J1742" t="s">
        <v>1164</v>
      </c>
      <c r="K1742" t="s">
        <v>32</v>
      </c>
      <c r="L1742" t="s">
        <v>716</v>
      </c>
      <c r="M1742" t="s">
        <v>1170</v>
      </c>
      <c r="Q1742" t="s">
        <v>1177</v>
      </c>
      <c r="R1742" t="s">
        <v>1177</v>
      </c>
      <c r="S1742" s="109">
        <v>3</v>
      </c>
    </row>
    <row r="1743" spans="1:19" hidden="1" x14ac:dyDescent="0.25">
      <c r="A1743" t="s">
        <v>1146</v>
      </c>
      <c r="B1743" t="s">
        <v>1181</v>
      </c>
      <c r="C1743">
        <v>5</v>
      </c>
      <c r="D1743" t="s">
        <v>11</v>
      </c>
      <c r="E1743" t="s">
        <v>524</v>
      </c>
      <c r="F1743" s="5" t="s">
        <v>24</v>
      </c>
      <c r="G1743" s="19">
        <v>10</v>
      </c>
      <c r="H1743" s="19">
        <v>20</v>
      </c>
      <c r="I1743" t="b">
        <v>1</v>
      </c>
      <c r="J1743" t="s">
        <v>0</v>
      </c>
      <c r="K1743" t="s">
        <v>32</v>
      </c>
      <c r="L1743" t="s">
        <v>716</v>
      </c>
      <c r="M1743" t="s">
        <v>1170</v>
      </c>
      <c r="Q1743" t="s">
        <v>1177</v>
      </c>
      <c r="R1743" t="s">
        <v>1177</v>
      </c>
      <c r="S1743" s="109">
        <v>1</v>
      </c>
    </row>
    <row r="1744" spans="1:19" hidden="1" x14ac:dyDescent="0.25">
      <c r="A1744" t="s">
        <v>1146</v>
      </c>
      <c r="B1744" t="s">
        <v>1181</v>
      </c>
      <c r="C1744">
        <v>5</v>
      </c>
      <c r="D1744" t="s">
        <v>13</v>
      </c>
      <c r="E1744" t="s">
        <v>1144</v>
      </c>
      <c r="F1744" s="5" t="s">
        <v>25</v>
      </c>
      <c r="G1744" s="19">
        <v>1</v>
      </c>
      <c r="H1744" s="19">
        <v>4</v>
      </c>
      <c r="I1744" t="b">
        <v>1</v>
      </c>
      <c r="J1744" t="s">
        <v>10</v>
      </c>
      <c r="K1744" t="s">
        <v>32</v>
      </c>
      <c r="L1744" t="s">
        <v>716</v>
      </c>
      <c r="M1744" t="s">
        <v>1170</v>
      </c>
      <c r="Q1744" t="s">
        <v>1177</v>
      </c>
      <c r="R1744" t="s">
        <v>1177</v>
      </c>
      <c r="S1744" s="6">
        <v>2</v>
      </c>
    </row>
    <row r="1745" spans="1:19" hidden="1" x14ac:dyDescent="0.25">
      <c r="A1745" t="s">
        <v>1146</v>
      </c>
      <c r="B1745" t="s">
        <v>1181</v>
      </c>
      <c r="C1745">
        <v>5</v>
      </c>
      <c r="D1745" t="s">
        <v>1161</v>
      </c>
      <c r="E1745" t="s">
        <v>1167</v>
      </c>
      <c r="F1745" s="5" t="s">
        <v>27</v>
      </c>
      <c r="G1745" s="19">
        <v>40</v>
      </c>
      <c r="H1745" s="19">
        <v>45</v>
      </c>
      <c r="I1745" t="b">
        <v>0</v>
      </c>
      <c r="J1745" t="s">
        <v>1163</v>
      </c>
      <c r="K1745" t="s">
        <v>32</v>
      </c>
      <c r="L1745" t="s">
        <v>716</v>
      </c>
      <c r="M1745" t="s">
        <v>1170</v>
      </c>
      <c r="Q1745" t="s">
        <v>1177</v>
      </c>
      <c r="R1745" t="s">
        <v>1177</v>
      </c>
      <c r="S1745" s="109">
        <v>4</v>
      </c>
    </row>
    <row r="1746" spans="1:19" hidden="1" x14ac:dyDescent="0.25">
      <c r="A1746" t="s">
        <v>1146</v>
      </c>
      <c r="B1746" t="s">
        <v>1181</v>
      </c>
      <c r="C1746">
        <v>5</v>
      </c>
      <c r="D1746" t="s">
        <v>109</v>
      </c>
      <c r="E1746" t="s">
        <v>1249</v>
      </c>
      <c r="F1746" s="5" t="s">
        <v>26</v>
      </c>
      <c r="G1746" s="19">
        <v>45</v>
      </c>
      <c r="H1746" s="19">
        <v>55</v>
      </c>
      <c r="I1746" t="b">
        <v>0</v>
      </c>
      <c r="J1746" t="s">
        <v>1164</v>
      </c>
      <c r="K1746" t="s">
        <v>32</v>
      </c>
      <c r="L1746" t="s">
        <v>716</v>
      </c>
      <c r="M1746" t="s">
        <v>1170</v>
      </c>
      <c r="Q1746" t="s">
        <v>1177</v>
      </c>
      <c r="R1746" t="s">
        <v>1177</v>
      </c>
      <c r="S1746" s="109">
        <v>3</v>
      </c>
    </row>
    <row r="1747" spans="1:19" hidden="1" x14ac:dyDescent="0.25">
      <c r="A1747" t="s">
        <v>1183</v>
      </c>
      <c r="B1747" t="s">
        <v>1173</v>
      </c>
      <c r="C1747">
        <v>2</v>
      </c>
      <c r="D1747" t="s">
        <v>1184</v>
      </c>
      <c r="E1747" t="s">
        <v>1199</v>
      </c>
      <c r="F1747" s="5" t="s">
        <v>25</v>
      </c>
      <c r="G1747" s="19">
        <v>11</v>
      </c>
      <c r="H1747" s="19">
        <v>14</v>
      </c>
      <c r="I1747" t="b">
        <v>1</v>
      </c>
      <c r="J1747" t="s">
        <v>1186</v>
      </c>
      <c r="K1747" t="s">
        <v>32</v>
      </c>
      <c r="Q1747" t="s">
        <v>1173</v>
      </c>
      <c r="R1747" t="s">
        <v>1173</v>
      </c>
      <c r="S1747" s="6">
        <v>1</v>
      </c>
    </row>
    <row r="1748" spans="1:19" hidden="1" x14ac:dyDescent="0.25">
      <c r="A1748" t="s">
        <v>1183</v>
      </c>
      <c r="B1748" t="s">
        <v>1173</v>
      </c>
      <c r="C1748">
        <v>2</v>
      </c>
      <c r="D1748" t="s">
        <v>885</v>
      </c>
      <c r="E1748" t="s">
        <v>1200</v>
      </c>
      <c r="F1748" s="5" t="s">
        <v>25</v>
      </c>
      <c r="G1748" s="19">
        <v>5</v>
      </c>
      <c r="H1748" s="19">
        <v>8</v>
      </c>
      <c r="I1748" t="b">
        <v>1</v>
      </c>
      <c r="J1748" t="s">
        <v>1201</v>
      </c>
      <c r="K1748" t="s">
        <v>32</v>
      </c>
      <c r="Q1748" t="s">
        <v>1173</v>
      </c>
      <c r="R1748" t="s">
        <v>1173</v>
      </c>
      <c r="S1748" s="109">
        <v>4</v>
      </c>
    </row>
    <row r="1749" spans="1:19" hidden="1" x14ac:dyDescent="0.25">
      <c r="A1749" t="s">
        <v>1183</v>
      </c>
      <c r="B1749" t="s">
        <v>1173</v>
      </c>
      <c r="C1749">
        <v>2</v>
      </c>
      <c r="D1749" t="s">
        <v>392</v>
      </c>
      <c r="E1749" t="s">
        <v>1253</v>
      </c>
      <c r="F1749" s="5" t="s">
        <v>24</v>
      </c>
      <c r="G1749" s="19">
        <v>50</v>
      </c>
      <c r="H1749" s="19">
        <v>60</v>
      </c>
      <c r="I1749" t="b">
        <v>1</v>
      </c>
      <c r="J1749" t="s">
        <v>847</v>
      </c>
      <c r="K1749" t="s">
        <v>32</v>
      </c>
      <c r="Q1749" t="s">
        <v>1173</v>
      </c>
      <c r="R1749" t="s">
        <v>1173</v>
      </c>
      <c r="S1749" s="109">
        <v>3</v>
      </c>
    </row>
    <row r="1750" spans="1:19" hidden="1" x14ac:dyDescent="0.25">
      <c r="A1750" t="s">
        <v>1183</v>
      </c>
      <c r="B1750" t="s">
        <v>1173</v>
      </c>
      <c r="C1750">
        <v>2</v>
      </c>
      <c r="D1750" t="s">
        <v>1194</v>
      </c>
      <c r="E1750" t="s">
        <v>1202</v>
      </c>
      <c r="F1750" s="5" t="s">
        <v>27</v>
      </c>
      <c r="G1750" s="19">
        <v>0</v>
      </c>
      <c r="H1750" s="19">
        <v>0.1</v>
      </c>
      <c r="I1750" t="b">
        <v>0</v>
      </c>
      <c r="J1750" t="s">
        <v>1203</v>
      </c>
      <c r="K1750" t="s">
        <v>32</v>
      </c>
      <c r="Q1750" t="s">
        <v>1173</v>
      </c>
      <c r="R1750" t="s">
        <v>1173</v>
      </c>
      <c r="S1750" s="109">
        <v>2</v>
      </c>
    </row>
    <row r="1751" spans="1:19" hidden="1" x14ac:dyDescent="0.25">
      <c r="A1751" t="s">
        <v>1183</v>
      </c>
      <c r="B1751" t="s">
        <v>1173</v>
      </c>
      <c r="C1751">
        <v>2</v>
      </c>
      <c r="D1751" t="s">
        <v>1188</v>
      </c>
      <c r="E1751" t="s">
        <v>1204</v>
      </c>
      <c r="F1751" s="5" t="s">
        <v>25</v>
      </c>
      <c r="G1751" s="19">
        <v>6</v>
      </c>
      <c r="H1751" s="19">
        <v>9</v>
      </c>
      <c r="I1751" t="b">
        <v>1</v>
      </c>
      <c r="J1751" t="s">
        <v>1205</v>
      </c>
      <c r="K1751" t="s">
        <v>32</v>
      </c>
      <c r="Q1751" t="s">
        <v>1173</v>
      </c>
      <c r="R1751" t="s">
        <v>1173</v>
      </c>
      <c r="S1751" s="109">
        <v>7</v>
      </c>
    </row>
    <row r="1752" spans="1:19" hidden="1" x14ac:dyDescent="0.25">
      <c r="A1752" t="s">
        <v>1183</v>
      </c>
      <c r="B1752" t="s">
        <v>1173</v>
      </c>
      <c r="C1752">
        <v>2</v>
      </c>
      <c r="D1752" t="s">
        <v>1187</v>
      </c>
      <c r="E1752" t="s">
        <v>524</v>
      </c>
      <c r="F1752" s="5" t="s">
        <v>24</v>
      </c>
      <c r="G1752" s="19">
        <v>10</v>
      </c>
      <c r="H1752" s="19">
        <v>20</v>
      </c>
      <c r="I1752" t="b">
        <v>1</v>
      </c>
      <c r="J1752" t="s">
        <v>1206</v>
      </c>
      <c r="K1752" t="s">
        <v>32</v>
      </c>
      <c r="Q1752" t="s">
        <v>1173</v>
      </c>
      <c r="R1752" t="s">
        <v>1173</v>
      </c>
      <c r="S1752" s="109">
        <v>8</v>
      </c>
    </row>
    <row r="1753" spans="1:19" hidden="1" x14ac:dyDescent="0.25">
      <c r="A1753" t="s">
        <v>1183</v>
      </c>
      <c r="B1753" t="s">
        <v>1173</v>
      </c>
      <c r="C1753">
        <v>2</v>
      </c>
      <c r="D1753" t="s">
        <v>1189</v>
      </c>
      <c r="E1753" t="s">
        <v>1207</v>
      </c>
      <c r="F1753" s="5" t="s">
        <v>25</v>
      </c>
      <c r="G1753" s="19">
        <v>3.5</v>
      </c>
      <c r="H1753" s="19">
        <v>5</v>
      </c>
      <c r="I1753" t="b">
        <v>1</v>
      </c>
      <c r="J1753" t="s">
        <v>1208</v>
      </c>
      <c r="K1753" t="s">
        <v>32</v>
      </c>
      <c r="Q1753" t="s">
        <v>1173</v>
      </c>
      <c r="R1753" t="s">
        <v>1173</v>
      </c>
      <c r="S1753" s="109">
        <v>11</v>
      </c>
    </row>
    <row r="1754" spans="1:19" hidden="1" x14ac:dyDescent="0.25">
      <c r="A1754" t="s">
        <v>1183</v>
      </c>
      <c r="B1754" t="s">
        <v>1173</v>
      </c>
      <c r="C1754">
        <v>2</v>
      </c>
      <c r="D1754" t="s">
        <v>1191</v>
      </c>
      <c r="E1754" t="s">
        <v>1143</v>
      </c>
      <c r="F1754" s="5" t="s">
        <v>25</v>
      </c>
      <c r="G1754" s="19">
        <v>0</v>
      </c>
      <c r="H1754" s="19">
        <v>1</v>
      </c>
      <c r="I1754" t="b">
        <v>1</v>
      </c>
      <c r="J1754" t="s">
        <v>1209</v>
      </c>
      <c r="K1754" t="s">
        <v>32</v>
      </c>
      <c r="Q1754" t="s">
        <v>1173</v>
      </c>
      <c r="R1754" t="s">
        <v>1173</v>
      </c>
      <c r="S1754" s="109">
        <v>12</v>
      </c>
    </row>
    <row r="1755" spans="1:19" hidden="1" x14ac:dyDescent="0.25">
      <c r="A1755" t="s">
        <v>1183</v>
      </c>
      <c r="B1755" t="s">
        <v>1173</v>
      </c>
      <c r="C1755">
        <v>2</v>
      </c>
      <c r="D1755" t="s">
        <v>1190</v>
      </c>
      <c r="E1755" t="s">
        <v>1210</v>
      </c>
      <c r="F1755" s="5" t="s">
        <v>25</v>
      </c>
      <c r="G1755" s="19">
        <v>4.5</v>
      </c>
      <c r="H1755" s="19">
        <v>6</v>
      </c>
      <c r="I1755" t="b">
        <v>1</v>
      </c>
      <c r="J1755" t="s">
        <v>1211</v>
      </c>
      <c r="K1755" t="s">
        <v>32</v>
      </c>
      <c r="Q1755" t="s">
        <v>1173</v>
      </c>
      <c r="R1755" t="s">
        <v>1173</v>
      </c>
      <c r="S1755" s="109">
        <v>9</v>
      </c>
    </row>
    <row r="1756" spans="1:19" hidden="1" x14ac:dyDescent="0.25">
      <c r="A1756" t="s">
        <v>1183</v>
      </c>
      <c r="B1756" t="s">
        <v>1173</v>
      </c>
      <c r="C1756">
        <v>2</v>
      </c>
      <c r="D1756" t="s">
        <v>1192</v>
      </c>
      <c r="E1756" t="s">
        <v>1143</v>
      </c>
      <c r="F1756" s="5" t="s">
        <v>25</v>
      </c>
      <c r="G1756" s="19">
        <v>0</v>
      </c>
      <c r="H1756" s="19">
        <v>1</v>
      </c>
      <c r="I1756" t="b">
        <v>1</v>
      </c>
      <c r="J1756" t="s">
        <v>1212</v>
      </c>
      <c r="K1756" t="s">
        <v>32</v>
      </c>
      <c r="Q1756" t="s">
        <v>1173</v>
      </c>
      <c r="R1756" t="s">
        <v>1173</v>
      </c>
      <c r="S1756" s="109">
        <v>10</v>
      </c>
    </row>
    <row r="1757" spans="1:19" hidden="1" x14ac:dyDescent="0.25">
      <c r="A1757" t="s">
        <v>1183</v>
      </c>
      <c r="B1757" t="s">
        <v>1173</v>
      </c>
      <c r="C1757">
        <v>2</v>
      </c>
      <c r="D1757" t="s">
        <v>1213</v>
      </c>
      <c r="E1757" t="s">
        <v>545</v>
      </c>
      <c r="F1757" s="5" t="s">
        <v>24</v>
      </c>
      <c r="G1757" s="19">
        <v>40</v>
      </c>
      <c r="H1757" s="19">
        <v>50</v>
      </c>
      <c r="I1757" t="b">
        <v>1</v>
      </c>
      <c r="J1757" t="s">
        <v>1214</v>
      </c>
      <c r="K1757" t="s">
        <v>32</v>
      </c>
      <c r="Q1757" t="s">
        <v>1173</v>
      </c>
      <c r="R1757" t="s">
        <v>1173</v>
      </c>
      <c r="S1757" s="109">
        <v>15</v>
      </c>
    </row>
    <row r="1758" spans="1:19" hidden="1" x14ac:dyDescent="0.25">
      <c r="A1758" t="s">
        <v>1183</v>
      </c>
      <c r="B1758" t="s">
        <v>1173</v>
      </c>
      <c r="C1758">
        <v>2</v>
      </c>
      <c r="D1758" t="s">
        <v>1215</v>
      </c>
      <c r="E1758" t="s">
        <v>1195</v>
      </c>
      <c r="F1758" s="5" t="s">
        <v>25</v>
      </c>
      <c r="G1758" s="19">
        <v>1</v>
      </c>
      <c r="H1758" s="19">
        <v>2</v>
      </c>
      <c r="I1758" t="b">
        <v>1</v>
      </c>
      <c r="J1758" t="s">
        <v>1216</v>
      </c>
      <c r="K1758" t="s">
        <v>32</v>
      </c>
      <c r="Q1758" t="s">
        <v>1173</v>
      </c>
      <c r="R1758" t="s">
        <v>1173</v>
      </c>
      <c r="S1758" s="109">
        <v>14</v>
      </c>
    </row>
    <row r="1759" spans="1:19" hidden="1" x14ac:dyDescent="0.25">
      <c r="A1759" t="s">
        <v>1183</v>
      </c>
      <c r="B1759" t="s">
        <v>1173</v>
      </c>
      <c r="C1759">
        <v>3</v>
      </c>
      <c r="D1759" t="s">
        <v>1184</v>
      </c>
      <c r="E1759" t="s">
        <v>1185</v>
      </c>
      <c r="F1759" s="5" t="s">
        <v>25</v>
      </c>
      <c r="G1759" s="19">
        <v>7</v>
      </c>
      <c r="H1759" s="19">
        <v>10</v>
      </c>
      <c r="I1759" t="b">
        <v>1</v>
      </c>
      <c r="J1759" t="s">
        <v>1186</v>
      </c>
      <c r="K1759" t="s">
        <v>32</v>
      </c>
      <c r="Q1759" t="s">
        <v>1173</v>
      </c>
      <c r="R1759" t="s">
        <v>1173</v>
      </c>
      <c r="S1759" s="6">
        <v>1</v>
      </c>
    </row>
    <row r="1760" spans="1:19" hidden="1" x14ac:dyDescent="0.25">
      <c r="A1760" t="s">
        <v>1183</v>
      </c>
      <c r="B1760" t="s">
        <v>1173</v>
      </c>
      <c r="C1760">
        <v>3</v>
      </c>
      <c r="D1760" t="s">
        <v>885</v>
      </c>
      <c r="E1760" t="s">
        <v>1196</v>
      </c>
      <c r="F1760" s="5" t="s">
        <v>25</v>
      </c>
      <c r="G1760" s="19">
        <v>2</v>
      </c>
      <c r="H1760" s="19">
        <v>5</v>
      </c>
      <c r="I1760" t="b">
        <v>1</v>
      </c>
      <c r="J1760" t="s">
        <v>1201</v>
      </c>
      <c r="K1760" t="s">
        <v>32</v>
      </c>
      <c r="Q1760" t="s">
        <v>1173</v>
      </c>
      <c r="R1760" t="s">
        <v>1173</v>
      </c>
      <c r="S1760" s="109">
        <v>4</v>
      </c>
    </row>
    <row r="1761" spans="1:19" hidden="1" x14ac:dyDescent="0.25">
      <c r="A1761" t="s">
        <v>1183</v>
      </c>
      <c r="B1761" t="s">
        <v>1173</v>
      </c>
      <c r="C1761">
        <v>3</v>
      </c>
      <c r="D1761" t="s">
        <v>1217</v>
      </c>
      <c r="E1761" t="s">
        <v>1202</v>
      </c>
      <c r="F1761" s="5" t="s">
        <v>27</v>
      </c>
      <c r="G1761" s="19">
        <v>0</v>
      </c>
      <c r="H1761" s="19">
        <v>0.1</v>
      </c>
      <c r="I1761" t="b">
        <v>0</v>
      </c>
      <c r="J1761" t="s">
        <v>1218</v>
      </c>
      <c r="K1761" t="s">
        <v>32</v>
      </c>
      <c r="Q1761" t="s">
        <v>1173</v>
      </c>
      <c r="R1761" t="s">
        <v>1173</v>
      </c>
      <c r="S1761" s="109">
        <v>6</v>
      </c>
    </row>
    <row r="1762" spans="1:19" hidden="1" x14ac:dyDescent="0.25">
      <c r="A1762" t="s">
        <v>1183</v>
      </c>
      <c r="B1762" t="s">
        <v>1173</v>
      </c>
      <c r="C1762">
        <v>3</v>
      </c>
      <c r="D1762" t="s">
        <v>1188</v>
      </c>
      <c r="E1762" t="s">
        <v>1159</v>
      </c>
      <c r="F1762" s="5" t="s">
        <v>25</v>
      </c>
      <c r="G1762" s="19">
        <v>3</v>
      </c>
      <c r="H1762" s="19">
        <v>6</v>
      </c>
      <c r="I1762" t="b">
        <v>1</v>
      </c>
      <c r="J1762" t="s">
        <v>1205</v>
      </c>
      <c r="K1762" t="s">
        <v>32</v>
      </c>
      <c r="Q1762" t="s">
        <v>1173</v>
      </c>
      <c r="R1762" t="s">
        <v>1173</v>
      </c>
      <c r="S1762" s="109">
        <v>7</v>
      </c>
    </row>
    <row r="1763" spans="1:19" hidden="1" x14ac:dyDescent="0.25">
      <c r="A1763" t="s">
        <v>1183</v>
      </c>
      <c r="B1763" t="s">
        <v>1173</v>
      </c>
      <c r="C1763">
        <v>3</v>
      </c>
      <c r="D1763" t="s">
        <v>1189</v>
      </c>
      <c r="E1763" t="s">
        <v>1219</v>
      </c>
      <c r="F1763" s="5" t="s">
        <v>25</v>
      </c>
      <c r="G1763" s="19">
        <v>1.5</v>
      </c>
      <c r="H1763" s="19">
        <v>3.5</v>
      </c>
      <c r="I1763" t="b">
        <v>1</v>
      </c>
      <c r="J1763" t="s">
        <v>1208</v>
      </c>
      <c r="K1763" t="s">
        <v>32</v>
      </c>
      <c r="Q1763" t="s">
        <v>1173</v>
      </c>
      <c r="R1763" t="s">
        <v>1173</v>
      </c>
      <c r="S1763" s="109">
        <v>11</v>
      </c>
    </row>
    <row r="1764" spans="1:19" hidden="1" x14ac:dyDescent="0.25">
      <c r="A1764" t="s">
        <v>1183</v>
      </c>
      <c r="B1764" t="s">
        <v>1173</v>
      </c>
      <c r="C1764">
        <v>3</v>
      </c>
      <c r="D1764" t="s">
        <v>1191</v>
      </c>
      <c r="E1764" t="s">
        <v>1143</v>
      </c>
      <c r="F1764" s="5" t="s">
        <v>25</v>
      </c>
      <c r="G1764" s="19">
        <v>0</v>
      </c>
      <c r="H1764" s="19">
        <v>1</v>
      </c>
      <c r="I1764" t="b">
        <v>1</v>
      </c>
      <c r="J1764" t="s">
        <v>1209</v>
      </c>
      <c r="K1764" t="s">
        <v>32</v>
      </c>
      <c r="Q1764" t="s">
        <v>1173</v>
      </c>
      <c r="R1764" t="s">
        <v>1173</v>
      </c>
      <c r="S1764" s="109">
        <v>12</v>
      </c>
    </row>
    <row r="1765" spans="1:19" hidden="1" x14ac:dyDescent="0.25">
      <c r="A1765" t="s">
        <v>1183</v>
      </c>
      <c r="B1765" t="s">
        <v>1173</v>
      </c>
      <c r="C1765">
        <v>3</v>
      </c>
      <c r="D1765" t="s">
        <v>1190</v>
      </c>
      <c r="E1765" t="s">
        <v>1220</v>
      </c>
      <c r="F1765" s="5" t="s">
        <v>25</v>
      </c>
      <c r="G1765" s="19">
        <v>2.5</v>
      </c>
      <c r="H1765" s="19">
        <v>4</v>
      </c>
      <c r="I1765" t="b">
        <v>1</v>
      </c>
      <c r="J1765" t="s">
        <v>1211</v>
      </c>
      <c r="K1765" t="s">
        <v>32</v>
      </c>
      <c r="Q1765" t="s">
        <v>1173</v>
      </c>
      <c r="R1765" t="s">
        <v>1173</v>
      </c>
      <c r="S1765" s="109">
        <v>9</v>
      </c>
    </row>
    <row r="1766" spans="1:19" hidden="1" x14ac:dyDescent="0.25">
      <c r="A1766" t="s">
        <v>1183</v>
      </c>
      <c r="B1766" t="s">
        <v>1173</v>
      </c>
      <c r="C1766">
        <v>3</v>
      </c>
      <c r="D1766" t="s">
        <v>1192</v>
      </c>
      <c r="E1766" t="s">
        <v>1143</v>
      </c>
      <c r="F1766" s="5" t="s">
        <v>25</v>
      </c>
      <c r="G1766" s="19">
        <v>0</v>
      </c>
      <c r="H1766" s="19">
        <v>1</v>
      </c>
      <c r="I1766" t="b">
        <v>1</v>
      </c>
      <c r="J1766" t="s">
        <v>1212</v>
      </c>
      <c r="K1766" t="s">
        <v>32</v>
      </c>
      <c r="Q1766" t="s">
        <v>1173</v>
      </c>
      <c r="R1766" t="s">
        <v>1173</v>
      </c>
      <c r="S1766" s="109">
        <v>10</v>
      </c>
    </row>
    <row r="1767" spans="1:19" hidden="1" x14ac:dyDescent="0.25">
      <c r="A1767" t="s">
        <v>1183</v>
      </c>
      <c r="B1767" t="s">
        <v>1173</v>
      </c>
      <c r="C1767">
        <v>3</v>
      </c>
      <c r="D1767" t="s">
        <v>1215</v>
      </c>
      <c r="E1767" t="s">
        <v>1221</v>
      </c>
      <c r="F1767" s="5" t="s">
        <v>25</v>
      </c>
      <c r="G1767" s="19">
        <v>0.5</v>
      </c>
      <c r="H1767" s="19">
        <v>2</v>
      </c>
      <c r="I1767" t="b">
        <v>1</v>
      </c>
      <c r="J1767" t="s">
        <v>1216</v>
      </c>
      <c r="K1767" t="s">
        <v>32</v>
      </c>
      <c r="Q1767" t="s">
        <v>1173</v>
      </c>
      <c r="R1767" t="s">
        <v>1173</v>
      </c>
      <c r="S1767" s="109">
        <v>14</v>
      </c>
    </row>
    <row r="1768" spans="1:19" hidden="1" x14ac:dyDescent="0.25">
      <c r="A1768" t="s">
        <v>1183</v>
      </c>
      <c r="B1768" t="s">
        <v>1173</v>
      </c>
      <c r="C1768">
        <v>3</v>
      </c>
      <c r="D1768" t="s">
        <v>392</v>
      </c>
      <c r="E1768" t="s">
        <v>545</v>
      </c>
      <c r="F1768" s="5" t="s">
        <v>24</v>
      </c>
      <c r="G1768" s="19">
        <v>40</v>
      </c>
      <c r="H1768" s="19">
        <v>50</v>
      </c>
      <c r="I1768" t="b">
        <v>1</v>
      </c>
      <c r="J1768" t="s">
        <v>847</v>
      </c>
      <c r="K1768" t="s">
        <v>32</v>
      </c>
      <c r="L1768" t="s">
        <v>716</v>
      </c>
      <c r="M1768" t="s">
        <v>1170</v>
      </c>
      <c r="Q1768" t="s">
        <v>1173</v>
      </c>
      <c r="R1768" t="s">
        <v>1173</v>
      </c>
      <c r="S1768" s="109">
        <v>3</v>
      </c>
    </row>
    <row r="1769" spans="1:19" hidden="1" x14ac:dyDescent="0.25">
      <c r="A1769" t="s">
        <v>1183</v>
      </c>
      <c r="B1769" t="s">
        <v>1173</v>
      </c>
      <c r="C1769">
        <v>3</v>
      </c>
      <c r="D1769" t="s">
        <v>1194</v>
      </c>
      <c r="E1769" t="s">
        <v>1222</v>
      </c>
      <c r="F1769" s="5" t="s">
        <v>27</v>
      </c>
      <c r="G1769" s="19">
        <v>0.1</v>
      </c>
      <c r="H1769" s="19">
        <v>5</v>
      </c>
      <c r="I1769" t="b">
        <v>0</v>
      </c>
      <c r="J1769" t="s">
        <v>1203</v>
      </c>
      <c r="K1769" t="s">
        <v>32</v>
      </c>
      <c r="L1769" t="s">
        <v>716</v>
      </c>
      <c r="M1769" t="s">
        <v>1170</v>
      </c>
      <c r="Q1769" t="s">
        <v>1173</v>
      </c>
      <c r="R1769" t="s">
        <v>1173</v>
      </c>
      <c r="S1769" s="109">
        <v>2</v>
      </c>
    </row>
    <row r="1770" spans="1:19" hidden="1" x14ac:dyDescent="0.25">
      <c r="A1770" t="s">
        <v>1183</v>
      </c>
      <c r="B1770" t="s">
        <v>1173</v>
      </c>
      <c r="C1770">
        <v>3</v>
      </c>
      <c r="D1770" t="s">
        <v>1187</v>
      </c>
      <c r="E1770" t="s">
        <v>1223</v>
      </c>
      <c r="F1770" s="5" t="s">
        <v>25</v>
      </c>
      <c r="G1770" s="19">
        <v>1</v>
      </c>
      <c r="H1770" s="19">
        <v>10</v>
      </c>
      <c r="I1770" t="b">
        <v>1</v>
      </c>
      <c r="J1770" t="s">
        <v>1206</v>
      </c>
      <c r="K1770" t="s">
        <v>32</v>
      </c>
      <c r="L1770" t="s">
        <v>716</v>
      </c>
      <c r="M1770" t="s">
        <v>1170</v>
      </c>
      <c r="Q1770" t="s">
        <v>1173</v>
      </c>
      <c r="R1770" t="s">
        <v>1173</v>
      </c>
      <c r="S1770" s="109">
        <v>8</v>
      </c>
    </row>
    <row r="1771" spans="1:19" hidden="1" x14ac:dyDescent="0.25">
      <c r="A1771" t="s">
        <v>1183</v>
      </c>
      <c r="B1771" t="s">
        <v>1173</v>
      </c>
      <c r="C1771">
        <v>3</v>
      </c>
      <c r="D1771" t="s">
        <v>1213</v>
      </c>
      <c r="E1771" t="s">
        <v>551</v>
      </c>
      <c r="F1771" s="5" t="s">
        <v>24</v>
      </c>
      <c r="G1771" s="19">
        <v>30</v>
      </c>
      <c r="H1771" s="19">
        <v>40</v>
      </c>
      <c r="I1771" t="b">
        <v>1</v>
      </c>
      <c r="J1771" t="s">
        <v>1214</v>
      </c>
      <c r="K1771" t="s">
        <v>32</v>
      </c>
      <c r="L1771" t="s">
        <v>716</v>
      </c>
      <c r="M1771" t="s">
        <v>1170</v>
      </c>
      <c r="Q1771" t="s">
        <v>1173</v>
      </c>
      <c r="R1771" t="s">
        <v>1173</v>
      </c>
      <c r="S1771" s="109">
        <v>15</v>
      </c>
    </row>
    <row r="1772" spans="1:19" hidden="1" x14ac:dyDescent="0.25">
      <c r="A1772" t="s">
        <v>1183</v>
      </c>
      <c r="B1772" t="s">
        <v>1173</v>
      </c>
      <c r="C1772">
        <v>4</v>
      </c>
      <c r="D1772" t="s">
        <v>1184</v>
      </c>
      <c r="E1772" t="s">
        <v>1224</v>
      </c>
      <c r="F1772" s="5" t="s">
        <v>25</v>
      </c>
      <c r="G1772" s="19">
        <v>4</v>
      </c>
      <c r="H1772" s="19">
        <v>7</v>
      </c>
      <c r="I1772" t="b">
        <v>1</v>
      </c>
      <c r="J1772" t="s">
        <v>1186</v>
      </c>
      <c r="K1772" t="s">
        <v>32</v>
      </c>
      <c r="Q1772" t="s">
        <v>1173</v>
      </c>
      <c r="R1772" t="s">
        <v>1173</v>
      </c>
      <c r="S1772" s="6">
        <v>1</v>
      </c>
    </row>
    <row r="1773" spans="1:19" hidden="1" x14ac:dyDescent="0.25">
      <c r="A1773" t="s">
        <v>1183</v>
      </c>
      <c r="B1773" t="s">
        <v>1173</v>
      </c>
      <c r="C1773">
        <v>4</v>
      </c>
      <c r="D1773" t="s">
        <v>885</v>
      </c>
      <c r="E1773" t="s">
        <v>1221</v>
      </c>
      <c r="F1773" s="5" t="s">
        <v>25</v>
      </c>
      <c r="G1773" s="19">
        <v>0.5</v>
      </c>
      <c r="H1773" s="19">
        <v>2</v>
      </c>
      <c r="I1773" t="b">
        <v>1</v>
      </c>
      <c r="J1773" t="s">
        <v>1201</v>
      </c>
      <c r="K1773" t="s">
        <v>32</v>
      </c>
      <c r="Q1773" t="s">
        <v>1173</v>
      </c>
      <c r="R1773" t="s">
        <v>1173</v>
      </c>
      <c r="S1773" s="109">
        <v>4</v>
      </c>
    </row>
    <row r="1774" spans="1:19" hidden="1" x14ac:dyDescent="0.25">
      <c r="A1774" t="s">
        <v>1183</v>
      </c>
      <c r="B1774" t="s">
        <v>1173</v>
      </c>
      <c r="C1774">
        <v>4</v>
      </c>
      <c r="D1774" t="s">
        <v>1188</v>
      </c>
      <c r="E1774" t="s">
        <v>1145</v>
      </c>
      <c r="F1774" s="5" t="s">
        <v>25</v>
      </c>
      <c r="G1774" s="19">
        <v>0</v>
      </c>
      <c r="H1774" s="19">
        <v>3</v>
      </c>
      <c r="I1774" t="b">
        <v>1</v>
      </c>
      <c r="J1774" t="s">
        <v>1205</v>
      </c>
      <c r="K1774" t="s">
        <v>32</v>
      </c>
      <c r="Q1774" t="s">
        <v>1173</v>
      </c>
      <c r="R1774" t="s">
        <v>1173</v>
      </c>
      <c r="S1774" s="109">
        <v>7</v>
      </c>
    </row>
    <row r="1775" spans="1:19" hidden="1" x14ac:dyDescent="0.25">
      <c r="A1775" t="s">
        <v>1183</v>
      </c>
      <c r="B1775" t="s">
        <v>1173</v>
      </c>
      <c r="C1775">
        <v>4</v>
      </c>
      <c r="D1775" t="s">
        <v>1190</v>
      </c>
      <c r="E1775" t="s">
        <v>1221</v>
      </c>
      <c r="F1775" s="5" t="s">
        <v>25</v>
      </c>
      <c r="G1775" s="19">
        <v>0.5</v>
      </c>
      <c r="H1775" s="19">
        <v>2</v>
      </c>
      <c r="I1775" t="b">
        <v>1</v>
      </c>
      <c r="J1775" t="s">
        <v>1211</v>
      </c>
      <c r="K1775" t="s">
        <v>32</v>
      </c>
      <c r="Q1775" t="s">
        <v>1173</v>
      </c>
      <c r="R1775" t="s">
        <v>1173</v>
      </c>
      <c r="S1775" s="109">
        <v>9</v>
      </c>
    </row>
    <row r="1776" spans="1:19" hidden="1" x14ac:dyDescent="0.25">
      <c r="A1776" t="s">
        <v>1183</v>
      </c>
      <c r="B1776" t="s">
        <v>1173</v>
      </c>
      <c r="C1776">
        <v>4</v>
      </c>
      <c r="D1776" t="s">
        <v>392</v>
      </c>
      <c r="E1776" t="s">
        <v>524</v>
      </c>
      <c r="F1776" s="5" t="s">
        <v>24</v>
      </c>
      <c r="G1776" s="19">
        <v>10</v>
      </c>
      <c r="H1776" s="19">
        <v>20</v>
      </c>
      <c r="I1776" t="b">
        <v>1</v>
      </c>
      <c r="J1776" t="s">
        <v>847</v>
      </c>
      <c r="K1776" t="s">
        <v>32</v>
      </c>
      <c r="L1776" t="s">
        <v>716</v>
      </c>
      <c r="M1776" t="s">
        <v>1170</v>
      </c>
      <c r="Q1776" t="s">
        <v>1173</v>
      </c>
      <c r="R1776" t="s">
        <v>1173</v>
      </c>
      <c r="S1776" s="109">
        <v>3</v>
      </c>
    </row>
    <row r="1777" spans="1:19" hidden="1" x14ac:dyDescent="0.25">
      <c r="A1777" t="s">
        <v>1183</v>
      </c>
      <c r="B1777" t="s">
        <v>1173</v>
      </c>
      <c r="C1777">
        <v>4</v>
      </c>
      <c r="D1777" t="s">
        <v>1194</v>
      </c>
      <c r="E1777" t="s">
        <v>1225</v>
      </c>
      <c r="F1777" s="5" t="s">
        <v>27</v>
      </c>
      <c r="G1777" s="19">
        <v>7</v>
      </c>
      <c r="H1777" s="19">
        <v>10</v>
      </c>
      <c r="I1777" t="b">
        <v>0</v>
      </c>
      <c r="J1777" t="s">
        <v>1203</v>
      </c>
      <c r="K1777" t="s">
        <v>32</v>
      </c>
      <c r="L1777" t="s">
        <v>716</v>
      </c>
      <c r="M1777" t="s">
        <v>1170</v>
      </c>
      <c r="Q1777" t="s">
        <v>1173</v>
      </c>
      <c r="R1777" t="s">
        <v>1173</v>
      </c>
      <c r="S1777" s="109">
        <v>2</v>
      </c>
    </row>
    <row r="1778" spans="1:19" hidden="1" x14ac:dyDescent="0.25">
      <c r="A1778" t="s">
        <v>1183</v>
      </c>
      <c r="B1778" t="s">
        <v>1173</v>
      </c>
      <c r="C1778">
        <v>4</v>
      </c>
      <c r="D1778" t="s">
        <v>1187</v>
      </c>
      <c r="E1778" t="s">
        <v>1143</v>
      </c>
      <c r="F1778" s="5" t="s">
        <v>25</v>
      </c>
      <c r="G1778" s="19">
        <v>0</v>
      </c>
      <c r="H1778" s="19">
        <v>1</v>
      </c>
      <c r="I1778" t="b">
        <v>1</v>
      </c>
      <c r="J1778" t="s">
        <v>1206</v>
      </c>
      <c r="K1778" t="s">
        <v>32</v>
      </c>
      <c r="L1778" t="s">
        <v>716</v>
      </c>
      <c r="M1778" t="s">
        <v>1170</v>
      </c>
      <c r="Q1778" t="s">
        <v>1173</v>
      </c>
      <c r="R1778" t="s">
        <v>1173</v>
      </c>
      <c r="S1778" s="109">
        <v>8</v>
      </c>
    </row>
    <row r="1779" spans="1:19" hidden="1" x14ac:dyDescent="0.25">
      <c r="A1779" t="s">
        <v>1183</v>
      </c>
      <c r="B1779" t="s">
        <v>1173</v>
      </c>
      <c r="C1779">
        <v>4</v>
      </c>
      <c r="D1779" t="s">
        <v>1213</v>
      </c>
      <c r="E1779" t="s">
        <v>524</v>
      </c>
      <c r="F1779" s="5" t="s">
        <v>24</v>
      </c>
      <c r="G1779" s="19">
        <v>10</v>
      </c>
      <c r="H1779" s="19">
        <v>20</v>
      </c>
      <c r="I1779" t="b">
        <v>1</v>
      </c>
      <c r="J1779" t="s">
        <v>1214</v>
      </c>
      <c r="K1779" t="s">
        <v>32</v>
      </c>
      <c r="L1779" t="s">
        <v>716</v>
      </c>
      <c r="M1779" t="s">
        <v>1170</v>
      </c>
      <c r="Q1779" t="s">
        <v>1173</v>
      </c>
      <c r="R1779" t="s">
        <v>1173</v>
      </c>
      <c r="S1779" s="109">
        <v>15</v>
      </c>
    </row>
    <row r="1780" spans="1:19" hidden="1" x14ac:dyDescent="0.25">
      <c r="A1780" t="s">
        <v>1183</v>
      </c>
      <c r="B1780" t="s">
        <v>1173</v>
      </c>
      <c r="C1780">
        <v>4</v>
      </c>
      <c r="D1780" t="s">
        <v>1215</v>
      </c>
      <c r="E1780" t="s">
        <v>1143</v>
      </c>
      <c r="F1780" s="5" t="s">
        <v>25</v>
      </c>
      <c r="G1780" s="19">
        <v>0</v>
      </c>
      <c r="H1780" s="19">
        <v>1</v>
      </c>
      <c r="I1780" t="b">
        <v>1</v>
      </c>
      <c r="J1780" t="s">
        <v>1216</v>
      </c>
      <c r="K1780" t="s">
        <v>32</v>
      </c>
      <c r="L1780" t="s">
        <v>716</v>
      </c>
      <c r="M1780" t="s">
        <v>1170</v>
      </c>
      <c r="Q1780" t="s">
        <v>1173</v>
      </c>
      <c r="R1780" t="s">
        <v>1173</v>
      </c>
      <c r="S1780" s="109">
        <v>14</v>
      </c>
    </row>
    <row r="1781" spans="1:19" hidden="1" x14ac:dyDescent="0.25">
      <c r="A1781" t="s">
        <v>1183</v>
      </c>
      <c r="B1781" t="s">
        <v>1173</v>
      </c>
      <c r="C1781">
        <v>5</v>
      </c>
      <c r="D1781" t="s">
        <v>1184</v>
      </c>
      <c r="E1781" t="s">
        <v>1226</v>
      </c>
      <c r="F1781" s="5" t="s">
        <v>25</v>
      </c>
      <c r="G1781" s="19">
        <v>1</v>
      </c>
      <c r="H1781" s="19">
        <v>4</v>
      </c>
      <c r="I1781" t="b">
        <v>1</v>
      </c>
      <c r="J1781" t="s">
        <v>1186</v>
      </c>
      <c r="K1781" t="s">
        <v>32</v>
      </c>
      <c r="Q1781" t="s">
        <v>1173</v>
      </c>
      <c r="R1781" t="s">
        <v>1173</v>
      </c>
      <c r="S1781" s="6">
        <v>1</v>
      </c>
    </row>
    <row r="1782" spans="1:19" hidden="1" x14ac:dyDescent="0.25">
      <c r="A1782" t="s">
        <v>1183</v>
      </c>
      <c r="B1782" t="s">
        <v>1173</v>
      </c>
      <c r="C1782">
        <v>5</v>
      </c>
      <c r="D1782" t="s">
        <v>392</v>
      </c>
      <c r="E1782" t="s">
        <v>1155</v>
      </c>
      <c r="F1782" s="5" t="s">
        <v>25</v>
      </c>
      <c r="G1782" s="19">
        <v>5</v>
      </c>
      <c r="H1782" s="19">
        <v>10</v>
      </c>
      <c r="I1782" t="b">
        <v>1</v>
      </c>
      <c r="J1782" t="s">
        <v>847</v>
      </c>
      <c r="K1782" t="s">
        <v>32</v>
      </c>
      <c r="Q1782" t="s">
        <v>1173</v>
      </c>
      <c r="R1782" t="s">
        <v>1173</v>
      </c>
      <c r="S1782" s="109">
        <v>3</v>
      </c>
    </row>
    <row r="1783" spans="1:19" hidden="1" x14ac:dyDescent="0.25">
      <c r="A1783" t="s">
        <v>1183</v>
      </c>
      <c r="B1783" t="s">
        <v>1173</v>
      </c>
      <c r="C1783">
        <v>5</v>
      </c>
      <c r="D1783" t="s">
        <v>1194</v>
      </c>
      <c r="E1783" t="s">
        <v>1248</v>
      </c>
      <c r="F1783" s="5" t="s">
        <v>26</v>
      </c>
      <c r="G1783" s="19">
        <v>15</v>
      </c>
      <c r="H1783" s="19">
        <v>25</v>
      </c>
      <c r="I1783" t="b">
        <v>0</v>
      </c>
      <c r="J1783" t="s">
        <v>1203</v>
      </c>
      <c r="K1783" t="s">
        <v>32</v>
      </c>
      <c r="Q1783" t="s">
        <v>1173</v>
      </c>
      <c r="R1783" t="s">
        <v>1173</v>
      </c>
      <c r="S1783" s="109">
        <v>2</v>
      </c>
    </row>
    <row r="1784" spans="1:19" hidden="1" x14ac:dyDescent="0.25">
      <c r="A1784" t="s">
        <v>1183</v>
      </c>
      <c r="B1784" t="s">
        <v>1142</v>
      </c>
      <c r="C1784">
        <v>2</v>
      </c>
      <c r="D1784" t="s">
        <v>1184</v>
      </c>
      <c r="E1784" t="s">
        <v>1199</v>
      </c>
      <c r="F1784" s="5" t="s">
        <v>25</v>
      </c>
      <c r="G1784" s="19">
        <v>11</v>
      </c>
      <c r="H1784" s="19">
        <v>14</v>
      </c>
      <c r="I1784" t="b">
        <v>1</v>
      </c>
      <c r="J1784" t="s">
        <v>1186</v>
      </c>
      <c r="K1784" t="s">
        <v>32</v>
      </c>
      <c r="Q1784" t="s">
        <v>1142</v>
      </c>
      <c r="R1784" t="s">
        <v>1142</v>
      </c>
      <c r="S1784" s="6">
        <v>1</v>
      </c>
    </row>
    <row r="1785" spans="1:19" hidden="1" x14ac:dyDescent="0.25">
      <c r="A1785" t="s">
        <v>1183</v>
      </c>
      <c r="B1785" t="s">
        <v>1142</v>
      </c>
      <c r="C1785">
        <v>2</v>
      </c>
      <c r="D1785" t="s">
        <v>885</v>
      </c>
      <c r="E1785" t="s">
        <v>1200</v>
      </c>
      <c r="F1785" s="5" t="s">
        <v>25</v>
      </c>
      <c r="G1785" s="19">
        <v>5</v>
      </c>
      <c r="H1785" s="19">
        <v>8</v>
      </c>
      <c r="I1785" t="b">
        <v>1</v>
      </c>
      <c r="J1785" t="s">
        <v>1201</v>
      </c>
      <c r="K1785" t="s">
        <v>32</v>
      </c>
      <c r="Q1785" t="s">
        <v>1142</v>
      </c>
      <c r="R1785" t="s">
        <v>1142</v>
      </c>
      <c r="S1785" s="109">
        <v>4</v>
      </c>
    </row>
    <row r="1786" spans="1:19" hidden="1" x14ac:dyDescent="0.25">
      <c r="A1786" t="s">
        <v>1183</v>
      </c>
      <c r="B1786" t="s">
        <v>1142</v>
      </c>
      <c r="C1786">
        <v>2</v>
      </c>
      <c r="D1786" t="s">
        <v>392</v>
      </c>
      <c r="E1786" t="s">
        <v>1254</v>
      </c>
      <c r="F1786" s="5" t="s">
        <v>24</v>
      </c>
      <c r="G1786" s="19">
        <v>75</v>
      </c>
      <c r="H1786" s="19">
        <v>85</v>
      </c>
      <c r="I1786" t="b">
        <v>1</v>
      </c>
      <c r="J1786" t="s">
        <v>847</v>
      </c>
      <c r="K1786" t="s">
        <v>32</v>
      </c>
      <c r="Q1786" t="s">
        <v>1142</v>
      </c>
      <c r="R1786" t="s">
        <v>1142</v>
      </c>
      <c r="S1786" s="109">
        <v>3</v>
      </c>
    </row>
    <row r="1787" spans="1:19" hidden="1" x14ac:dyDescent="0.25">
      <c r="A1787" t="s">
        <v>1183</v>
      </c>
      <c r="B1787" t="s">
        <v>1142</v>
      </c>
      <c r="C1787">
        <v>2</v>
      </c>
      <c r="D1787" t="s">
        <v>1194</v>
      </c>
      <c r="E1787" t="s">
        <v>1202</v>
      </c>
      <c r="F1787" s="5" t="s">
        <v>27</v>
      </c>
      <c r="G1787" s="19">
        <v>0</v>
      </c>
      <c r="H1787" s="19">
        <v>0.1</v>
      </c>
      <c r="I1787" t="b">
        <v>0</v>
      </c>
      <c r="J1787" t="s">
        <v>1203</v>
      </c>
      <c r="K1787" t="s">
        <v>32</v>
      </c>
      <c r="Q1787" t="s">
        <v>1142</v>
      </c>
      <c r="R1787" t="s">
        <v>1142</v>
      </c>
      <c r="S1787" s="109">
        <v>2</v>
      </c>
    </row>
    <row r="1788" spans="1:19" hidden="1" x14ac:dyDescent="0.25">
      <c r="A1788" t="s">
        <v>1183</v>
      </c>
      <c r="B1788" t="s">
        <v>1142</v>
      </c>
      <c r="C1788">
        <v>2</v>
      </c>
      <c r="D1788" t="s">
        <v>1188</v>
      </c>
      <c r="E1788" t="s">
        <v>1204</v>
      </c>
      <c r="F1788" s="5" t="s">
        <v>25</v>
      </c>
      <c r="G1788" s="19">
        <v>6</v>
      </c>
      <c r="H1788" s="19">
        <v>9</v>
      </c>
      <c r="I1788" t="b">
        <v>1</v>
      </c>
      <c r="J1788" t="s">
        <v>1205</v>
      </c>
      <c r="K1788" t="s">
        <v>32</v>
      </c>
      <c r="Q1788" t="s">
        <v>1142</v>
      </c>
      <c r="R1788" t="s">
        <v>1142</v>
      </c>
      <c r="S1788" s="109">
        <v>7</v>
      </c>
    </row>
    <row r="1789" spans="1:19" hidden="1" x14ac:dyDescent="0.25">
      <c r="A1789" t="s">
        <v>1183</v>
      </c>
      <c r="B1789" t="s">
        <v>1142</v>
      </c>
      <c r="C1789">
        <v>2</v>
      </c>
      <c r="D1789" t="s">
        <v>1187</v>
      </c>
      <c r="E1789" t="s">
        <v>545</v>
      </c>
      <c r="F1789" s="5" t="s">
        <v>24</v>
      </c>
      <c r="G1789" s="19">
        <v>40</v>
      </c>
      <c r="H1789" s="19">
        <v>50</v>
      </c>
      <c r="I1789" t="b">
        <v>1</v>
      </c>
      <c r="J1789" t="s">
        <v>1206</v>
      </c>
      <c r="K1789" t="s">
        <v>32</v>
      </c>
      <c r="Q1789" t="s">
        <v>1142</v>
      </c>
      <c r="R1789" t="s">
        <v>1142</v>
      </c>
      <c r="S1789" s="109">
        <v>8</v>
      </c>
    </row>
    <row r="1790" spans="1:19" hidden="1" x14ac:dyDescent="0.25">
      <c r="A1790" t="s">
        <v>1183</v>
      </c>
      <c r="B1790" t="s">
        <v>1142</v>
      </c>
      <c r="C1790">
        <v>2</v>
      </c>
      <c r="D1790" t="s">
        <v>1189</v>
      </c>
      <c r="E1790" t="s">
        <v>1207</v>
      </c>
      <c r="F1790" s="5" t="s">
        <v>25</v>
      </c>
      <c r="G1790" s="19">
        <v>3.5</v>
      </c>
      <c r="H1790" s="19">
        <v>5</v>
      </c>
      <c r="I1790" t="b">
        <v>1</v>
      </c>
      <c r="J1790" t="s">
        <v>1208</v>
      </c>
      <c r="K1790" t="s">
        <v>32</v>
      </c>
      <c r="Q1790" t="s">
        <v>1142</v>
      </c>
      <c r="R1790" t="s">
        <v>1142</v>
      </c>
      <c r="S1790" s="109">
        <v>11</v>
      </c>
    </row>
    <row r="1791" spans="1:19" hidden="1" x14ac:dyDescent="0.25">
      <c r="A1791" t="s">
        <v>1183</v>
      </c>
      <c r="B1791" t="s">
        <v>1142</v>
      </c>
      <c r="C1791">
        <v>2</v>
      </c>
      <c r="D1791" t="s">
        <v>1191</v>
      </c>
      <c r="E1791" t="s">
        <v>1143</v>
      </c>
      <c r="F1791" s="5" t="s">
        <v>25</v>
      </c>
      <c r="G1791" s="19">
        <v>0</v>
      </c>
      <c r="H1791" s="19">
        <v>1</v>
      </c>
      <c r="I1791" t="b">
        <v>1</v>
      </c>
      <c r="J1791" t="s">
        <v>1209</v>
      </c>
      <c r="K1791" t="s">
        <v>32</v>
      </c>
      <c r="Q1791" t="s">
        <v>1142</v>
      </c>
      <c r="R1791" t="s">
        <v>1142</v>
      </c>
      <c r="S1791" s="109">
        <v>12</v>
      </c>
    </row>
    <row r="1792" spans="1:19" hidden="1" x14ac:dyDescent="0.25">
      <c r="A1792" t="s">
        <v>1183</v>
      </c>
      <c r="B1792" t="s">
        <v>1142</v>
      </c>
      <c r="C1792">
        <v>2</v>
      </c>
      <c r="D1792" t="s">
        <v>1190</v>
      </c>
      <c r="E1792" t="s">
        <v>1210</v>
      </c>
      <c r="F1792" s="5" t="s">
        <v>25</v>
      </c>
      <c r="G1792" s="19">
        <v>4.5</v>
      </c>
      <c r="H1792" s="19">
        <v>6</v>
      </c>
      <c r="I1792" t="b">
        <v>1</v>
      </c>
      <c r="J1792" t="s">
        <v>1211</v>
      </c>
      <c r="K1792" t="s">
        <v>32</v>
      </c>
      <c r="Q1792" t="s">
        <v>1142</v>
      </c>
      <c r="R1792" t="s">
        <v>1142</v>
      </c>
      <c r="S1792" s="109">
        <v>9</v>
      </c>
    </row>
    <row r="1793" spans="1:19" hidden="1" x14ac:dyDescent="0.25">
      <c r="A1793" t="s">
        <v>1183</v>
      </c>
      <c r="B1793" t="s">
        <v>1142</v>
      </c>
      <c r="C1793">
        <v>2</v>
      </c>
      <c r="D1793" t="s">
        <v>1192</v>
      </c>
      <c r="E1793" t="s">
        <v>1143</v>
      </c>
      <c r="F1793" s="5" t="s">
        <v>25</v>
      </c>
      <c r="G1793" s="19">
        <v>0</v>
      </c>
      <c r="H1793" s="19">
        <v>1</v>
      </c>
      <c r="I1793" t="b">
        <v>1</v>
      </c>
      <c r="J1793" t="s">
        <v>1212</v>
      </c>
      <c r="K1793" t="s">
        <v>32</v>
      </c>
      <c r="Q1793" t="s">
        <v>1142</v>
      </c>
      <c r="R1793" t="s">
        <v>1142</v>
      </c>
      <c r="S1793" s="109">
        <v>10</v>
      </c>
    </row>
    <row r="1794" spans="1:19" hidden="1" x14ac:dyDescent="0.25">
      <c r="A1794" t="s">
        <v>1183</v>
      </c>
      <c r="B1794" t="s">
        <v>1142</v>
      </c>
      <c r="C1794">
        <v>2</v>
      </c>
      <c r="D1794" t="s">
        <v>1213</v>
      </c>
      <c r="E1794" t="s">
        <v>535</v>
      </c>
      <c r="F1794" s="5" t="s">
        <v>24</v>
      </c>
      <c r="G1794" s="19">
        <v>45</v>
      </c>
      <c r="H1794" s="19">
        <v>55</v>
      </c>
      <c r="I1794" t="b">
        <v>1</v>
      </c>
      <c r="J1794" t="s">
        <v>1214</v>
      </c>
      <c r="K1794" t="s">
        <v>32</v>
      </c>
      <c r="Q1794" t="s">
        <v>1142</v>
      </c>
      <c r="R1794" t="s">
        <v>1142</v>
      </c>
      <c r="S1794" s="109">
        <v>15</v>
      </c>
    </row>
    <row r="1795" spans="1:19" hidden="1" x14ac:dyDescent="0.25">
      <c r="A1795" t="s">
        <v>1183</v>
      </c>
      <c r="B1795" t="s">
        <v>1142</v>
      </c>
      <c r="C1795">
        <v>2</v>
      </c>
      <c r="D1795" t="s">
        <v>1215</v>
      </c>
      <c r="E1795" t="s">
        <v>1195</v>
      </c>
      <c r="F1795" s="5" t="s">
        <v>25</v>
      </c>
      <c r="G1795" s="19">
        <v>1</v>
      </c>
      <c r="H1795" s="19">
        <v>2</v>
      </c>
      <c r="I1795" t="b">
        <v>1</v>
      </c>
      <c r="J1795" t="s">
        <v>1216</v>
      </c>
      <c r="K1795" t="s">
        <v>32</v>
      </c>
      <c r="Q1795" t="s">
        <v>1142</v>
      </c>
      <c r="R1795" t="s">
        <v>1142</v>
      </c>
      <c r="S1795" s="109">
        <v>14</v>
      </c>
    </row>
    <row r="1796" spans="1:19" hidden="1" x14ac:dyDescent="0.25">
      <c r="A1796" t="s">
        <v>1183</v>
      </c>
      <c r="B1796" t="s">
        <v>1142</v>
      </c>
      <c r="C1796">
        <v>3</v>
      </c>
      <c r="D1796" t="s">
        <v>1184</v>
      </c>
      <c r="E1796" t="s">
        <v>1200</v>
      </c>
      <c r="F1796" s="5" t="s">
        <v>25</v>
      </c>
      <c r="G1796" s="19">
        <v>5</v>
      </c>
      <c r="H1796" s="19">
        <v>8</v>
      </c>
      <c r="I1796" t="b">
        <v>1</v>
      </c>
      <c r="J1796" t="s">
        <v>1186</v>
      </c>
      <c r="K1796" t="s">
        <v>32</v>
      </c>
      <c r="Q1796" t="s">
        <v>1142</v>
      </c>
      <c r="R1796" t="s">
        <v>1142</v>
      </c>
      <c r="S1796" s="6">
        <v>1</v>
      </c>
    </row>
    <row r="1797" spans="1:19" hidden="1" x14ac:dyDescent="0.25">
      <c r="A1797" t="s">
        <v>1183</v>
      </c>
      <c r="B1797" t="s">
        <v>1142</v>
      </c>
      <c r="C1797">
        <v>3</v>
      </c>
      <c r="D1797" t="s">
        <v>885</v>
      </c>
      <c r="E1797" t="s">
        <v>1196</v>
      </c>
      <c r="F1797" s="5" t="s">
        <v>25</v>
      </c>
      <c r="G1797" s="19">
        <v>2</v>
      </c>
      <c r="H1797" s="19">
        <v>5</v>
      </c>
      <c r="I1797" t="b">
        <v>1</v>
      </c>
      <c r="J1797" t="s">
        <v>1201</v>
      </c>
      <c r="K1797" t="s">
        <v>32</v>
      </c>
      <c r="Q1797" t="s">
        <v>1142</v>
      </c>
      <c r="R1797" t="s">
        <v>1142</v>
      </c>
      <c r="S1797" s="109">
        <v>4</v>
      </c>
    </row>
    <row r="1798" spans="1:19" hidden="1" x14ac:dyDescent="0.25">
      <c r="A1798" t="s">
        <v>1183</v>
      </c>
      <c r="B1798" t="s">
        <v>1142</v>
      </c>
      <c r="C1798">
        <v>3</v>
      </c>
      <c r="D1798" t="s">
        <v>392</v>
      </c>
      <c r="E1798" t="s">
        <v>1255</v>
      </c>
      <c r="F1798" s="5" t="s">
        <v>24</v>
      </c>
      <c r="G1798" s="19">
        <v>65</v>
      </c>
      <c r="H1798" s="19">
        <v>75</v>
      </c>
      <c r="I1798" t="b">
        <v>1</v>
      </c>
      <c r="J1798" t="s">
        <v>847</v>
      </c>
      <c r="K1798" t="s">
        <v>32</v>
      </c>
      <c r="Q1798" t="s">
        <v>1142</v>
      </c>
      <c r="R1798" t="s">
        <v>1142</v>
      </c>
      <c r="S1798" s="109">
        <v>3</v>
      </c>
    </row>
    <row r="1799" spans="1:19" hidden="1" x14ac:dyDescent="0.25">
      <c r="A1799" t="s">
        <v>1183</v>
      </c>
      <c r="B1799" t="s">
        <v>1142</v>
      </c>
      <c r="C1799">
        <v>3</v>
      </c>
      <c r="D1799" t="s">
        <v>1194</v>
      </c>
      <c r="E1799" t="s">
        <v>1256</v>
      </c>
      <c r="F1799" s="5" t="s">
        <v>26</v>
      </c>
      <c r="G1799" s="19">
        <v>1</v>
      </c>
      <c r="H1799" s="19">
        <v>5</v>
      </c>
      <c r="I1799" t="b">
        <v>0</v>
      </c>
      <c r="J1799" t="s">
        <v>1203</v>
      </c>
      <c r="K1799" t="s">
        <v>32</v>
      </c>
      <c r="Q1799" t="s">
        <v>1142</v>
      </c>
      <c r="R1799" t="s">
        <v>1142</v>
      </c>
      <c r="S1799" s="109">
        <v>2</v>
      </c>
    </row>
    <row r="1800" spans="1:19" hidden="1" x14ac:dyDescent="0.25">
      <c r="A1800" t="s">
        <v>1183</v>
      </c>
      <c r="B1800" t="s">
        <v>1142</v>
      </c>
      <c r="C1800">
        <v>3</v>
      </c>
      <c r="D1800" t="s">
        <v>1188</v>
      </c>
      <c r="E1800" t="s">
        <v>1159</v>
      </c>
      <c r="F1800" s="5" t="s">
        <v>25</v>
      </c>
      <c r="G1800" s="19">
        <v>3</v>
      </c>
      <c r="H1800" s="19">
        <v>6</v>
      </c>
      <c r="I1800" t="b">
        <v>1</v>
      </c>
      <c r="J1800" t="s">
        <v>1205</v>
      </c>
      <c r="K1800" t="s">
        <v>32</v>
      </c>
      <c r="Q1800" t="s">
        <v>1142</v>
      </c>
      <c r="R1800" t="s">
        <v>1142</v>
      </c>
      <c r="S1800" s="109">
        <v>7</v>
      </c>
    </row>
    <row r="1801" spans="1:19" hidden="1" x14ac:dyDescent="0.25">
      <c r="A1801" t="s">
        <v>1183</v>
      </c>
      <c r="B1801" t="s">
        <v>1142</v>
      </c>
      <c r="C1801">
        <v>3</v>
      </c>
      <c r="D1801" t="s">
        <v>1187</v>
      </c>
      <c r="E1801" t="s">
        <v>551</v>
      </c>
      <c r="F1801" s="5" t="s">
        <v>24</v>
      </c>
      <c r="G1801" s="19">
        <v>30</v>
      </c>
      <c r="H1801" s="19">
        <v>40</v>
      </c>
      <c r="I1801" t="b">
        <v>1</v>
      </c>
      <c r="J1801" t="s">
        <v>1206</v>
      </c>
      <c r="K1801" t="s">
        <v>32</v>
      </c>
      <c r="Q1801" t="s">
        <v>1142</v>
      </c>
      <c r="R1801" t="s">
        <v>1142</v>
      </c>
      <c r="S1801" s="109">
        <v>8</v>
      </c>
    </row>
    <row r="1802" spans="1:19" hidden="1" x14ac:dyDescent="0.25">
      <c r="A1802" t="s">
        <v>1183</v>
      </c>
      <c r="B1802" t="s">
        <v>1142</v>
      </c>
      <c r="C1802">
        <v>3</v>
      </c>
      <c r="D1802" t="s">
        <v>1189</v>
      </c>
      <c r="E1802" t="s">
        <v>1227</v>
      </c>
      <c r="F1802" s="5" t="s">
        <v>25</v>
      </c>
      <c r="G1802" s="19">
        <v>2</v>
      </c>
      <c r="H1802" s="19">
        <v>3.5</v>
      </c>
      <c r="I1802" t="b">
        <v>1</v>
      </c>
      <c r="J1802" t="s">
        <v>1208</v>
      </c>
      <c r="K1802" t="s">
        <v>32</v>
      </c>
      <c r="Q1802" t="s">
        <v>1142</v>
      </c>
      <c r="R1802" t="s">
        <v>1142</v>
      </c>
      <c r="S1802" s="109">
        <v>11</v>
      </c>
    </row>
    <row r="1803" spans="1:19" hidden="1" x14ac:dyDescent="0.25">
      <c r="A1803" t="s">
        <v>1183</v>
      </c>
      <c r="B1803" t="s">
        <v>1142</v>
      </c>
      <c r="C1803">
        <v>3</v>
      </c>
      <c r="D1803" t="s">
        <v>1191</v>
      </c>
      <c r="E1803" t="s">
        <v>1143</v>
      </c>
      <c r="F1803" s="5" t="s">
        <v>25</v>
      </c>
      <c r="G1803" s="19">
        <v>0</v>
      </c>
      <c r="H1803" s="19">
        <v>1</v>
      </c>
      <c r="I1803" t="b">
        <v>1</v>
      </c>
      <c r="J1803" t="s">
        <v>1209</v>
      </c>
      <c r="K1803" t="s">
        <v>32</v>
      </c>
      <c r="Q1803" t="s">
        <v>1142</v>
      </c>
      <c r="R1803" t="s">
        <v>1142</v>
      </c>
      <c r="S1803" s="109">
        <v>12</v>
      </c>
    </row>
    <row r="1804" spans="1:19" hidden="1" x14ac:dyDescent="0.25">
      <c r="A1804" t="s">
        <v>1183</v>
      </c>
      <c r="B1804" t="s">
        <v>1142</v>
      </c>
      <c r="C1804">
        <v>3</v>
      </c>
      <c r="D1804" t="s">
        <v>1190</v>
      </c>
      <c r="E1804" t="s">
        <v>1228</v>
      </c>
      <c r="F1804" s="5" t="s">
        <v>25</v>
      </c>
      <c r="G1804" s="19">
        <v>2.5</v>
      </c>
      <c r="H1804" s="19">
        <v>4.5</v>
      </c>
      <c r="I1804" t="b">
        <v>1</v>
      </c>
      <c r="J1804" t="s">
        <v>1211</v>
      </c>
      <c r="K1804" t="s">
        <v>32</v>
      </c>
      <c r="Q1804" t="s">
        <v>1142</v>
      </c>
      <c r="R1804" t="s">
        <v>1142</v>
      </c>
      <c r="S1804" s="109">
        <v>9</v>
      </c>
    </row>
    <row r="1805" spans="1:19" hidden="1" x14ac:dyDescent="0.25">
      <c r="A1805" t="s">
        <v>1183</v>
      </c>
      <c r="B1805" t="s">
        <v>1142</v>
      </c>
      <c r="C1805">
        <v>3</v>
      </c>
      <c r="D1805" t="s">
        <v>1192</v>
      </c>
      <c r="E1805" t="s">
        <v>1143</v>
      </c>
      <c r="F1805" s="5" t="s">
        <v>25</v>
      </c>
      <c r="G1805" s="19">
        <v>0</v>
      </c>
      <c r="H1805" s="19">
        <v>1</v>
      </c>
      <c r="I1805" t="b">
        <v>1</v>
      </c>
      <c r="J1805" t="s">
        <v>1212</v>
      </c>
      <c r="K1805" t="s">
        <v>32</v>
      </c>
      <c r="Q1805" t="s">
        <v>1142</v>
      </c>
      <c r="R1805" t="s">
        <v>1142</v>
      </c>
      <c r="S1805" s="109">
        <v>10</v>
      </c>
    </row>
    <row r="1806" spans="1:19" hidden="1" x14ac:dyDescent="0.25">
      <c r="A1806" t="s">
        <v>1183</v>
      </c>
      <c r="B1806" t="s">
        <v>1142</v>
      </c>
      <c r="C1806">
        <v>3</v>
      </c>
      <c r="D1806" t="s">
        <v>1213</v>
      </c>
      <c r="E1806" t="s">
        <v>541</v>
      </c>
      <c r="F1806" s="5" t="s">
        <v>24</v>
      </c>
      <c r="G1806" s="19">
        <v>35</v>
      </c>
      <c r="H1806" s="19">
        <v>45</v>
      </c>
      <c r="I1806" t="b">
        <v>1</v>
      </c>
      <c r="J1806" t="s">
        <v>1214</v>
      </c>
      <c r="K1806" t="s">
        <v>32</v>
      </c>
      <c r="Q1806" t="s">
        <v>1142</v>
      </c>
      <c r="R1806" t="s">
        <v>1142</v>
      </c>
      <c r="S1806" s="109">
        <v>15</v>
      </c>
    </row>
    <row r="1807" spans="1:19" hidden="1" x14ac:dyDescent="0.25">
      <c r="A1807" t="s">
        <v>1183</v>
      </c>
      <c r="B1807" t="s">
        <v>1142</v>
      </c>
      <c r="C1807">
        <v>3</v>
      </c>
      <c r="D1807" t="s">
        <v>1215</v>
      </c>
      <c r="E1807" t="s">
        <v>1221</v>
      </c>
      <c r="F1807" s="5" t="s">
        <v>25</v>
      </c>
      <c r="G1807" s="19">
        <v>0.5</v>
      </c>
      <c r="H1807" s="19">
        <v>2</v>
      </c>
      <c r="I1807" t="b">
        <v>1</v>
      </c>
      <c r="J1807" t="s">
        <v>1216</v>
      </c>
      <c r="K1807" t="s">
        <v>32</v>
      </c>
      <c r="Q1807" t="s">
        <v>1142</v>
      </c>
      <c r="R1807" t="s">
        <v>1142</v>
      </c>
      <c r="S1807" s="109">
        <v>14</v>
      </c>
    </row>
    <row r="1808" spans="1:19" hidden="1" x14ac:dyDescent="0.25">
      <c r="A1808" t="s">
        <v>1183</v>
      </c>
      <c r="B1808" t="s">
        <v>1142</v>
      </c>
      <c r="C1808">
        <v>4</v>
      </c>
      <c r="D1808" t="s">
        <v>1184</v>
      </c>
      <c r="E1808" t="s">
        <v>1196</v>
      </c>
      <c r="F1808" s="5" t="s">
        <v>25</v>
      </c>
      <c r="G1808" s="19">
        <v>2</v>
      </c>
      <c r="H1808" s="19">
        <v>5</v>
      </c>
      <c r="I1808" t="b">
        <v>1</v>
      </c>
      <c r="J1808" t="s">
        <v>1186</v>
      </c>
      <c r="K1808" t="s">
        <v>32</v>
      </c>
      <c r="Q1808" t="s">
        <v>1142</v>
      </c>
      <c r="R1808" t="s">
        <v>1142</v>
      </c>
      <c r="S1808" s="6">
        <v>1</v>
      </c>
    </row>
    <row r="1809" spans="1:19" hidden="1" x14ac:dyDescent="0.25">
      <c r="A1809" t="s">
        <v>1183</v>
      </c>
      <c r="B1809" t="s">
        <v>1142</v>
      </c>
      <c r="C1809">
        <v>4</v>
      </c>
      <c r="D1809" t="s">
        <v>885</v>
      </c>
      <c r="E1809" t="s">
        <v>1221</v>
      </c>
      <c r="F1809" s="5" t="s">
        <v>25</v>
      </c>
      <c r="G1809" s="19">
        <v>0.5</v>
      </c>
      <c r="H1809" s="19">
        <v>2</v>
      </c>
      <c r="I1809" t="b">
        <v>1</v>
      </c>
      <c r="J1809" t="s">
        <v>1201</v>
      </c>
      <c r="K1809" t="s">
        <v>32</v>
      </c>
      <c r="Q1809" t="s">
        <v>1142</v>
      </c>
      <c r="R1809" t="s">
        <v>1142</v>
      </c>
      <c r="S1809" s="109">
        <v>4</v>
      </c>
    </row>
    <row r="1810" spans="1:19" hidden="1" x14ac:dyDescent="0.25">
      <c r="A1810" t="s">
        <v>1183</v>
      </c>
      <c r="B1810" t="s">
        <v>1142</v>
      </c>
      <c r="C1810">
        <v>4</v>
      </c>
      <c r="D1810" t="s">
        <v>392</v>
      </c>
      <c r="E1810" t="s">
        <v>521</v>
      </c>
      <c r="F1810" s="5" t="s">
        <v>24</v>
      </c>
      <c r="G1810" s="19">
        <v>25</v>
      </c>
      <c r="H1810" s="19">
        <v>35</v>
      </c>
      <c r="I1810" t="b">
        <v>1</v>
      </c>
      <c r="J1810" t="s">
        <v>847</v>
      </c>
      <c r="K1810" t="s">
        <v>32</v>
      </c>
      <c r="Q1810" t="s">
        <v>1142</v>
      </c>
      <c r="R1810" t="s">
        <v>1142</v>
      </c>
      <c r="S1810" s="109">
        <v>3</v>
      </c>
    </row>
    <row r="1811" spans="1:19" hidden="1" x14ac:dyDescent="0.25">
      <c r="A1811" t="s">
        <v>1183</v>
      </c>
      <c r="B1811" t="s">
        <v>1142</v>
      </c>
      <c r="C1811">
        <v>4</v>
      </c>
      <c r="D1811" t="s">
        <v>1188</v>
      </c>
      <c r="E1811" t="s">
        <v>1145</v>
      </c>
      <c r="F1811" s="5" t="s">
        <v>25</v>
      </c>
      <c r="G1811" s="19">
        <v>0</v>
      </c>
      <c r="H1811" s="19">
        <v>3</v>
      </c>
      <c r="I1811" t="b">
        <v>1</v>
      </c>
      <c r="J1811" t="s">
        <v>1205</v>
      </c>
      <c r="K1811" t="s">
        <v>32</v>
      </c>
      <c r="Q1811" t="s">
        <v>1142</v>
      </c>
      <c r="R1811" t="s">
        <v>1142</v>
      </c>
      <c r="S1811" s="109">
        <v>7</v>
      </c>
    </row>
    <row r="1812" spans="1:19" hidden="1" x14ac:dyDescent="0.25">
      <c r="A1812" t="s">
        <v>1183</v>
      </c>
      <c r="B1812" t="s">
        <v>1142</v>
      </c>
      <c r="C1812">
        <v>4</v>
      </c>
      <c r="D1812" t="s">
        <v>1189</v>
      </c>
      <c r="E1812" t="s">
        <v>1221</v>
      </c>
      <c r="F1812" s="5" t="s">
        <v>25</v>
      </c>
      <c r="G1812" s="19">
        <v>0.5</v>
      </c>
      <c r="H1812" s="19">
        <v>2</v>
      </c>
      <c r="I1812" t="b">
        <v>1</v>
      </c>
      <c r="J1812" t="s">
        <v>1208</v>
      </c>
      <c r="K1812" t="s">
        <v>32</v>
      </c>
      <c r="Q1812" t="s">
        <v>1142</v>
      </c>
      <c r="R1812" t="s">
        <v>1142</v>
      </c>
      <c r="S1812" s="109">
        <v>11</v>
      </c>
    </row>
    <row r="1813" spans="1:19" hidden="1" x14ac:dyDescent="0.25">
      <c r="A1813" t="s">
        <v>1183</v>
      </c>
      <c r="B1813" t="s">
        <v>1142</v>
      </c>
      <c r="C1813">
        <v>4</v>
      </c>
      <c r="D1813" t="s">
        <v>1190</v>
      </c>
      <c r="E1813" t="s">
        <v>1221</v>
      </c>
      <c r="F1813" s="5" t="s">
        <v>25</v>
      </c>
      <c r="G1813" s="19">
        <v>0.5</v>
      </c>
      <c r="H1813" s="19">
        <v>2</v>
      </c>
      <c r="I1813" t="b">
        <v>1</v>
      </c>
      <c r="J1813" t="s">
        <v>1211</v>
      </c>
      <c r="K1813" t="s">
        <v>32</v>
      </c>
      <c r="Q1813" t="s">
        <v>1142</v>
      </c>
      <c r="R1813" t="s">
        <v>1142</v>
      </c>
      <c r="S1813" s="109">
        <v>9</v>
      </c>
    </row>
    <row r="1814" spans="1:19" hidden="1" x14ac:dyDescent="0.25">
      <c r="A1814" t="s">
        <v>1183</v>
      </c>
      <c r="B1814" t="s">
        <v>1142</v>
      </c>
      <c r="C1814">
        <v>4</v>
      </c>
      <c r="D1814" t="s">
        <v>1194</v>
      </c>
      <c r="E1814" t="s">
        <v>1257</v>
      </c>
      <c r="F1814" s="5" t="s">
        <v>26</v>
      </c>
      <c r="G1814" s="19">
        <v>5</v>
      </c>
      <c r="H1814" s="19">
        <v>15</v>
      </c>
      <c r="I1814" t="b">
        <v>0</v>
      </c>
      <c r="J1814" t="s">
        <v>1203</v>
      </c>
      <c r="K1814" t="s">
        <v>32</v>
      </c>
      <c r="L1814" t="s">
        <v>716</v>
      </c>
      <c r="M1814" t="s">
        <v>1170</v>
      </c>
      <c r="Q1814" t="s">
        <v>1142</v>
      </c>
      <c r="R1814" t="s">
        <v>1142</v>
      </c>
      <c r="S1814" s="109">
        <v>2</v>
      </c>
    </row>
    <row r="1815" spans="1:19" hidden="1" x14ac:dyDescent="0.25">
      <c r="A1815" t="s">
        <v>1183</v>
      </c>
      <c r="B1815" t="s">
        <v>1142</v>
      </c>
      <c r="C1815">
        <v>4</v>
      </c>
      <c r="D1815" t="s">
        <v>1187</v>
      </c>
      <c r="E1815" t="s">
        <v>524</v>
      </c>
      <c r="F1815" s="5" t="s">
        <v>24</v>
      </c>
      <c r="G1815" s="19">
        <v>10</v>
      </c>
      <c r="H1815" s="19">
        <v>20</v>
      </c>
      <c r="I1815" t="b">
        <v>1</v>
      </c>
      <c r="J1815" t="s">
        <v>1206</v>
      </c>
      <c r="K1815" t="s">
        <v>32</v>
      </c>
      <c r="L1815" t="s">
        <v>716</v>
      </c>
      <c r="M1815" t="s">
        <v>1170</v>
      </c>
      <c r="Q1815" t="s">
        <v>1142</v>
      </c>
      <c r="R1815" t="s">
        <v>1142</v>
      </c>
      <c r="S1815" s="109">
        <v>8</v>
      </c>
    </row>
    <row r="1816" spans="1:19" hidden="1" x14ac:dyDescent="0.25">
      <c r="A1816" t="s">
        <v>1183</v>
      </c>
      <c r="B1816" t="s">
        <v>1142</v>
      </c>
      <c r="C1816">
        <v>4</v>
      </c>
      <c r="D1816" t="s">
        <v>1213</v>
      </c>
      <c r="E1816" t="s">
        <v>525</v>
      </c>
      <c r="F1816" s="5" t="s">
        <v>24</v>
      </c>
      <c r="G1816" s="19">
        <v>20</v>
      </c>
      <c r="H1816" s="19">
        <v>30</v>
      </c>
      <c r="I1816" t="b">
        <v>1</v>
      </c>
      <c r="J1816" t="s">
        <v>1214</v>
      </c>
      <c r="K1816" t="s">
        <v>32</v>
      </c>
      <c r="L1816" t="s">
        <v>716</v>
      </c>
      <c r="M1816" t="s">
        <v>1170</v>
      </c>
      <c r="Q1816" t="s">
        <v>1142</v>
      </c>
      <c r="R1816" t="s">
        <v>1142</v>
      </c>
      <c r="S1816" s="109">
        <v>15</v>
      </c>
    </row>
    <row r="1817" spans="1:19" hidden="1" x14ac:dyDescent="0.25">
      <c r="A1817" t="s">
        <v>1183</v>
      </c>
      <c r="B1817" t="s">
        <v>1142</v>
      </c>
      <c r="C1817">
        <v>5</v>
      </c>
      <c r="D1817" t="s">
        <v>1184</v>
      </c>
      <c r="E1817" t="s">
        <v>1143</v>
      </c>
      <c r="F1817" s="5" t="s">
        <v>25</v>
      </c>
      <c r="G1817" s="19">
        <v>0</v>
      </c>
      <c r="H1817" s="19">
        <v>1</v>
      </c>
      <c r="I1817" t="b">
        <v>1</v>
      </c>
      <c r="J1817" t="s">
        <v>1186</v>
      </c>
      <c r="K1817" t="s">
        <v>32</v>
      </c>
      <c r="Q1817" t="s">
        <v>1142</v>
      </c>
      <c r="R1817" t="s">
        <v>1142</v>
      </c>
      <c r="S1817" s="6">
        <v>1</v>
      </c>
    </row>
    <row r="1818" spans="1:19" hidden="1" x14ac:dyDescent="0.25">
      <c r="A1818" t="s">
        <v>1183</v>
      </c>
      <c r="B1818" t="s">
        <v>1142</v>
      </c>
      <c r="C1818">
        <v>5</v>
      </c>
      <c r="D1818" t="s">
        <v>392</v>
      </c>
      <c r="E1818" t="s">
        <v>529</v>
      </c>
      <c r="F1818" s="5" t="s">
        <v>24</v>
      </c>
      <c r="G1818" s="19">
        <v>15</v>
      </c>
      <c r="H1818" s="19">
        <v>25</v>
      </c>
      <c r="I1818" t="b">
        <v>1</v>
      </c>
      <c r="J1818" t="s">
        <v>847</v>
      </c>
      <c r="K1818" t="s">
        <v>32</v>
      </c>
      <c r="Q1818" t="s">
        <v>1142</v>
      </c>
      <c r="R1818" t="s">
        <v>1142</v>
      </c>
      <c r="S1818" s="109">
        <v>3</v>
      </c>
    </row>
    <row r="1819" spans="1:19" hidden="1" x14ac:dyDescent="0.25">
      <c r="A1819" t="s">
        <v>1183</v>
      </c>
      <c r="B1819" t="s">
        <v>1142</v>
      </c>
      <c r="C1819">
        <v>5</v>
      </c>
      <c r="D1819" t="s">
        <v>1194</v>
      </c>
      <c r="E1819" t="s">
        <v>1248</v>
      </c>
      <c r="F1819" s="5" t="s">
        <v>26</v>
      </c>
      <c r="G1819" s="19">
        <v>15</v>
      </c>
      <c r="H1819" s="19">
        <v>25</v>
      </c>
      <c r="I1819" t="b">
        <v>0</v>
      </c>
      <c r="J1819" t="s">
        <v>1203</v>
      </c>
      <c r="K1819" t="s">
        <v>32</v>
      </c>
      <c r="Q1819" t="s">
        <v>1142</v>
      </c>
      <c r="R1819" t="s">
        <v>1142</v>
      </c>
      <c r="S1819" s="109">
        <v>2</v>
      </c>
    </row>
    <row r="1820" spans="1:19" hidden="1" x14ac:dyDescent="0.25">
      <c r="A1820" t="s">
        <v>1183</v>
      </c>
      <c r="B1820" t="s">
        <v>1147</v>
      </c>
      <c r="C1820">
        <v>2</v>
      </c>
      <c r="D1820" t="s">
        <v>1184</v>
      </c>
      <c r="E1820" t="s">
        <v>1199</v>
      </c>
      <c r="F1820" s="5" t="s">
        <v>25</v>
      </c>
      <c r="G1820" s="19">
        <v>11</v>
      </c>
      <c r="H1820" s="19">
        <v>14</v>
      </c>
      <c r="I1820" t="b">
        <v>1</v>
      </c>
      <c r="J1820" t="s">
        <v>1186</v>
      </c>
      <c r="K1820" t="s">
        <v>32</v>
      </c>
      <c r="Q1820" t="s">
        <v>1147</v>
      </c>
      <c r="R1820" t="s">
        <v>1147</v>
      </c>
      <c r="S1820" s="6">
        <v>1</v>
      </c>
    </row>
    <row r="1821" spans="1:19" hidden="1" x14ac:dyDescent="0.25">
      <c r="A1821" t="s">
        <v>1183</v>
      </c>
      <c r="B1821" t="s">
        <v>1147</v>
      </c>
      <c r="C1821">
        <v>2</v>
      </c>
      <c r="D1821" t="s">
        <v>885</v>
      </c>
      <c r="E1821" t="s">
        <v>1200</v>
      </c>
      <c r="F1821" s="5" t="s">
        <v>25</v>
      </c>
      <c r="G1821" s="19">
        <v>5</v>
      </c>
      <c r="H1821" s="19">
        <v>8</v>
      </c>
      <c r="I1821" t="b">
        <v>1</v>
      </c>
      <c r="J1821" t="s">
        <v>1201</v>
      </c>
      <c r="K1821" t="s">
        <v>32</v>
      </c>
      <c r="Q1821" t="s">
        <v>1147</v>
      </c>
      <c r="R1821" t="s">
        <v>1147</v>
      </c>
      <c r="S1821" s="109">
        <v>4</v>
      </c>
    </row>
    <row r="1822" spans="1:19" hidden="1" x14ac:dyDescent="0.25">
      <c r="A1822" t="s">
        <v>1183</v>
      </c>
      <c r="B1822" t="s">
        <v>1147</v>
      </c>
      <c r="C1822">
        <v>2</v>
      </c>
      <c r="D1822" t="s">
        <v>392</v>
      </c>
      <c r="E1822" t="s">
        <v>1254</v>
      </c>
      <c r="F1822" s="5" t="s">
        <v>24</v>
      </c>
      <c r="G1822" s="19">
        <v>75</v>
      </c>
      <c r="H1822" s="19">
        <v>85</v>
      </c>
      <c r="I1822" t="b">
        <v>1</v>
      </c>
      <c r="J1822" t="s">
        <v>847</v>
      </c>
      <c r="K1822" t="s">
        <v>32</v>
      </c>
      <c r="Q1822" t="s">
        <v>1147</v>
      </c>
      <c r="R1822" t="s">
        <v>1147</v>
      </c>
      <c r="S1822" s="109">
        <v>3</v>
      </c>
    </row>
    <row r="1823" spans="1:19" hidden="1" x14ac:dyDescent="0.25">
      <c r="A1823" t="s">
        <v>1183</v>
      </c>
      <c r="B1823" t="s">
        <v>1147</v>
      </c>
      <c r="C1823">
        <v>2</v>
      </c>
      <c r="D1823" t="s">
        <v>1194</v>
      </c>
      <c r="E1823" t="s">
        <v>1202</v>
      </c>
      <c r="F1823" s="5" t="s">
        <v>27</v>
      </c>
      <c r="G1823" s="19">
        <v>0</v>
      </c>
      <c r="H1823" s="19">
        <v>0.1</v>
      </c>
      <c r="I1823" t="b">
        <v>0</v>
      </c>
      <c r="J1823" t="s">
        <v>1203</v>
      </c>
      <c r="K1823" t="s">
        <v>32</v>
      </c>
      <c r="Q1823" t="s">
        <v>1147</v>
      </c>
      <c r="R1823" t="s">
        <v>1147</v>
      </c>
      <c r="S1823" s="109">
        <v>2</v>
      </c>
    </row>
    <row r="1824" spans="1:19" hidden="1" x14ac:dyDescent="0.25">
      <c r="A1824" t="s">
        <v>1183</v>
      </c>
      <c r="B1824" t="s">
        <v>1147</v>
      </c>
      <c r="C1824">
        <v>2</v>
      </c>
      <c r="D1824" t="s">
        <v>1188</v>
      </c>
      <c r="E1824" t="s">
        <v>1204</v>
      </c>
      <c r="F1824" s="5" t="s">
        <v>25</v>
      </c>
      <c r="G1824" s="19">
        <v>6</v>
      </c>
      <c r="H1824" s="19">
        <v>9</v>
      </c>
      <c r="I1824" t="b">
        <v>1</v>
      </c>
      <c r="J1824" t="s">
        <v>1205</v>
      </c>
      <c r="K1824" t="s">
        <v>32</v>
      </c>
      <c r="Q1824" t="s">
        <v>1147</v>
      </c>
      <c r="R1824" t="s">
        <v>1147</v>
      </c>
      <c r="S1824" s="109">
        <v>7</v>
      </c>
    </row>
    <row r="1825" spans="1:19" hidden="1" x14ac:dyDescent="0.25">
      <c r="A1825" t="s">
        <v>1183</v>
      </c>
      <c r="B1825" t="s">
        <v>1147</v>
      </c>
      <c r="C1825">
        <v>2</v>
      </c>
      <c r="D1825" t="s">
        <v>1187</v>
      </c>
      <c r="E1825" t="s">
        <v>545</v>
      </c>
      <c r="F1825" s="5" t="s">
        <v>24</v>
      </c>
      <c r="G1825" s="19">
        <v>40</v>
      </c>
      <c r="H1825" s="19">
        <v>50</v>
      </c>
      <c r="I1825" t="b">
        <v>1</v>
      </c>
      <c r="J1825" t="s">
        <v>1206</v>
      </c>
      <c r="K1825" t="s">
        <v>32</v>
      </c>
      <c r="Q1825" t="s">
        <v>1147</v>
      </c>
      <c r="R1825" t="s">
        <v>1147</v>
      </c>
      <c r="S1825" s="109">
        <v>8</v>
      </c>
    </row>
    <row r="1826" spans="1:19" hidden="1" x14ac:dyDescent="0.25">
      <c r="A1826" t="s">
        <v>1183</v>
      </c>
      <c r="B1826" t="s">
        <v>1147</v>
      </c>
      <c r="C1826">
        <v>2</v>
      </c>
      <c r="D1826" t="s">
        <v>1189</v>
      </c>
      <c r="E1826" t="s">
        <v>1207</v>
      </c>
      <c r="F1826" s="5" t="s">
        <v>25</v>
      </c>
      <c r="G1826" s="19">
        <v>3.5</v>
      </c>
      <c r="H1826" s="19">
        <v>5</v>
      </c>
      <c r="I1826" t="b">
        <v>1</v>
      </c>
      <c r="J1826" t="s">
        <v>1208</v>
      </c>
      <c r="K1826" t="s">
        <v>32</v>
      </c>
      <c r="Q1826" t="s">
        <v>1147</v>
      </c>
      <c r="R1826" t="s">
        <v>1147</v>
      </c>
      <c r="S1826" s="109">
        <v>11</v>
      </c>
    </row>
    <row r="1827" spans="1:19" hidden="1" x14ac:dyDescent="0.25">
      <c r="A1827" t="s">
        <v>1183</v>
      </c>
      <c r="B1827" t="s">
        <v>1147</v>
      </c>
      <c r="C1827">
        <v>2</v>
      </c>
      <c r="D1827" t="s">
        <v>1191</v>
      </c>
      <c r="E1827" t="s">
        <v>1143</v>
      </c>
      <c r="F1827" s="5" t="s">
        <v>25</v>
      </c>
      <c r="G1827" s="19">
        <v>0</v>
      </c>
      <c r="H1827" s="19">
        <v>1</v>
      </c>
      <c r="I1827" t="b">
        <v>1</v>
      </c>
      <c r="J1827" t="s">
        <v>1209</v>
      </c>
      <c r="K1827" t="s">
        <v>32</v>
      </c>
      <c r="Q1827" t="s">
        <v>1147</v>
      </c>
      <c r="R1827" t="s">
        <v>1147</v>
      </c>
      <c r="S1827" s="109">
        <v>12</v>
      </c>
    </row>
    <row r="1828" spans="1:19" hidden="1" x14ac:dyDescent="0.25">
      <c r="A1828" t="s">
        <v>1183</v>
      </c>
      <c r="B1828" t="s">
        <v>1147</v>
      </c>
      <c r="C1828">
        <v>2</v>
      </c>
      <c r="D1828" t="s">
        <v>1190</v>
      </c>
      <c r="E1828" t="s">
        <v>1210</v>
      </c>
      <c r="F1828" s="5" t="s">
        <v>25</v>
      </c>
      <c r="G1828" s="19">
        <v>4.5</v>
      </c>
      <c r="H1828" s="19">
        <v>6</v>
      </c>
      <c r="I1828" t="b">
        <v>1</v>
      </c>
      <c r="J1828" t="s">
        <v>1211</v>
      </c>
      <c r="K1828" t="s">
        <v>32</v>
      </c>
      <c r="Q1828" t="s">
        <v>1147</v>
      </c>
      <c r="R1828" t="s">
        <v>1147</v>
      </c>
      <c r="S1828" s="109">
        <v>9</v>
      </c>
    </row>
    <row r="1829" spans="1:19" hidden="1" x14ac:dyDescent="0.25">
      <c r="A1829" t="s">
        <v>1183</v>
      </c>
      <c r="B1829" t="s">
        <v>1147</v>
      </c>
      <c r="C1829">
        <v>2</v>
      </c>
      <c r="D1829" t="s">
        <v>1192</v>
      </c>
      <c r="E1829" t="s">
        <v>1143</v>
      </c>
      <c r="F1829" s="5" t="s">
        <v>25</v>
      </c>
      <c r="G1829" s="19">
        <v>0</v>
      </c>
      <c r="H1829" s="19">
        <v>1</v>
      </c>
      <c r="I1829" t="b">
        <v>1</v>
      </c>
      <c r="J1829" t="s">
        <v>1212</v>
      </c>
      <c r="K1829" t="s">
        <v>32</v>
      </c>
      <c r="Q1829" t="s">
        <v>1147</v>
      </c>
      <c r="R1829" t="s">
        <v>1147</v>
      </c>
      <c r="S1829" s="109">
        <v>10</v>
      </c>
    </row>
    <row r="1830" spans="1:19" hidden="1" x14ac:dyDescent="0.25">
      <c r="A1830" t="s">
        <v>1183</v>
      </c>
      <c r="B1830" t="s">
        <v>1147</v>
      </c>
      <c r="C1830">
        <v>2</v>
      </c>
      <c r="D1830" t="s">
        <v>1213</v>
      </c>
      <c r="E1830" t="s">
        <v>535</v>
      </c>
      <c r="F1830" s="5" t="s">
        <v>24</v>
      </c>
      <c r="G1830" s="19">
        <v>45</v>
      </c>
      <c r="H1830" s="19">
        <v>55</v>
      </c>
      <c r="I1830" t="b">
        <v>1</v>
      </c>
      <c r="J1830" t="s">
        <v>1214</v>
      </c>
      <c r="K1830" t="s">
        <v>32</v>
      </c>
      <c r="Q1830" t="s">
        <v>1147</v>
      </c>
      <c r="R1830" t="s">
        <v>1147</v>
      </c>
      <c r="S1830" s="109">
        <v>15</v>
      </c>
    </row>
    <row r="1831" spans="1:19" hidden="1" x14ac:dyDescent="0.25">
      <c r="A1831" t="s">
        <v>1183</v>
      </c>
      <c r="B1831" t="s">
        <v>1147</v>
      </c>
      <c r="C1831">
        <v>2</v>
      </c>
      <c r="D1831" t="s">
        <v>1215</v>
      </c>
      <c r="E1831" t="s">
        <v>1195</v>
      </c>
      <c r="F1831" s="5" t="s">
        <v>25</v>
      </c>
      <c r="G1831" s="19">
        <v>1</v>
      </c>
      <c r="H1831" s="19">
        <v>2</v>
      </c>
      <c r="I1831" t="b">
        <v>1</v>
      </c>
      <c r="J1831" t="s">
        <v>1216</v>
      </c>
      <c r="K1831" t="s">
        <v>32</v>
      </c>
      <c r="Q1831" t="s">
        <v>1147</v>
      </c>
      <c r="R1831" t="s">
        <v>1147</v>
      </c>
      <c r="S1831" s="109">
        <v>14</v>
      </c>
    </row>
    <row r="1832" spans="1:19" hidden="1" x14ac:dyDescent="0.25">
      <c r="A1832" t="s">
        <v>1183</v>
      </c>
      <c r="B1832" t="s">
        <v>1147</v>
      </c>
      <c r="C1832">
        <v>3</v>
      </c>
      <c r="D1832" t="s">
        <v>1184</v>
      </c>
      <c r="E1832" t="s">
        <v>1200</v>
      </c>
      <c r="F1832" s="5" t="s">
        <v>25</v>
      </c>
      <c r="G1832" s="19">
        <v>5</v>
      </c>
      <c r="H1832" s="19">
        <v>8</v>
      </c>
      <c r="I1832" t="b">
        <v>1</v>
      </c>
      <c r="J1832" t="s">
        <v>1186</v>
      </c>
      <c r="K1832" t="s">
        <v>32</v>
      </c>
      <c r="Q1832" t="s">
        <v>1147</v>
      </c>
      <c r="R1832" t="s">
        <v>1147</v>
      </c>
      <c r="S1832" s="6">
        <v>1</v>
      </c>
    </row>
    <row r="1833" spans="1:19" hidden="1" x14ac:dyDescent="0.25">
      <c r="A1833" t="s">
        <v>1183</v>
      </c>
      <c r="B1833" t="s">
        <v>1147</v>
      </c>
      <c r="C1833">
        <v>3</v>
      </c>
      <c r="D1833" t="s">
        <v>885</v>
      </c>
      <c r="E1833" t="s">
        <v>1196</v>
      </c>
      <c r="F1833" s="5" t="s">
        <v>25</v>
      </c>
      <c r="G1833" s="19">
        <v>2</v>
      </c>
      <c r="H1833" s="19">
        <v>5</v>
      </c>
      <c r="I1833" t="b">
        <v>1</v>
      </c>
      <c r="J1833" t="s">
        <v>1201</v>
      </c>
      <c r="K1833" t="s">
        <v>32</v>
      </c>
      <c r="Q1833" t="s">
        <v>1147</v>
      </c>
      <c r="R1833" t="s">
        <v>1147</v>
      </c>
      <c r="S1833" s="109">
        <v>4</v>
      </c>
    </row>
    <row r="1834" spans="1:19" hidden="1" x14ac:dyDescent="0.25">
      <c r="A1834" t="s">
        <v>1183</v>
      </c>
      <c r="B1834" t="s">
        <v>1147</v>
      </c>
      <c r="C1834">
        <v>3</v>
      </c>
      <c r="D1834" t="s">
        <v>392</v>
      </c>
      <c r="E1834" t="s">
        <v>1255</v>
      </c>
      <c r="F1834" s="5" t="s">
        <v>24</v>
      </c>
      <c r="G1834" s="19">
        <v>65</v>
      </c>
      <c r="H1834" s="19">
        <v>75</v>
      </c>
      <c r="I1834" t="b">
        <v>1</v>
      </c>
      <c r="J1834" t="s">
        <v>847</v>
      </c>
      <c r="K1834" t="s">
        <v>32</v>
      </c>
      <c r="Q1834" t="s">
        <v>1147</v>
      </c>
      <c r="R1834" t="s">
        <v>1147</v>
      </c>
      <c r="S1834" s="109">
        <v>3</v>
      </c>
    </row>
    <row r="1835" spans="1:19" hidden="1" x14ac:dyDescent="0.25">
      <c r="A1835" t="s">
        <v>1183</v>
      </c>
      <c r="B1835" t="s">
        <v>1147</v>
      </c>
      <c r="C1835">
        <v>3</v>
      </c>
      <c r="D1835" t="s">
        <v>1194</v>
      </c>
      <c r="E1835" t="s">
        <v>1256</v>
      </c>
      <c r="F1835" s="5" t="s">
        <v>26</v>
      </c>
      <c r="G1835" s="19">
        <v>1</v>
      </c>
      <c r="H1835" s="19">
        <v>5</v>
      </c>
      <c r="I1835" t="b">
        <v>0</v>
      </c>
      <c r="J1835" t="s">
        <v>1203</v>
      </c>
      <c r="K1835" t="s">
        <v>32</v>
      </c>
      <c r="Q1835" t="s">
        <v>1147</v>
      </c>
      <c r="R1835" t="s">
        <v>1147</v>
      </c>
      <c r="S1835" s="109">
        <v>2</v>
      </c>
    </row>
    <row r="1836" spans="1:19" hidden="1" x14ac:dyDescent="0.25">
      <c r="A1836" t="s">
        <v>1183</v>
      </c>
      <c r="B1836" t="s">
        <v>1147</v>
      </c>
      <c r="C1836">
        <v>3</v>
      </c>
      <c r="D1836" t="s">
        <v>1188</v>
      </c>
      <c r="E1836" t="s">
        <v>1159</v>
      </c>
      <c r="F1836" s="5" t="s">
        <v>25</v>
      </c>
      <c r="G1836" s="19">
        <v>3</v>
      </c>
      <c r="H1836" s="19">
        <v>6</v>
      </c>
      <c r="I1836" t="b">
        <v>1</v>
      </c>
      <c r="J1836" t="s">
        <v>1205</v>
      </c>
      <c r="K1836" t="s">
        <v>32</v>
      </c>
      <c r="Q1836" t="s">
        <v>1147</v>
      </c>
      <c r="R1836" t="s">
        <v>1147</v>
      </c>
      <c r="S1836" s="109">
        <v>7</v>
      </c>
    </row>
    <row r="1837" spans="1:19" hidden="1" x14ac:dyDescent="0.25">
      <c r="A1837" t="s">
        <v>1183</v>
      </c>
      <c r="B1837" t="s">
        <v>1147</v>
      </c>
      <c r="C1837">
        <v>3</v>
      </c>
      <c r="D1837" t="s">
        <v>1187</v>
      </c>
      <c r="E1837" t="s">
        <v>551</v>
      </c>
      <c r="F1837" s="5" t="s">
        <v>24</v>
      </c>
      <c r="G1837" s="19">
        <v>30</v>
      </c>
      <c r="H1837" s="19">
        <v>40</v>
      </c>
      <c r="I1837" t="b">
        <v>1</v>
      </c>
      <c r="J1837" t="s">
        <v>1206</v>
      </c>
      <c r="K1837" t="s">
        <v>32</v>
      </c>
      <c r="Q1837" t="s">
        <v>1147</v>
      </c>
      <c r="R1837" t="s">
        <v>1147</v>
      </c>
      <c r="S1837" s="109">
        <v>8</v>
      </c>
    </row>
    <row r="1838" spans="1:19" hidden="1" x14ac:dyDescent="0.25">
      <c r="A1838" t="s">
        <v>1183</v>
      </c>
      <c r="B1838" t="s">
        <v>1147</v>
      </c>
      <c r="C1838">
        <v>3</v>
      </c>
      <c r="D1838" t="s">
        <v>1189</v>
      </c>
      <c r="E1838" t="s">
        <v>1227</v>
      </c>
      <c r="F1838" s="5" t="s">
        <v>25</v>
      </c>
      <c r="G1838" s="19">
        <v>2</v>
      </c>
      <c r="H1838" s="19">
        <v>3.5</v>
      </c>
      <c r="I1838" t="b">
        <v>1</v>
      </c>
      <c r="J1838" t="s">
        <v>1208</v>
      </c>
      <c r="K1838" t="s">
        <v>32</v>
      </c>
      <c r="Q1838" t="s">
        <v>1147</v>
      </c>
      <c r="R1838" t="s">
        <v>1147</v>
      </c>
      <c r="S1838" s="109">
        <v>11</v>
      </c>
    </row>
    <row r="1839" spans="1:19" hidden="1" x14ac:dyDescent="0.25">
      <c r="A1839" t="s">
        <v>1183</v>
      </c>
      <c r="B1839" t="s">
        <v>1147</v>
      </c>
      <c r="C1839">
        <v>3</v>
      </c>
      <c r="D1839" t="s">
        <v>1191</v>
      </c>
      <c r="E1839" t="s">
        <v>1143</v>
      </c>
      <c r="F1839" s="5" t="s">
        <v>25</v>
      </c>
      <c r="G1839" s="19">
        <v>0</v>
      </c>
      <c r="H1839" s="19">
        <v>1</v>
      </c>
      <c r="I1839" t="b">
        <v>1</v>
      </c>
      <c r="J1839" t="s">
        <v>1209</v>
      </c>
      <c r="K1839" t="s">
        <v>32</v>
      </c>
      <c r="Q1839" t="s">
        <v>1147</v>
      </c>
      <c r="R1839" t="s">
        <v>1147</v>
      </c>
      <c r="S1839" s="109">
        <v>12</v>
      </c>
    </row>
    <row r="1840" spans="1:19" hidden="1" x14ac:dyDescent="0.25">
      <c r="A1840" t="s">
        <v>1183</v>
      </c>
      <c r="B1840" t="s">
        <v>1147</v>
      </c>
      <c r="C1840">
        <v>3</v>
      </c>
      <c r="D1840" t="s">
        <v>1190</v>
      </c>
      <c r="E1840" t="s">
        <v>1228</v>
      </c>
      <c r="F1840" s="5" t="s">
        <v>25</v>
      </c>
      <c r="G1840" s="19">
        <v>2.5</v>
      </c>
      <c r="H1840" s="19">
        <v>4.5</v>
      </c>
      <c r="I1840" t="b">
        <v>1</v>
      </c>
      <c r="J1840" t="s">
        <v>1211</v>
      </c>
      <c r="K1840" t="s">
        <v>32</v>
      </c>
      <c r="Q1840" t="s">
        <v>1147</v>
      </c>
      <c r="R1840" t="s">
        <v>1147</v>
      </c>
      <c r="S1840" s="109">
        <v>9</v>
      </c>
    </row>
    <row r="1841" spans="1:19" hidden="1" x14ac:dyDescent="0.25">
      <c r="A1841" t="s">
        <v>1183</v>
      </c>
      <c r="B1841" t="s">
        <v>1147</v>
      </c>
      <c r="C1841">
        <v>3</v>
      </c>
      <c r="D1841" t="s">
        <v>1192</v>
      </c>
      <c r="E1841" t="s">
        <v>1143</v>
      </c>
      <c r="F1841" s="5" t="s">
        <v>25</v>
      </c>
      <c r="G1841" s="19">
        <v>0</v>
      </c>
      <c r="H1841" s="19">
        <v>1</v>
      </c>
      <c r="I1841" t="b">
        <v>1</v>
      </c>
      <c r="J1841" t="s">
        <v>1212</v>
      </c>
      <c r="K1841" t="s">
        <v>32</v>
      </c>
      <c r="Q1841" t="s">
        <v>1147</v>
      </c>
      <c r="R1841" t="s">
        <v>1147</v>
      </c>
      <c r="S1841" s="109">
        <v>10</v>
      </c>
    </row>
    <row r="1842" spans="1:19" hidden="1" x14ac:dyDescent="0.25">
      <c r="A1842" t="s">
        <v>1183</v>
      </c>
      <c r="B1842" t="s">
        <v>1147</v>
      </c>
      <c r="C1842">
        <v>3</v>
      </c>
      <c r="D1842" t="s">
        <v>1213</v>
      </c>
      <c r="E1842" t="s">
        <v>541</v>
      </c>
      <c r="F1842" s="5" t="s">
        <v>24</v>
      </c>
      <c r="G1842" s="19">
        <v>35</v>
      </c>
      <c r="H1842" s="19">
        <v>45</v>
      </c>
      <c r="I1842" t="b">
        <v>1</v>
      </c>
      <c r="J1842" t="s">
        <v>1214</v>
      </c>
      <c r="K1842" t="s">
        <v>32</v>
      </c>
      <c r="Q1842" t="s">
        <v>1147</v>
      </c>
      <c r="R1842" t="s">
        <v>1147</v>
      </c>
      <c r="S1842" s="109">
        <v>15</v>
      </c>
    </row>
    <row r="1843" spans="1:19" hidden="1" x14ac:dyDescent="0.25">
      <c r="A1843" t="s">
        <v>1183</v>
      </c>
      <c r="B1843" t="s">
        <v>1147</v>
      </c>
      <c r="C1843">
        <v>3</v>
      </c>
      <c r="D1843" t="s">
        <v>1215</v>
      </c>
      <c r="E1843" t="s">
        <v>1221</v>
      </c>
      <c r="F1843" s="5" t="s">
        <v>25</v>
      </c>
      <c r="G1843" s="19">
        <v>0.5</v>
      </c>
      <c r="H1843" s="19">
        <v>2</v>
      </c>
      <c r="I1843" t="b">
        <v>1</v>
      </c>
      <c r="J1843" t="s">
        <v>1216</v>
      </c>
      <c r="K1843" t="s">
        <v>32</v>
      </c>
      <c r="Q1843" t="s">
        <v>1147</v>
      </c>
      <c r="R1843" t="s">
        <v>1147</v>
      </c>
      <c r="S1843" s="109">
        <v>14</v>
      </c>
    </row>
    <row r="1844" spans="1:19" hidden="1" x14ac:dyDescent="0.25">
      <c r="A1844" t="s">
        <v>1183</v>
      </c>
      <c r="B1844" t="s">
        <v>1147</v>
      </c>
      <c r="C1844">
        <v>4</v>
      </c>
      <c r="D1844" t="s">
        <v>1184</v>
      </c>
      <c r="E1844" t="s">
        <v>1196</v>
      </c>
      <c r="F1844" s="5" t="s">
        <v>25</v>
      </c>
      <c r="G1844" s="19">
        <v>2</v>
      </c>
      <c r="H1844" s="19">
        <v>5</v>
      </c>
      <c r="I1844" t="b">
        <v>1</v>
      </c>
      <c r="J1844" t="s">
        <v>1186</v>
      </c>
      <c r="K1844" t="s">
        <v>32</v>
      </c>
      <c r="Q1844" t="s">
        <v>1147</v>
      </c>
      <c r="R1844" t="s">
        <v>1147</v>
      </c>
      <c r="S1844" s="6">
        <v>1</v>
      </c>
    </row>
    <row r="1845" spans="1:19" hidden="1" x14ac:dyDescent="0.25">
      <c r="A1845" t="s">
        <v>1183</v>
      </c>
      <c r="B1845" t="s">
        <v>1147</v>
      </c>
      <c r="C1845">
        <v>4</v>
      </c>
      <c r="D1845" t="s">
        <v>885</v>
      </c>
      <c r="E1845" t="s">
        <v>1221</v>
      </c>
      <c r="F1845" s="5" t="s">
        <v>25</v>
      </c>
      <c r="G1845" s="19">
        <v>0.5</v>
      </c>
      <c r="H1845" s="19">
        <v>2</v>
      </c>
      <c r="I1845" t="b">
        <v>1</v>
      </c>
      <c r="J1845" t="s">
        <v>1201</v>
      </c>
      <c r="K1845" t="s">
        <v>32</v>
      </c>
      <c r="Q1845" t="s">
        <v>1147</v>
      </c>
      <c r="R1845" t="s">
        <v>1147</v>
      </c>
      <c r="S1845" s="109">
        <v>4</v>
      </c>
    </row>
    <row r="1846" spans="1:19" hidden="1" x14ac:dyDescent="0.25">
      <c r="A1846" t="s">
        <v>1183</v>
      </c>
      <c r="B1846" t="s">
        <v>1147</v>
      </c>
      <c r="C1846">
        <v>4</v>
      </c>
      <c r="D1846" t="s">
        <v>392</v>
      </c>
      <c r="E1846" t="s">
        <v>521</v>
      </c>
      <c r="F1846" s="5" t="s">
        <v>24</v>
      </c>
      <c r="G1846" s="19">
        <v>25</v>
      </c>
      <c r="H1846" s="19">
        <v>35</v>
      </c>
      <c r="I1846" t="b">
        <v>1</v>
      </c>
      <c r="J1846" t="s">
        <v>847</v>
      </c>
      <c r="K1846" t="s">
        <v>32</v>
      </c>
      <c r="Q1846" t="s">
        <v>1147</v>
      </c>
      <c r="R1846" t="s">
        <v>1147</v>
      </c>
      <c r="S1846" s="109">
        <v>3</v>
      </c>
    </row>
    <row r="1847" spans="1:19" hidden="1" x14ac:dyDescent="0.25">
      <c r="A1847" t="s">
        <v>1183</v>
      </c>
      <c r="B1847" t="s">
        <v>1147</v>
      </c>
      <c r="C1847">
        <v>4</v>
      </c>
      <c r="D1847" t="s">
        <v>1188</v>
      </c>
      <c r="E1847" t="s">
        <v>1145</v>
      </c>
      <c r="F1847" s="5" t="s">
        <v>25</v>
      </c>
      <c r="G1847" s="19">
        <v>0</v>
      </c>
      <c r="H1847" s="19">
        <v>3</v>
      </c>
      <c r="I1847" t="b">
        <v>1</v>
      </c>
      <c r="J1847" t="s">
        <v>1205</v>
      </c>
      <c r="K1847" t="s">
        <v>32</v>
      </c>
      <c r="Q1847" t="s">
        <v>1147</v>
      </c>
      <c r="R1847" t="s">
        <v>1147</v>
      </c>
      <c r="S1847" s="109">
        <v>7</v>
      </c>
    </row>
    <row r="1848" spans="1:19" hidden="1" x14ac:dyDescent="0.25">
      <c r="A1848" t="s">
        <v>1183</v>
      </c>
      <c r="B1848" t="s">
        <v>1147</v>
      </c>
      <c r="C1848">
        <v>4</v>
      </c>
      <c r="D1848" t="s">
        <v>1189</v>
      </c>
      <c r="E1848" t="s">
        <v>1221</v>
      </c>
      <c r="F1848" s="5" t="s">
        <v>25</v>
      </c>
      <c r="G1848" s="19">
        <v>0.5</v>
      </c>
      <c r="H1848" s="19">
        <v>2</v>
      </c>
      <c r="I1848" t="b">
        <v>1</v>
      </c>
      <c r="J1848" t="s">
        <v>1208</v>
      </c>
      <c r="K1848" t="s">
        <v>32</v>
      </c>
      <c r="Q1848" t="s">
        <v>1147</v>
      </c>
      <c r="R1848" t="s">
        <v>1147</v>
      </c>
      <c r="S1848" s="109">
        <v>11</v>
      </c>
    </row>
    <row r="1849" spans="1:19" hidden="1" x14ac:dyDescent="0.25">
      <c r="A1849" t="s">
        <v>1183</v>
      </c>
      <c r="B1849" t="s">
        <v>1147</v>
      </c>
      <c r="C1849">
        <v>4</v>
      </c>
      <c r="D1849" t="s">
        <v>1190</v>
      </c>
      <c r="E1849" t="s">
        <v>1221</v>
      </c>
      <c r="F1849" s="5" t="s">
        <v>25</v>
      </c>
      <c r="G1849" s="19">
        <v>0.5</v>
      </c>
      <c r="H1849" s="19">
        <v>2</v>
      </c>
      <c r="I1849" t="b">
        <v>1</v>
      </c>
      <c r="J1849" t="s">
        <v>1211</v>
      </c>
      <c r="K1849" t="s">
        <v>32</v>
      </c>
      <c r="Q1849" t="s">
        <v>1147</v>
      </c>
      <c r="R1849" t="s">
        <v>1147</v>
      </c>
      <c r="S1849" s="109">
        <v>9</v>
      </c>
    </row>
    <row r="1850" spans="1:19" hidden="1" x14ac:dyDescent="0.25">
      <c r="A1850" t="s">
        <v>1183</v>
      </c>
      <c r="B1850" t="s">
        <v>1147</v>
      </c>
      <c r="C1850">
        <v>4</v>
      </c>
      <c r="D1850" t="s">
        <v>1194</v>
      </c>
      <c r="E1850" t="s">
        <v>1257</v>
      </c>
      <c r="F1850" s="5" t="s">
        <v>26</v>
      </c>
      <c r="G1850" s="19">
        <v>5</v>
      </c>
      <c r="H1850" s="19">
        <v>15</v>
      </c>
      <c r="I1850" t="b">
        <v>0</v>
      </c>
      <c r="J1850" t="s">
        <v>1203</v>
      </c>
      <c r="K1850" t="s">
        <v>32</v>
      </c>
      <c r="L1850" t="s">
        <v>716</v>
      </c>
      <c r="M1850" t="s">
        <v>1170</v>
      </c>
      <c r="Q1850" t="s">
        <v>1147</v>
      </c>
      <c r="R1850" t="s">
        <v>1147</v>
      </c>
      <c r="S1850" s="109">
        <v>2</v>
      </c>
    </row>
    <row r="1851" spans="1:19" hidden="1" x14ac:dyDescent="0.25">
      <c r="A1851" t="s">
        <v>1183</v>
      </c>
      <c r="B1851" t="s">
        <v>1147</v>
      </c>
      <c r="C1851">
        <v>4</v>
      </c>
      <c r="D1851" t="s">
        <v>1187</v>
      </c>
      <c r="E1851" t="s">
        <v>524</v>
      </c>
      <c r="F1851" s="5" t="s">
        <v>24</v>
      </c>
      <c r="G1851" s="19">
        <v>10</v>
      </c>
      <c r="H1851" s="19">
        <v>20</v>
      </c>
      <c r="I1851" t="b">
        <v>1</v>
      </c>
      <c r="J1851" t="s">
        <v>1206</v>
      </c>
      <c r="K1851" t="s">
        <v>32</v>
      </c>
      <c r="L1851" t="s">
        <v>716</v>
      </c>
      <c r="M1851" t="s">
        <v>1170</v>
      </c>
      <c r="Q1851" t="s">
        <v>1147</v>
      </c>
      <c r="R1851" t="s">
        <v>1147</v>
      </c>
      <c r="S1851" s="109">
        <v>8</v>
      </c>
    </row>
    <row r="1852" spans="1:19" hidden="1" x14ac:dyDescent="0.25">
      <c r="A1852" t="s">
        <v>1183</v>
      </c>
      <c r="B1852" t="s">
        <v>1147</v>
      </c>
      <c r="C1852">
        <v>4</v>
      </c>
      <c r="D1852" t="s">
        <v>1213</v>
      </c>
      <c r="E1852" t="s">
        <v>525</v>
      </c>
      <c r="F1852" s="5" t="s">
        <v>24</v>
      </c>
      <c r="G1852" s="19">
        <v>20</v>
      </c>
      <c r="H1852" s="19">
        <v>30</v>
      </c>
      <c r="I1852" t="b">
        <v>1</v>
      </c>
      <c r="J1852" t="s">
        <v>1214</v>
      </c>
      <c r="K1852" t="s">
        <v>32</v>
      </c>
      <c r="L1852" t="s">
        <v>716</v>
      </c>
      <c r="M1852" t="s">
        <v>1170</v>
      </c>
      <c r="Q1852" t="s">
        <v>1147</v>
      </c>
      <c r="R1852" t="s">
        <v>1147</v>
      </c>
      <c r="S1852" s="109">
        <v>15</v>
      </c>
    </row>
    <row r="1853" spans="1:19" hidden="1" x14ac:dyDescent="0.25">
      <c r="A1853" t="s">
        <v>1183</v>
      </c>
      <c r="B1853" t="s">
        <v>1147</v>
      </c>
      <c r="C1853">
        <v>5</v>
      </c>
      <c r="D1853" t="s">
        <v>1184</v>
      </c>
      <c r="E1853" t="s">
        <v>1143</v>
      </c>
      <c r="F1853" s="5" t="s">
        <v>25</v>
      </c>
      <c r="G1853" s="19">
        <v>0</v>
      </c>
      <c r="H1853" s="19">
        <v>1</v>
      </c>
      <c r="I1853" t="b">
        <v>1</v>
      </c>
      <c r="J1853" t="s">
        <v>1186</v>
      </c>
      <c r="K1853" t="s">
        <v>32</v>
      </c>
      <c r="Q1853" t="s">
        <v>1147</v>
      </c>
      <c r="R1853" t="s">
        <v>1147</v>
      </c>
      <c r="S1853" s="6">
        <v>1</v>
      </c>
    </row>
    <row r="1854" spans="1:19" hidden="1" x14ac:dyDescent="0.25">
      <c r="A1854" t="s">
        <v>1183</v>
      </c>
      <c r="B1854" t="s">
        <v>1147</v>
      </c>
      <c r="C1854">
        <v>5</v>
      </c>
      <c r="D1854" t="s">
        <v>392</v>
      </c>
      <c r="E1854" t="s">
        <v>529</v>
      </c>
      <c r="F1854" s="5" t="s">
        <v>24</v>
      </c>
      <c r="G1854" s="19">
        <v>15</v>
      </c>
      <c r="H1854" s="19">
        <v>25</v>
      </c>
      <c r="I1854" t="b">
        <v>1</v>
      </c>
      <c r="J1854" t="s">
        <v>847</v>
      </c>
      <c r="K1854" t="s">
        <v>32</v>
      </c>
      <c r="Q1854" t="s">
        <v>1147</v>
      </c>
      <c r="R1854" t="s">
        <v>1147</v>
      </c>
      <c r="S1854" s="109">
        <v>3</v>
      </c>
    </row>
    <row r="1855" spans="1:19" hidden="1" x14ac:dyDescent="0.25">
      <c r="A1855" t="s">
        <v>1183</v>
      </c>
      <c r="B1855" t="s">
        <v>1147</v>
      </c>
      <c r="C1855">
        <v>5</v>
      </c>
      <c r="D1855" t="s">
        <v>1194</v>
      </c>
      <c r="E1855" t="s">
        <v>1248</v>
      </c>
      <c r="F1855" s="5" t="s">
        <v>26</v>
      </c>
      <c r="G1855" s="19">
        <v>15</v>
      </c>
      <c r="H1855" s="19">
        <v>25</v>
      </c>
      <c r="I1855" t="b">
        <v>0</v>
      </c>
      <c r="J1855" t="s">
        <v>1203</v>
      </c>
      <c r="K1855" t="s">
        <v>32</v>
      </c>
      <c r="Q1855" t="s">
        <v>1147</v>
      </c>
      <c r="R1855" t="s">
        <v>1147</v>
      </c>
      <c r="S1855" s="109">
        <v>2</v>
      </c>
    </row>
    <row r="1856" spans="1:19" hidden="1" x14ac:dyDescent="0.25">
      <c r="A1856" t="s">
        <v>1183</v>
      </c>
      <c r="B1856" t="s">
        <v>1181</v>
      </c>
      <c r="C1856">
        <v>2</v>
      </c>
      <c r="D1856" t="s">
        <v>11</v>
      </c>
      <c r="E1856" t="s">
        <v>1199</v>
      </c>
      <c r="F1856" s="5" t="s">
        <v>25</v>
      </c>
      <c r="G1856" s="19">
        <v>11</v>
      </c>
      <c r="H1856" s="19">
        <v>14</v>
      </c>
      <c r="I1856" t="b">
        <v>1</v>
      </c>
      <c r="J1856" t="s">
        <v>1432</v>
      </c>
      <c r="K1856" t="s">
        <v>32</v>
      </c>
      <c r="Q1856" t="s">
        <v>1181</v>
      </c>
      <c r="R1856" t="s">
        <v>1181</v>
      </c>
      <c r="S1856" s="109">
        <v>16</v>
      </c>
    </row>
    <row r="1857" spans="1:19" hidden="1" x14ac:dyDescent="0.25">
      <c r="A1857" t="s">
        <v>1183</v>
      </c>
      <c r="B1857" t="s">
        <v>1181</v>
      </c>
      <c r="C1857">
        <v>2</v>
      </c>
      <c r="D1857" t="s">
        <v>1194</v>
      </c>
      <c r="E1857" t="s">
        <v>1229</v>
      </c>
      <c r="F1857" s="5" t="s">
        <v>27</v>
      </c>
      <c r="G1857" s="19">
        <v>0</v>
      </c>
      <c r="H1857" s="19">
        <v>0.1</v>
      </c>
      <c r="I1857" t="b">
        <v>0</v>
      </c>
      <c r="J1857" t="s">
        <v>1203</v>
      </c>
      <c r="K1857" t="s">
        <v>32</v>
      </c>
      <c r="Q1857" t="s">
        <v>1181</v>
      </c>
      <c r="R1857" t="s">
        <v>1181</v>
      </c>
      <c r="S1857" s="109">
        <v>2</v>
      </c>
    </row>
    <row r="1858" spans="1:19" hidden="1" x14ac:dyDescent="0.25">
      <c r="A1858" t="s">
        <v>1183</v>
      </c>
      <c r="B1858" t="s">
        <v>1181</v>
      </c>
      <c r="C1858">
        <v>2</v>
      </c>
      <c r="D1858" t="s">
        <v>885</v>
      </c>
      <c r="E1858" t="s">
        <v>1200</v>
      </c>
      <c r="F1858" s="5" t="s">
        <v>25</v>
      </c>
      <c r="G1858" s="19">
        <v>5</v>
      </c>
      <c r="H1858" s="19">
        <v>8</v>
      </c>
      <c r="I1858" t="b">
        <v>1</v>
      </c>
      <c r="J1858" t="s">
        <v>1201</v>
      </c>
      <c r="K1858" t="s">
        <v>32</v>
      </c>
      <c r="Q1858" t="s">
        <v>1181</v>
      </c>
      <c r="R1858" t="s">
        <v>1181</v>
      </c>
      <c r="S1858" s="109">
        <v>4</v>
      </c>
    </row>
    <row r="1859" spans="1:19" hidden="1" x14ac:dyDescent="0.25">
      <c r="A1859" t="s">
        <v>1183</v>
      </c>
      <c r="B1859" t="s">
        <v>1181</v>
      </c>
      <c r="C1859">
        <v>2</v>
      </c>
      <c r="D1859" t="s">
        <v>392</v>
      </c>
      <c r="E1859" t="s">
        <v>551</v>
      </c>
      <c r="F1859" s="5" t="s">
        <v>24</v>
      </c>
      <c r="G1859" s="19">
        <v>30</v>
      </c>
      <c r="H1859" s="19">
        <v>40</v>
      </c>
      <c r="I1859" t="b">
        <v>1</v>
      </c>
      <c r="J1859" t="s">
        <v>847</v>
      </c>
      <c r="K1859" t="s">
        <v>32</v>
      </c>
      <c r="Q1859" t="s">
        <v>1181</v>
      </c>
      <c r="R1859" t="s">
        <v>1181</v>
      </c>
      <c r="S1859" s="109">
        <v>3</v>
      </c>
    </row>
    <row r="1860" spans="1:19" hidden="1" x14ac:dyDescent="0.25">
      <c r="A1860" t="s">
        <v>1183</v>
      </c>
      <c r="B1860" t="s">
        <v>1181</v>
      </c>
      <c r="C1860">
        <v>2</v>
      </c>
      <c r="D1860" t="s">
        <v>1188</v>
      </c>
      <c r="E1860" t="s">
        <v>1200</v>
      </c>
      <c r="F1860" s="5" t="s">
        <v>25</v>
      </c>
      <c r="G1860" s="19">
        <v>5</v>
      </c>
      <c r="H1860" s="19">
        <v>8</v>
      </c>
      <c r="I1860" t="b">
        <v>1</v>
      </c>
      <c r="J1860" t="s">
        <v>1205</v>
      </c>
      <c r="K1860" t="s">
        <v>32</v>
      </c>
      <c r="Q1860" t="s">
        <v>1181</v>
      </c>
      <c r="R1860" t="s">
        <v>1181</v>
      </c>
      <c r="S1860" s="109">
        <v>7</v>
      </c>
    </row>
    <row r="1861" spans="1:19" hidden="1" x14ac:dyDescent="0.25">
      <c r="A1861" t="s">
        <v>1183</v>
      </c>
      <c r="B1861" t="s">
        <v>1181</v>
      </c>
      <c r="C1861">
        <v>2</v>
      </c>
      <c r="D1861" t="s">
        <v>1230</v>
      </c>
      <c r="E1861" t="s">
        <v>1204</v>
      </c>
      <c r="F1861" s="5" t="s">
        <v>25</v>
      </c>
      <c r="G1861" s="19">
        <v>6</v>
      </c>
      <c r="H1861" s="19">
        <v>9</v>
      </c>
      <c r="I1861" t="b">
        <v>1</v>
      </c>
      <c r="J1861" t="s">
        <v>1231</v>
      </c>
      <c r="K1861" t="s">
        <v>32</v>
      </c>
      <c r="Q1861" t="s">
        <v>1181</v>
      </c>
      <c r="R1861" t="s">
        <v>1181</v>
      </c>
      <c r="S1861" s="109">
        <v>13</v>
      </c>
    </row>
    <row r="1862" spans="1:19" hidden="1" x14ac:dyDescent="0.25">
      <c r="A1862" t="s">
        <v>1183</v>
      </c>
      <c r="B1862" t="s">
        <v>1181</v>
      </c>
      <c r="C1862">
        <v>2</v>
      </c>
      <c r="D1862" t="s">
        <v>1190</v>
      </c>
      <c r="E1862" t="s">
        <v>1195</v>
      </c>
      <c r="F1862" s="5" t="s">
        <v>25</v>
      </c>
      <c r="G1862" s="19">
        <v>1</v>
      </c>
      <c r="H1862" s="19">
        <v>2</v>
      </c>
      <c r="I1862" t="b">
        <v>1</v>
      </c>
      <c r="J1862" t="s">
        <v>1211</v>
      </c>
      <c r="K1862" t="s">
        <v>32</v>
      </c>
      <c r="Q1862" t="s">
        <v>1181</v>
      </c>
      <c r="R1862" t="s">
        <v>1181</v>
      </c>
      <c r="S1862" s="109">
        <v>9</v>
      </c>
    </row>
    <row r="1863" spans="1:19" hidden="1" x14ac:dyDescent="0.25">
      <c r="A1863" t="s">
        <v>1183</v>
      </c>
      <c r="B1863" t="s">
        <v>1181</v>
      </c>
      <c r="C1863">
        <v>3</v>
      </c>
      <c r="D1863" t="s">
        <v>11</v>
      </c>
      <c r="E1863" t="s">
        <v>1433</v>
      </c>
      <c r="F1863" s="5" t="s">
        <v>25</v>
      </c>
      <c r="G1863" s="19">
        <v>8</v>
      </c>
      <c r="H1863" s="19">
        <v>11</v>
      </c>
      <c r="I1863" t="b">
        <v>1</v>
      </c>
      <c r="J1863" t="s">
        <v>1432</v>
      </c>
      <c r="K1863" t="s">
        <v>32</v>
      </c>
      <c r="Q1863" t="s">
        <v>1181</v>
      </c>
      <c r="R1863" t="s">
        <v>1181</v>
      </c>
      <c r="S1863" s="109">
        <v>16</v>
      </c>
    </row>
    <row r="1864" spans="1:19" hidden="1" x14ac:dyDescent="0.25">
      <c r="A1864" t="s">
        <v>1183</v>
      </c>
      <c r="B1864" t="s">
        <v>1181</v>
      </c>
      <c r="C1864">
        <v>3</v>
      </c>
      <c r="D1864" t="s">
        <v>1184</v>
      </c>
      <c r="E1864" t="s">
        <v>1204</v>
      </c>
      <c r="F1864" s="5" t="s">
        <v>25</v>
      </c>
      <c r="G1864" s="19">
        <v>6</v>
      </c>
      <c r="H1864" s="19">
        <v>9</v>
      </c>
      <c r="I1864" t="b">
        <v>1</v>
      </c>
      <c r="J1864" t="s">
        <v>1186</v>
      </c>
      <c r="K1864" t="s">
        <v>32</v>
      </c>
      <c r="Q1864" t="s">
        <v>1181</v>
      </c>
      <c r="R1864" t="s">
        <v>1181</v>
      </c>
      <c r="S1864" s="109">
        <v>1</v>
      </c>
    </row>
    <row r="1865" spans="1:19" hidden="1" x14ac:dyDescent="0.25">
      <c r="A1865" t="s">
        <v>1183</v>
      </c>
      <c r="B1865" t="s">
        <v>1181</v>
      </c>
      <c r="C1865">
        <v>3</v>
      </c>
      <c r="D1865" t="s">
        <v>1194</v>
      </c>
      <c r="E1865" t="s">
        <v>1257</v>
      </c>
      <c r="F1865" s="5" t="s">
        <v>26</v>
      </c>
      <c r="G1865" s="19">
        <v>5</v>
      </c>
      <c r="H1865" s="19">
        <v>15</v>
      </c>
      <c r="I1865" t="b">
        <v>0</v>
      </c>
      <c r="J1865" t="s">
        <v>1203</v>
      </c>
      <c r="K1865" t="s">
        <v>32</v>
      </c>
      <c r="Q1865" t="s">
        <v>1181</v>
      </c>
      <c r="R1865" t="s">
        <v>1181</v>
      </c>
      <c r="S1865" s="109">
        <v>2</v>
      </c>
    </row>
    <row r="1866" spans="1:19" hidden="1" x14ac:dyDescent="0.25">
      <c r="A1866" t="s">
        <v>1183</v>
      </c>
      <c r="B1866" t="s">
        <v>1181</v>
      </c>
      <c r="C1866">
        <v>3</v>
      </c>
      <c r="D1866" t="s">
        <v>1193</v>
      </c>
      <c r="E1866" t="s">
        <v>1434</v>
      </c>
      <c r="F1866" s="5" t="s">
        <v>27</v>
      </c>
      <c r="G1866" s="19">
        <v>0</v>
      </c>
      <c r="H1866" s="19">
        <v>1</v>
      </c>
      <c r="I1866" t="b">
        <v>0</v>
      </c>
      <c r="J1866" t="s">
        <v>1233</v>
      </c>
      <c r="K1866" t="s">
        <v>32</v>
      </c>
      <c r="Q1866" t="s">
        <v>1181</v>
      </c>
      <c r="R1866" t="s">
        <v>1181</v>
      </c>
      <c r="S1866" s="109">
        <v>5</v>
      </c>
    </row>
    <row r="1867" spans="1:19" hidden="1" x14ac:dyDescent="0.25">
      <c r="A1867" t="s">
        <v>1183</v>
      </c>
      <c r="B1867" t="s">
        <v>1181</v>
      </c>
      <c r="C1867">
        <v>3</v>
      </c>
      <c r="D1867" t="s">
        <v>885</v>
      </c>
      <c r="E1867" t="s">
        <v>1196</v>
      </c>
      <c r="F1867" s="5" t="s">
        <v>25</v>
      </c>
      <c r="G1867" s="19">
        <v>2</v>
      </c>
      <c r="H1867" s="19">
        <v>5</v>
      </c>
      <c r="I1867" t="b">
        <v>1</v>
      </c>
      <c r="J1867" t="s">
        <v>1201</v>
      </c>
      <c r="K1867" t="s">
        <v>32</v>
      </c>
      <c r="Q1867" t="s">
        <v>1181</v>
      </c>
      <c r="R1867" t="s">
        <v>1181</v>
      </c>
      <c r="S1867" s="109">
        <v>4</v>
      </c>
    </row>
    <row r="1868" spans="1:19" hidden="1" x14ac:dyDescent="0.25">
      <c r="A1868" t="s">
        <v>1183</v>
      </c>
      <c r="B1868" t="s">
        <v>1181</v>
      </c>
      <c r="C1868">
        <v>3</v>
      </c>
      <c r="D1868" t="s">
        <v>392</v>
      </c>
      <c r="E1868" t="s">
        <v>525</v>
      </c>
      <c r="F1868" s="5" t="s">
        <v>24</v>
      </c>
      <c r="G1868" s="19">
        <v>20</v>
      </c>
      <c r="H1868" s="19">
        <v>30</v>
      </c>
      <c r="I1868" t="b">
        <v>1</v>
      </c>
      <c r="J1868" t="s">
        <v>847</v>
      </c>
      <c r="K1868" t="s">
        <v>32</v>
      </c>
      <c r="Q1868" t="s">
        <v>1181</v>
      </c>
      <c r="R1868" t="s">
        <v>1181</v>
      </c>
      <c r="S1868" s="109">
        <v>3</v>
      </c>
    </row>
    <row r="1869" spans="1:19" hidden="1" x14ac:dyDescent="0.25">
      <c r="A1869" t="s">
        <v>1183</v>
      </c>
      <c r="B1869" t="s">
        <v>1181</v>
      </c>
      <c r="C1869">
        <v>3</v>
      </c>
      <c r="D1869" t="s">
        <v>1188</v>
      </c>
      <c r="E1869" t="s">
        <v>1196</v>
      </c>
      <c r="F1869" s="5" t="s">
        <v>25</v>
      </c>
      <c r="G1869" s="19">
        <v>2</v>
      </c>
      <c r="H1869" s="19">
        <v>5</v>
      </c>
      <c r="I1869" t="b">
        <v>1</v>
      </c>
      <c r="J1869" t="s">
        <v>1205</v>
      </c>
      <c r="K1869" t="s">
        <v>32</v>
      </c>
      <c r="Q1869" t="s">
        <v>1181</v>
      </c>
      <c r="R1869" t="s">
        <v>1181</v>
      </c>
      <c r="S1869" s="109">
        <v>7</v>
      </c>
    </row>
    <row r="1870" spans="1:19" hidden="1" x14ac:dyDescent="0.25">
      <c r="A1870" t="s">
        <v>1183</v>
      </c>
      <c r="B1870" t="s">
        <v>1181</v>
      </c>
      <c r="C1870">
        <v>3</v>
      </c>
      <c r="D1870" t="s">
        <v>1230</v>
      </c>
      <c r="E1870" t="s">
        <v>1159</v>
      </c>
      <c r="F1870" s="5" t="s">
        <v>25</v>
      </c>
      <c r="G1870" s="19">
        <v>3</v>
      </c>
      <c r="H1870" s="19">
        <v>6</v>
      </c>
      <c r="I1870" t="b">
        <v>1</v>
      </c>
      <c r="J1870" t="s">
        <v>1231</v>
      </c>
      <c r="K1870" t="s">
        <v>32</v>
      </c>
      <c r="Q1870" t="s">
        <v>1181</v>
      </c>
      <c r="R1870" t="s">
        <v>1181</v>
      </c>
      <c r="S1870" s="109">
        <v>13</v>
      </c>
    </row>
    <row r="1871" spans="1:19" hidden="1" x14ac:dyDescent="0.25">
      <c r="A1871" t="s">
        <v>1183</v>
      </c>
      <c r="B1871" t="s">
        <v>1181</v>
      </c>
      <c r="C1871">
        <v>3</v>
      </c>
      <c r="D1871" t="s">
        <v>1190</v>
      </c>
      <c r="E1871" t="s">
        <v>1143</v>
      </c>
      <c r="F1871" s="5" t="s">
        <v>25</v>
      </c>
      <c r="G1871" s="19">
        <v>0</v>
      </c>
      <c r="H1871" s="19">
        <v>1</v>
      </c>
      <c r="I1871" t="b">
        <v>1</v>
      </c>
      <c r="J1871" t="s">
        <v>1211</v>
      </c>
      <c r="K1871" t="s">
        <v>32</v>
      </c>
      <c r="Q1871" t="s">
        <v>1181</v>
      </c>
      <c r="R1871" t="s">
        <v>1181</v>
      </c>
      <c r="S1871" s="109">
        <v>9</v>
      </c>
    </row>
    <row r="1872" spans="1:19" hidden="1" x14ac:dyDescent="0.25">
      <c r="A1872" t="s">
        <v>1183</v>
      </c>
      <c r="B1872" t="s">
        <v>1181</v>
      </c>
      <c r="C1872">
        <v>4</v>
      </c>
      <c r="D1872" t="s">
        <v>11</v>
      </c>
      <c r="E1872" t="s">
        <v>1200</v>
      </c>
      <c r="F1872" s="5" t="s">
        <v>25</v>
      </c>
      <c r="G1872" s="19">
        <v>5</v>
      </c>
      <c r="H1872" s="19">
        <v>8</v>
      </c>
      <c r="I1872" t="b">
        <v>1</v>
      </c>
      <c r="J1872" t="s">
        <v>1432</v>
      </c>
      <c r="K1872" t="s">
        <v>32</v>
      </c>
      <c r="Q1872" t="s">
        <v>1181</v>
      </c>
      <c r="R1872" t="s">
        <v>1181</v>
      </c>
      <c r="S1872" s="109">
        <v>16</v>
      </c>
    </row>
    <row r="1873" spans="1:19" hidden="1" x14ac:dyDescent="0.25">
      <c r="A1873" t="s">
        <v>1183</v>
      </c>
      <c r="B1873" t="s">
        <v>1181</v>
      </c>
      <c r="C1873">
        <v>4</v>
      </c>
      <c r="D1873" t="s">
        <v>1184</v>
      </c>
      <c r="E1873" t="s">
        <v>1159</v>
      </c>
      <c r="F1873" s="5" t="s">
        <v>25</v>
      </c>
      <c r="G1873" s="19">
        <v>3</v>
      </c>
      <c r="H1873" s="19">
        <v>6</v>
      </c>
      <c r="I1873" t="b">
        <v>1</v>
      </c>
      <c r="J1873" t="s">
        <v>1186</v>
      </c>
      <c r="K1873" t="s">
        <v>32</v>
      </c>
      <c r="Q1873" t="s">
        <v>1181</v>
      </c>
      <c r="R1873" t="s">
        <v>1181</v>
      </c>
      <c r="S1873" s="109">
        <v>1</v>
      </c>
    </row>
    <row r="1874" spans="1:19" hidden="1" x14ac:dyDescent="0.25">
      <c r="A1874" t="s">
        <v>1183</v>
      </c>
      <c r="B1874" t="s">
        <v>1181</v>
      </c>
      <c r="C1874">
        <v>4</v>
      </c>
      <c r="D1874" t="s">
        <v>1194</v>
      </c>
      <c r="E1874" t="s">
        <v>1243</v>
      </c>
      <c r="F1874" s="5" t="s">
        <v>26</v>
      </c>
      <c r="G1874" s="19">
        <v>30</v>
      </c>
      <c r="H1874" s="19">
        <v>40</v>
      </c>
      <c r="I1874" t="b">
        <v>0</v>
      </c>
      <c r="J1874" t="s">
        <v>1203</v>
      </c>
      <c r="K1874" t="s">
        <v>32</v>
      </c>
      <c r="Q1874" t="s">
        <v>1181</v>
      </c>
      <c r="R1874" t="s">
        <v>1181</v>
      </c>
      <c r="S1874" s="109">
        <v>2</v>
      </c>
    </row>
    <row r="1875" spans="1:19" hidden="1" x14ac:dyDescent="0.25">
      <c r="A1875" t="s">
        <v>1183</v>
      </c>
      <c r="B1875" t="s">
        <v>1181</v>
      </c>
      <c r="C1875">
        <v>4</v>
      </c>
      <c r="D1875" t="s">
        <v>1193</v>
      </c>
      <c r="E1875" t="s">
        <v>1435</v>
      </c>
      <c r="F1875" s="5" t="s">
        <v>26</v>
      </c>
      <c r="G1875" s="19">
        <v>1</v>
      </c>
      <c r="H1875" s="19">
        <v>3</v>
      </c>
      <c r="I1875" t="b">
        <v>0</v>
      </c>
      <c r="J1875" t="s">
        <v>1233</v>
      </c>
      <c r="K1875" t="s">
        <v>32</v>
      </c>
      <c r="Q1875" t="s">
        <v>1181</v>
      </c>
      <c r="R1875" t="s">
        <v>1181</v>
      </c>
      <c r="S1875" s="109">
        <v>5</v>
      </c>
    </row>
    <row r="1876" spans="1:19" hidden="1" x14ac:dyDescent="0.25">
      <c r="A1876" t="s">
        <v>1183</v>
      </c>
      <c r="B1876" t="s">
        <v>1181</v>
      </c>
      <c r="C1876">
        <v>4</v>
      </c>
      <c r="D1876" t="s">
        <v>885</v>
      </c>
      <c r="E1876" t="s">
        <v>1221</v>
      </c>
      <c r="F1876" s="5" t="s">
        <v>25</v>
      </c>
      <c r="G1876" s="19">
        <v>0.5</v>
      </c>
      <c r="H1876" s="19">
        <v>2</v>
      </c>
      <c r="I1876" t="b">
        <v>1</v>
      </c>
      <c r="J1876" t="s">
        <v>1201</v>
      </c>
      <c r="K1876" t="s">
        <v>32</v>
      </c>
      <c r="Q1876" t="s">
        <v>1181</v>
      </c>
      <c r="R1876" t="s">
        <v>1181</v>
      </c>
      <c r="S1876" s="109">
        <v>4</v>
      </c>
    </row>
    <row r="1877" spans="1:19" hidden="1" x14ac:dyDescent="0.25">
      <c r="A1877" t="s">
        <v>1183</v>
      </c>
      <c r="B1877" t="s">
        <v>1181</v>
      </c>
      <c r="C1877">
        <v>4</v>
      </c>
      <c r="D1877" t="s">
        <v>392</v>
      </c>
      <c r="E1877" t="s">
        <v>524</v>
      </c>
      <c r="F1877" s="5" t="s">
        <v>24</v>
      </c>
      <c r="G1877" s="19">
        <v>10</v>
      </c>
      <c r="H1877" s="19">
        <v>20</v>
      </c>
      <c r="I1877" t="b">
        <v>1</v>
      </c>
      <c r="J1877" t="s">
        <v>847</v>
      </c>
      <c r="K1877" t="s">
        <v>32</v>
      </c>
      <c r="Q1877" t="s">
        <v>1181</v>
      </c>
      <c r="R1877" t="s">
        <v>1181</v>
      </c>
      <c r="S1877" s="109">
        <v>3</v>
      </c>
    </row>
    <row r="1878" spans="1:19" hidden="1" x14ac:dyDescent="0.25">
      <c r="A1878" t="s">
        <v>1183</v>
      </c>
      <c r="B1878" t="s">
        <v>1181</v>
      </c>
      <c r="C1878">
        <v>4</v>
      </c>
      <c r="D1878" t="s">
        <v>1188</v>
      </c>
      <c r="E1878" t="s">
        <v>1195</v>
      </c>
      <c r="F1878" s="5" t="s">
        <v>25</v>
      </c>
      <c r="G1878" s="19">
        <v>1</v>
      </c>
      <c r="H1878" s="19">
        <v>2</v>
      </c>
      <c r="I1878" t="b">
        <v>1</v>
      </c>
      <c r="J1878" t="s">
        <v>1205</v>
      </c>
      <c r="K1878" t="s">
        <v>32</v>
      </c>
      <c r="Q1878" t="s">
        <v>1181</v>
      </c>
      <c r="R1878" t="s">
        <v>1181</v>
      </c>
      <c r="S1878" s="109">
        <v>7</v>
      </c>
    </row>
    <row r="1879" spans="1:19" hidden="1" x14ac:dyDescent="0.25">
      <c r="A1879" t="s">
        <v>1183</v>
      </c>
      <c r="B1879" t="s">
        <v>1181</v>
      </c>
      <c r="C1879">
        <v>4</v>
      </c>
      <c r="D1879" t="s">
        <v>1230</v>
      </c>
      <c r="E1879" t="s">
        <v>1145</v>
      </c>
      <c r="F1879" s="5" t="s">
        <v>25</v>
      </c>
      <c r="G1879" s="19">
        <v>0</v>
      </c>
      <c r="H1879" s="19">
        <v>3</v>
      </c>
      <c r="I1879" t="b">
        <v>1</v>
      </c>
      <c r="J1879" t="s">
        <v>1231</v>
      </c>
      <c r="K1879" t="s">
        <v>32</v>
      </c>
      <c r="Q1879" t="s">
        <v>1181</v>
      </c>
      <c r="R1879" t="s">
        <v>1181</v>
      </c>
      <c r="S1879" s="6">
        <v>13</v>
      </c>
    </row>
    <row r="1880" spans="1:19" hidden="1" x14ac:dyDescent="0.25">
      <c r="A1880" t="s">
        <v>1183</v>
      </c>
      <c r="B1880" t="s">
        <v>1181</v>
      </c>
      <c r="C1880">
        <v>4</v>
      </c>
      <c r="D1880" t="s">
        <v>11</v>
      </c>
      <c r="E1880" t="s">
        <v>1171</v>
      </c>
      <c r="F1880" s="5" t="s">
        <v>25</v>
      </c>
      <c r="G1880" s="19">
        <v>0</v>
      </c>
      <c r="H1880" s="19">
        <v>5</v>
      </c>
      <c r="I1880" t="b">
        <v>1</v>
      </c>
      <c r="J1880" t="s">
        <v>1432</v>
      </c>
      <c r="K1880" t="s">
        <v>32</v>
      </c>
      <c r="Q1880" t="s">
        <v>1181</v>
      </c>
      <c r="R1880" t="s">
        <v>1181</v>
      </c>
      <c r="S1880" s="109">
        <v>16</v>
      </c>
    </row>
    <row r="1881" spans="1:19" hidden="1" x14ac:dyDescent="0.25">
      <c r="A1881" t="s">
        <v>1183</v>
      </c>
      <c r="B1881" t="s">
        <v>1181</v>
      </c>
      <c r="C1881">
        <v>5</v>
      </c>
      <c r="D1881" t="s">
        <v>1184</v>
      </c>
      <c r="E1881" t="s">
        <v>1436</v>
      </c>
      <c r="F1881" s="5" t="s">
        <v>25</v>
      </c>
      <c r="G1881" s="19">
        <v>0</v>
      </c>
      <c r="H1881" s="19">
        <v>2</v>
      </c>
      <c r="I1881" t="b">
        <v>1</v>
      </c>
      <c r="J1881" t="s">
        <v>1186</v>
      </c>
      <c r="K1881" t="s">
        <v>32</v>
      </c>
      <c r="Q1881" t="s">
        <v>1181</v>
      </c>
      <c r="R1881" t="s">
        <v>1181</v>
      </c>
      <c r="S1881" s="109">
        <v>1</v>
      </c>
    </row>
    <row r="1882" spans="1:19" hidden="1" x14ac:dyDescent="0.25">
      <c r="A1882" t="s">
        <v>1183</v>
      </c>
      <c r="B1882" t="s">
        <v>1181</v>
      </c>
      <c r="C1882">
        <v>5</v>
      </c>
      <c r="D1882" t="s">
        <v>1193</v>
      </c>
      <c r="E1882" t="s">
        <v>1239</v>
      </c>
      <c r="F1882" s="5" t="s">
        <v>27</v>
      </c>
      <c r="G1882" s="19">
        <v>3</v>
      </c>
      <c r="H1882" s="19">
        <v>6</v>
      </c>
      <c r="I1882" t="b">
        <v>0</v>
      </c>
      <c r="J1882" t="s">
        <v>1233</v>
      </c>
      <c r="K1882" t="s">
        <v>32</v>
      </c>
      <c r="Q1882" t="s">
        <v>1181</v>
      </c>
      <c r="R1882" t="s">
        <v>1181</v>
      </c>
      <c r="S1882" s="109">
        <v>5</v>
      </c>
    </row>
    <row r="1883" spans="1:19" hidden="1" x14ac:dyDescent="0.25">
      <c r="A1883" t="s">
        <v>1183</v>
      </c>
      <c r="B1883" t="s">
        <v>1181</v>
      </c>
      <c r="C1883">
        <v>5</v>
      </c>
      <c r="D1883" t="s">
        <v>392</v>
      </c>
      <c r="E1883" t="s">
        <v>1437</v>
      </c>
      <c r="F1883" s="5" t="s">
        <v>25</v>
      </c>
      <c r="G1883" s="19">
        <v>-1</v>
      </c>
      <c r="H1883" s="19">
        <v>4</v>
      </c>
      <c r="I1883" t="b">
        <v>1</v>
      </c>
      <c r="J1883" t="s">
        <v>847</v>
      </c>
      <c r="K1883" t="s">
        <v>32</v>
      </c>
      <c r="Q1883" t="s">
        <v>1181</v>
      </c>
      <c r="R1883" t="s">
        <v>1181</v>
      </c>
      <c r="S1883" s="109">
        <v>3</v>
      </c>
    </row>
    <row r="1884" spans="1:19" hidden="1" x14ac:dyDescent="0.25">
      <c r="A1884" t="s">
        <v>1183</v>
      </c>
      <c r="B1884" t="s">
        <v>1175</v>
      </c>
      <c r="C1884">
        <v>2</v>
      </c>
      <c r="D1884" t="s">
        <v>1184</v>
      </c>
      <c r="E1884" t="s">
        <v>1199</v>
      </c>
      <c r="F1884" s="5" t="s">
        <v>25</v>
      </c>
      <c r="G1884" s="19">
        <v>11</v>
      </c>
      <c r="H1884" s="19">
        <v>14</v>
      </c>
      <c r="I1884" t="b">
        <v>1</v>
      </c>
      <c r="J1884" t="s">
        <v>1186</v>
      </c>
      <c r="K1884" t="s">
        <v>32</v>
      </c>
      <c r="Q1884" t="s">
        <v>1175</v>
      </c>
      <c r="R1884" t="s">
        <v>1175</v>
      </c>
      <c r="S1884" s="6">
        <v>1</v>
      </c>
    </row>
    <row r="1885" spans="1:19" hidden="1" x14ac:dyDescent="0.25">
      <c r="A1885" t="s">
        <v>1183</v>
      </c>
      <c r="B1885" t="s">
        <v>1175</v>
      </c>
      <c r="C1885">
        <v>2</v>
      </c>
      <c r="D1885" t="s">
        <v>1194</v>
      </c>
      <c r="E1885" t="s">
        <v>1202</v>
      </c>
      <c r="F1885" s="5" t="s">
        <v>27</v>
      </c>
      <c r="G1885" s="19">
        <v>0</v>
      </c>
      <c r="H1885" s="19">
        <v>0.1</v>
      </c>
      <c r="I1885" t="b">
        <v>0</v>
      </c>
      <c r="J1885" t="s">
        <v>1203</v>
      </c>
      <c r="K1885" t="s">
        <v>32</v>
      </c>
      <c r="Q1885" t="s">
        <v>1175</v>
      </c>
      <c r="R1885" t="s">
        <v>1175</v>
      </c>
      <c r="S1885" s="109">
        <v>2</v>
      </c>
    </row>
    <row r="1886" spans="1:19" hidden="1" x14ac:dyDescent="0.25">
      <c r="A1886" t="s">
        <v>1183</v>
      </c>
      <c r="B1886" t="s">
        <v>1175</v>
      </c>
      <c r="C1886">
        <v>2</v>
      </c>
      <c r="D1886" t="s">
        <v>885</v>
      </c>
      <c r="E1886" t="s">
        <v>1200</v>
      </c>
      <c r="F1886" s="5" t="s">
        <v>25</v>
      </c>
      <c r="G1886" s="19">
        <v>5</v>
      </c>
      <c r="H1886" s="19">
        <v>8</v>
      </c>
      <c r="I1886" t="b">
        <v>1</v>
      </c>
      <c r="J1886" t="s">
        <v>1201</v>
      </c>
      <c r="K1886" t="s">
        <v>32</v>
      </c>
      <c r="Q1886" t="s">
        <v>1175</v>
      </c>
      <c r="R1886" t="s">
        <v>1175</v>
      </c>
      <c r="S1886" s="109">
        <v>4</v>
      </c>
    </row>
    <row r="1887" spans="1:19" hidden="1" x14ac:dyDescent="0.25">
      <c r="A1887" t="s">
        <v>1183</v>
      </c>
      <c r="B1887" t="s">
        <v>1175</v>
      </c>
      <c r="C1887">
        <v>2</v>
      </c>
      <c r="D1887" t="s">
        <v>392</v>
      </c>
      <c r="E1887" t="s">
        <v>551</v>
      </c>
      <c r="F1887" s="5" t="s">
        <v>24</v>
      </c>
      <c r="G1887" s="19">
        <v>30</v>
      </c>
      <c r="H1887" s="19">
        <v>40</v>
      </c>
      <c r="I1887" t="b">
        <v>1</v>
      </c>
      <c r="J1887" t="s">
        <v>847</v>
      </c>
      <c r="K1887" t="s">
        <v>32</v>
      </c>
      <c r="Q1887" t="s">
        <v>1175</v>
      </c>
      <c r="R1887" t="s">
        <v>1175</v>
      </c>
      <c r="S1887" s="109">
        <v>3</v>
      </c>
    </row>
    <row r="1888" spans="1:19" hidden="1" x14ac:dyDescent="0.25">
      <c r="A1888" t="s">
        <v>1183</v>
      </c>
      <c r="B1888" t="s">
        <v>1175</v>
      </c>
      <c r="C1888">
        <v>2</v>
      </c>
      <c r="D1888" t="s">
        <v>1188</v>
      </c>
      <c r="E1888" t="s">
        <v>1200</v>
      </c>
      <c r="F1888" s="5" t="s">
        <v>25</v>
      </c>
      <c r="G1888" s="19">
        <v>5</v>
      </c>
      <c r="H1888" s="19">
        <v>8</v>
      </c>
      <c r="I1888" t="b">
        <v>1</v>
      </c>
      <c r="J1888" t="s">
        <v>1205</v>
      </c>
      <c r="K1888" t="s">
        <v>32</v>
      </c>
      <c r="Q1888" t="s">
        <v>1175</v>
      </c>
      <c r="R1888" t="s">
        <v>1175</v>
      </c>
      <c r="S1888" s="109">
        <v>7</v>
      </c>
    </row>
    <row r="1889" spans="1:19" hidden="1" x14ac:dyDescent="0.25">
      <c r="A1889" t="s">
        <v>1183</v>
      </c>
      <c r="B1889" t="s">
        <v>1175</v>
      </c>
      <c r="C1889">
        <v>2</v>
      </c>
      <c r="D1889" t="s">
        <v>1230</v>
      </c>
      <c r="E1889" t="s">
        <v>1204</v>
      </c>
      <c r="F1889" s="5" t="s">
        <v>25</v>
      </c>
      <c r="G1889" s="19">
        <v>6</v>
      </c>
      <c r="H1889" s="19">
        <v>9</v>
      </c>
      <c r="I1889" t="b">
        <v>1</v>
      </c>
      <c r="J1889" t="s">
        <v>1231</v>
      </c>
      <c r="K1889" t="s">
        <v>32</v>
      </c>
      <c r="Q1889" t="s">
        <v>1175</v>
      </c>
      <c r="R1889" t="s">
        <v>1175</v>
      </c>
      <c r="S1889" s="109">
        <v>13</v>
      </c>
    </row>
    <row r="1890" spans="1:19" hidden="1" x14ac:dyDescent="0.25">
      <c r="A1890" t="s">
        <v>1183</v>
      </c>
      <c r="B1890" t="s">
        <v>1175</v>
      </c>
      <c r="C1890">
        <v>2</v>
      </c>
      <c r="D1890" t="s">
        <v>1190</v>
      </c>
      <c r="E1890" t="s">
        <v>1220</v>
      </c>
      <c r="F1890" s="5" t="s">
        <v>25</v>
      </c>
      <c r="G1890" s="19">
        <v>2.5</v>
      </c>
      <c r="H1890" s="19">
        <v>4</v>
      </c>
      <c r="I1890" t="b">
        <v>1</v>
      </c>
      <c r="J1890" t="s">
        <v>1211</v>
      </c>
      <c r="K1890" t="s">
        <v>32</v>
      </c>
      <c r="Q1890" t="s">
        <v>1175</v>
      </c>
      <c r="R1890" t="s">
        <v>1175</v>
      </c>
      <c r="S1890" s="109">
        <v>9</v>
      </c>
    </row>
    <row r="1891" spans="1:19" hidden="1" x14ac:dyDescent="0.25">
      <c r="A1891" t="s">
        <v>1183</v>
      </c>
      <c r="B1891" t="s">
        <v>1175</v>
      </c>
      <c r="C1891">
        <v>3</v>
      </c>
      <c r="D1891" t="s">
        <v>1184</v>
      </c>
      <c r="E1891" t="s">
        <v>1185</v>
      </c>
      <c r="F1891" s="5" t="s">
        <v>25</v>
      </c>
      <c r="G1891" s="19">
        <v>7</v>
      </c>
      <c r="H1891" s="19">
        <v>10</v>
      </c>
      <c r="I1891" t="b">
        <v>1</v>
      </c>
      <c r="J1891" t="s">
        <v>1186</v>
      </c>
      <c r="K1891" t="s">
        <v>32</v>
      </c>
      <c r="Q1891" t="s">
        <v>1175</v>
      </c>
      <c r="R1891" t="s">
        <v>1175</v>
      </c>
      <c r="S1891" s="6">
        <v>1</v>
      </c>
    </row>
    <row r="1892" spans="1:19" hidden="1" x14ac:dyDescent="0.25">
      <c r="A1892" t="s">
        <v>1183</v>
      </c>
      <c r="B1892" t="s">
        <v>1175</v>
      </c>
      <c r="C1892">
        <v>3</v>
      </c>
      <c r="D1892" t="s">
        <v>1194</v>
      </c>
      <c r="E1892" t="s">
        <v>1232</v>
      </c>
      <c r="F1892" s="5" t="s">
        <v>27</v>
      </c>
      <c r="G1892" s="19">
        <v>0</v>
      </c>
      <c r="H1892" s="19">
        <v>5</v>
      </c>
      <c r="I1892" t="b">
        <v>0</v>
      </c>
      <c r="J1892" t="s">
        <v>1203</v>
      </c>
      <c r="K1892" t="s">
        <v>32</v>
      </c>
      <c r="Q1892" t="s">
        <v>1175</v>
      </c>
      <c r="R1892" t="s">
        <v>1175</v>
      </c>
      <c r="S1892" s="109">
        <v>2</v>
      </c>
    </row>
    <row r="1893" spans="1:19" hidden="1" x14ac:dyDescent="0.25">
      <c r="A1893" t="s">
        <v>1183</v>
      </c>
      <c r="B1893" t="s">
        <v>1175</v>
      </c>
      <c r="C1893">
        <v>3</v>
      </c>
      <c r="D1893" t="s">
        <v>1193</v>
      </c>
      <c r="E1893" t="s">
        <v>1202</v>
      </c>
      <c r="F1893" s="5" t="s">
        <v>27</v>
      </c>
      <c r="G1893" s="19">
        <v>0</v>
      </c>
      <c r="H1893" s="19">
        <v>0.1</v>
      </c>
      <c r="I1893" t="b">
        <v>0</v>
      </c>
      <c r="J1893" t="s">
        <v>1233</v>
      </c>
      <c r="K1893" t="s">
        <v>32</v>
      </c>
      <c r="Q1893" t="s">
        <v>1175</v>
      </c>
      <c r="R1893" t="s">
        <v>1175</v>
      </c>
      <c r="S1893" s="109">
        <v>5</v>
      </c>
    </row>
    <row r="1894" spans="1:19" hidden="1" x14ac:dyDescent="0.25">
      <c r="A1894" t="s">
        <v>1183</v>
      </c>
      <c r="B1894" t="s">
        <v>1175</v>
      </c>
      <c r="C1894">
        <v>3</v>
      </c>
      <c r="D1894" t="s">
        <v>885</v>
      </c>
      <c r="E1894" t="s">
        <v>1196</v>
      </c>
      <c r="F1894" s="5" t="s">
        <v>25</v>
      </c>
      <c r="G1894" s="19">
        <v>2</v>
      </c>
      <c r="H1894" s="19">
        <v>5</v>
      </c>
      <c r="I1894" t="b">
        <v>1</v>
      </c>
      <c r="J1894" t="s">
        <v>1201</v>
      </c>
      <c r="K1894" t="s">
        <v>32</v>
      </c>
      <c r="Q1894" t="s">
        <v>1175</v>
      </c>
      <c r="R1894" t="s">
        <v>1175</v>
      </c>
      <c r="S1894" s="109">
        <v>4</v>
      </c>
    </row>
    <row r="1895" spans="1:19" hidden="1" x14ac:dyDescent="0.25">
      <c r="A1895" t="s">
        <v>1183</v>
      </c>
      <c r="B1895" t="s">
        <v>1175</v>
      </c>
      <c r="C1895">
        <v>3</v>
      </c>
      <c r="D1895" t="s">
        <v>392</v>
      </c>
      <c r="E1895" t="s">
        <v>529</v>
      </c>
      <c r="F1895" s="5" t="s">
        <v>24</v>
      </c>
      <c r="G1895" s="19">
        <v>15</v>
      </c>
      <c r="H1895" s="19">
        <v>25</v>
      </c>
      <c r="I1895" t="b">
        <v>1</v>
      </c>
      <c r="J1895" t="s">
        <v>847</v>
      </c>
      <c r="K1895" t="s">
        <v>32</v>
      </c>
      <c r="Q1895" t="s">
        <v>1175</v>
      </c>
      <c r="R1895" t="s">
        <v>1175</v>
      </c>
      <c r="S1895" s="109">
        <v>3</v>
      </c>
    </row>
    <row r="1896" spans="1:19" hidden="1" x14ac:dyDescent="0.25">
      <c r="A1896" t="s">
        <v>1183</v>
      </c>
      <c r="B1896" t="s">
        <v>1175</v>
      </c>
      <c r="C1896">
        <v>3</v>
      </c>
      <c r="D1896" t="s">
        <v>1188</v>
      </c>
      <c r="E1896" t="s">
        <v>1196</v>
      </c>
      <c r="F1896" s="5" t="s">
        <v>25</v>
      </c>
      <c r="G1896" s="19">
        <v>2</v>
      </c>
      <c r="H1896" s="19">
        <v>5</v>
      </c>
      <c r="I1896" t="b">
        <v>1</v>
      </c>
      <c r="J1896" t="s">
        <v>1205</v>
      </c>
      <c r="K1896" t="s">
        <v>32</v>
      </c>
      <c r="Q1896" t="s">
        <v>1175</v>
      </c>
      <c r="R1896" t="s">
        <v>1175</v>
      </c>
      <c r="S1896" s="109">
        <v>7</v>
      </c>
    </row>
    <row r="1897" spans="1:19" hidden="1" x14ac:dyDescent="0.25">
      <c r="A1897" t="s">
        <v>1183</v>
      </c>
      <c r="B1897" t="s">
        <v>1175</v>
      </c>
      <c r="C1897">
        <v>3</v>
      </c>
      <c r="D1897" t="s">
        <v>1230</v>
      </c>
      <c r="E1897" t="s">
        <v>1159</v>
      </c>
      <c r="F1897" s="5" t="s">
        <v>25</v>
      </c>
      <c r="G1897" s="19">
        <v>3</v>
      </c>
      <c r="H1897" s="19">
        <v>6</v>
      </c>
      <c r="I1897" t="b">
        <v>1</v>
      </c>
      <c r="J1897" t="s">
        <v>1231</v>
      </c>
      <c r="K1897" t="s">
        <v>32</v>
      </c>
      <c r="Q1897" t="s">
        <v>1175</v>
      </c>
      <c r="R1897" t="s">
        <v>1175</v>
      </c>
      <c r="S1897" s="109">
        <v>13</v>
      </c>
    </row>
    <row r="1898" spans="1:19" hidden="1" x14ac:dyDescent="0.25">
      <c r="A1898" t="s">
        <v>1183</v>
      </c>
      <c r="B1898" t="s">
        <v>1175</v>
      </c>
      <c r="C1898">
        <v>3</v>
      </c>
      <c r="D1898" t="s">
        <v>1190</v>
      </c>
      <c r="E1898" t="s">
        <v>1221</v>
      </c>
      <c r="F1898" s="5" t="s">
        <v>25</v>
      </c>
      <c r="G1898" s="19">
        <v>0.5</v>
      </c>
      <c r="H1898" s="19">
        <v>2</v>
      </c>
      <c r="I1898" t="b">
        <v>1</v>
      </c>
      <c r="J1898" t="s">
        <v>1211</v>
      </c>
      <c r="K1898" t="s">
        <v>32</v>
      </c>
      <c r="Q1898" t="s">
        <v>1175</v>
      </c>
      <c r="R1898" t="s">
        <v>1175</v>
      </c>
      <c r="S1898" s="109">
        <v>9</v>
      </c>
    </row>
    <row r="1899" spans="1:19" hidden="1" x14ac:dyDescent="0.25">
      <c r="A1899" t="s">
        <v>1183</v>
      </c>
      <c r="B1899" t="s">
        <v>1175</v>
      </c>
      <c r="C1899">
        <v>4</v>
      </c>
      <c r="D1899" t="s">
        <v>1184</v>
      </c>
      <c r="E1899" t="s">
        <v>1224</v>
      </c>
      <c r="F1899" s="5" t="s">
        <v>25</v>
      </c>
      <c r="G1899" s="19">
        <v>4</v>
      </c>
      <c r="H1899" s="19">
        <v>7</v>
      </c>
      <c r="I1899" t="b">
        <v>1</v>
      </c>
      <c r="J1899" t="s">
        <v>1186</v>
      </c>
      <c r="K1899" t="s">
        <v>32</v>
      </c>
      <c r="Q1899" t="s">
        <v>1175</v>
      </c>
      <c r="R1899" t="s">
        <v>1175</v>
      </c>
      <c r="S1899" s="6">
        <v>1</v>
      </c>
    </row>
    <row r="1900" spans="1:19" hidden="1" x14ac:dyDescent="0.25">
      <c r="A1900" t="s">
        <v>1183</v>
      </c>
      <c r="B1900" t="s">
        <v>1175</v>
      </c>
      <c r="C1900">
        <v>4</v>
      </c>
      <c r="D1900" t="s">
        <v>1194</v>
      </c>
      <c r="E1900" t="s">
        <v>1162</v>
      </c>
      <c r="F1900" s="5" t="s">
        <v>27</v>
      </c>
      <c r="G1900" s="19">
        <v>5</v>
      </c>
      <c r="H1900" s="19">
        <v>10</v>
      </c>
      <c r="I1900" t="b">
        <v>0</v>
      </c>
      <c r="J1900" t="s">
        <v>1203</v>
      </c>
      <c r="K1900" t="s">
        <v>32</v>
      </c>
      <c r="Q1900" t="s">
        <v>1175</v>
      </c>
      <c r="R1900" t="s">
        <v>1175</v>
      </c>
      <c r="S1900" s="109">
        <v>2</v>
      </c>
    </row>
    <row r="1901" spans="1:19" hidden="1" x14ac:dyDescent="0.25">
      <c r="A1901" t="s">
        <v>1183</v>
      </c>
      <c r="B1901" t="s">
        <v>1175</v>
      </c>
      <c r="C1901">
        <v>4</v>
      </c>
      <c r="D1901" t="s">
        <v>1193</v>
      </c>
      <c r="E1901" t="s">
        <v>1234</v>
      </c>
      <c r="F1901" s="5" t="s">
        <v>27</v>
      </c>
      <c r="G1901" s="19">
        <v>1</v>
      </c>
      <c r="H1901" s="19">
        <v>4</v>
      </c>
      <c r="I1901" t="b">
        <v>0</v>
      </c>
      <c r="J1901" t="s">
        <v>1233</v>
      </c>
      <c r="K1901" t="s">
        <v>32</v>
      </c>
      <c r="Q1901" t="s">
        <v>1175</v>
      </c>
      <c r="R1901" t="s">
        <v>1175</v>
      </c>
      <c r="S1901" s="109">
        <v>5</v>
      </c>
    </row>
    <row r="1902" spans="1:19" hidden="1" x14ac:dyDescent="0.25">
      <c r="A1902" t="s">
        <v>1183</v>
      </c>
      <c r="B1902" t="s">
        <v>1175</v>
      </c>
      <c r="C1902">
        <v>4</v>
      </c>
      <c r="D1902" t="s">
        <v>885</v>
      </c>
      <c r="E1902" t="s">
        <v>1221</v>
      </c>
      <c r="F1902" s="5" t="s">
        <v>25</v>
      </c>
      <c r="G1902" s="19">
        <v>0.5</v>
      </c>
      <c r="H1902" s="19">
        <v>2</v>
      </c>
      <c r="I1902" t="b">
        <v>1</v>
      </c>
      <c r="J1902" t="s">
        <v>1201</v>
      </c>
      <c r="K1902" t="s">
        <v>32</v>
      </c>
      <c r="Q1902" t="s">
        <v>1175</v>
      </c>
      <c r="R1902" t="s">
        <v>1175</v>
      </c>
      <c r="S1902" s="109">
        <v>4</v>
      </c>
    </row>
    <row r="1903" spans="1:19" hidden="1" x14ac:dyDescent="0.25">
      <c r="A1903" t="s">
        <v>1183</v>
      </c>
      <c r="B1903" t="s">
        <v>1175</v>
      </c>
      <c r="C1903">
        <v>4</v>
      </c>
      <c r="D1903" t="s">
        <v>392</v>
      </c>
      <c r="E1903" t="s">
        <v>536</v>
      </c>
      <c r="F1903" s="5" t="s">
        <v>24</v>
      </c>
      <c r="G1903" s="19">
        <v>1</v>
      </c>
      <c r="H1903" s="19">
        <v>5</v>
      </c>
      <c r="I1903" t="b">
        <v>1</v>
      </c>
      <c r="J1903" t="s">
        <v>847</v>
      </c>
      <c r="K1903" t="s">
        <v>32</v>
      </c>
      <c r="Q1903" t="s">
        <v>1175</v>
      </c>
      <c r="R1903" t="s">
        <v>1175</v>
      </c>
      <c r="S1903" s="109">
        <v>3</v>
      </c>
    </row>
    <row r="1904" spans="1:19" hidden="1" x14ac:dyDescent="0.25">
      <c r="A1904" t="s">
        <v>1183</v>
      </c>
      <c r="B1904" t="s">
        <v>1175</v>
      </c>
      <c r="C1904">
        <v>4</v>
      </c>
      <c r="D1904" t="s">
        <v>1188</v>
      </c>
      <c r="E1904" t="s">
        <v>1195</v>
      </c>
      <c r="F1904" s="5" t="s">
        <v>25</v>
      </c>
      <c r="G1904" s="19">
        <v>1</v>
      </c>
      <c r="H1904" s="19">
        <v>2</v>
      </c>
      <c r="I1904" t="b">
        <v>1</v>
      </c>
      <c r="J1904" t="s">
        <v>1205</v>
      </c>
      <c r="K1904" t="s">
        <v>32</v>
      </c>
      <c r="Q1904" t="s">
        <v>1175</v>
      </c>
      <c r="R1904" t="s">
        <v>1175</v>
      </c>
      <c r="S1904" s="109">
        <v>7</v>
      </c>
    </row>
    <row r="1905" spans="1:19" hidden="1" x14ac:dyDescent="0.25">
      <c r="A1905" t="s">
        <v>1183</v>
      </c>
      <c r="B1905" t="s">
        <v>1175</v>
      </c>
      <c r="C1905">
        <v>4</v>
      </c>
      <c r="D1905" t="s">
        <v>1230</v>
      </c>
      <c r="E1905" t="s">
        <v>1145</v>
      </c>
      <c r="F1905" s="5" t="s">
        <v>25</v>
      </c>
      <c r="G1905" s="19">
        <v>0</v>
      </c>
      <c r="H1905" s="19">
        <v>3</v>
      </c>
      <c r="I1905" t="b">
        <v>1</v>
      </c>
      <c r="J1905" t="s">
        <v>1231</v>
      </c>
      <c r="K1905" t="s">
        <v>32</v>
      </c>
      <c r="Q1905" t="s">
        <v>1175</v>
      </c>
      <c r="R1905" t="s">
        <v>1175</v>
      </c>
      <c r="S1905" s="109">
        <v>13</v>
      </c>
    </row>
    <row r="1906" spans="1:19" hidden="1" x14ac:dyDescent="0.25">
      <c r="A1906" t="s">
        <v>1183</v>
      </c>
      <c r="B1906" t="s">
        <v>1175</v>
      </c>
      <c r="C1906">
        <v>4</v>
      </c>
      <c r="D1906" t="s">
        <v>1190</v>
      </c>
      <c r="E1906" t="s">
        <v>1143</v>
      </c>
      <c r="F1906" s="5" t="s">
        <v>25</v>
      </c>
      <c r="G1906" s="19">
        <v>0</v>
      </c>
      <c r="H1906" s="19">
        <v>1</v>
      </c>
      <c r="I1906" t="b">
        <v>1</v>
      </c>
      <c r="J1906" t="s">
        <v>1211</v>
      </c>
      <c r="K1906" t="s">
        <v>32</v>
      </c>
      <c r="Q1906" t="s">
        <v>1175</v>
      </c>
      <c r="R1906" t="s">
        <v>1175</v>
      </c>
      <c r="S1906" s="109">
        <v>9</v>
      </c>
    </row>
    <row r="1907" spans="1:19" hidden="1" x14ac:dyDescent="0.25">
      <c r="A1907" t="s">
        <v>1183</v>
      </c>
      <c r="B1907" t="s">
        <v>1175</v>
      </c>
      <c r="C1907">
        <v>5</v>
      </c>
      <c r="D1907" t="s">
        <v>1184</v>
      </c>
      <c r="E1907" t="s">
        <v>1144</v>
      </c>
      <c r="F1907" s="5" t="s">
        <v>25</v>
      </c>
      <c r="G1907" s="19">
        <v>1</v>
      </c>
      <c r="H1907" s="19">
        <v>4</v>
      </c>
      <c r="I1907" t="b">
        <v>1</v>
      </c>
      <c r="J1907" t="s">
        <v>1186</v>
      </c>
      <c r="K1907" t="s">
        <v>32</v>
      </c>
      <c r="Q1907" t="s">
        <v>1175</v>
      </c>
      <c r="R1907" t="s">
        <v>1175</v>
      </c>
      <c r="S1907" s="6">
        <v>1</v>
      </c>
    </row>
    <row r="1908" spans="1:19" hidden="1" x14ac:dyDescent="0.25">
      <c r="A1908" t="s">
        <v>1183</v>
      </c>
      <c r="B1908" t="s">
        <v>1175</v>
      </c>
      <c r="C1908">
        <v>5</v>
      </c>
      <c r="D1908" t="s">
        <v>1194</v>
      </c>
      <c r="E1908" t="s">
        <v>1248</v>
      </c>
      <c r="F1908" s="5" t="s">
        <v>26</v>
      </c>
      <c r="G1908" s="19">
        <v>15</v>
      </c>
      <c r="H1908" s="19">
        <v>25</v>
      </c>
      <c r="I1908" t="b">
        <v>0</v>
      </c>
      <c r="J1908" t="s">
        <v>1203</v>
      </c>
      <c r="K1908" t="s">
        <v>32</v>
      </c>
      <c r="Q1908" t="s">
        <v>1175</v>
      </c>
      <c r="R1908" t="s">
        <v>1175</v>
      </c>
      <c r="S1908" s="109">
        <v>2</v>
      </c>
    </row>
    <row r="1909" spans="1:19" hidden="1" x14ac:dyDescent="0.25">
      <c r="A1909" t="s">
        <v>1183</v>
      </c>
      <c r="B1909" t="s">
        <v>1175</v>
      </c>
      <c r="C1909">
        <v>5</v>
      </c>
      <c r="D1909" t="s">
        <v>885</v>
      </c>
      <c r="E1909" t="s">
        <v>1143</v>
      </c>
      <c r="F1909" s="5" t="s">
        <v>25</v>
      </c>
      <c r="G1909" s="19">
        <v>0</v>
      </c>
      <c r="H1909" s="19">
        <v>1</v>
      </c>
      <c r="I1909" t="b">
        <v>1</v>
      </c>
      <c r="J1909" t="s">
        <v>1201</v>
      </c>
      <c r="K1909" t="s">
        <v>32</v>
      </c>
      <c r="Q1909" t="s">
        <v>1175</v>
      </c>
      <c r="R1909" t="s">
        <v>1175</v>
      </c>
      <c r="S1909" s="109">
        <v>4</v>
      </c>
    </row>
    <row r="1910" spans="1:19" hidden="1" x14ac:dyDescent="0.25">
      <c r="A1910" t="s">
        <v>1183</v>
      </c>
      <c r="B1910" t="s">
        <v>1175</v>
      </c>
      <c r="C1910">
        <v>5</v>
      </c>
      <c r="D1910" t="s">
        <v>392</v>
      </c>
      <c r="E1910" t="s">
        <v>1143</v>
      </c>
      <c r="F1910" s="5" t="s">
        <v>25</v>
      </c>
      <c r="G1910" s="19">
        <v>0</v>
      </c>
      <c r="H1910" s="19">
        <v>1</v>
      </c>
      <c r="I1910" t="b">
        <v>1</v>
      </c>
      <c r="J1910" t="s">
        <v>847</v>
      </c>
      <c r="K1910" t="s">
        <v>32</v>
      </c>
      <c r="Q1910" t="s">
        <v>1175</v>
      </c>
      <c r="R1910" t="s">
        <v>1175</v>
      </c>
      <c r="S1910" s="109">
        <v>3</v>
      </c>
    </row>
    <row r="1911" spans="1:19" hidden="1" x14ac:dyDescent="0.25">
      <c r="A1911" t="s">
        <v>1183</v>
      </c>
      <c r="B1911" t="s">
        <v>1174</v>
      </c>
      <c r="C1911">
        <v>2</v>
      </c>
      <c r="D1911" t="s">
        <v>1184</v>
      </c>
      <c r="E1911" t="s">
        <v>1235</v>
      </c>
      <c r="F1911" s="5" t="s">
        <v>25</v>
      </c>
      <c r="G1911" s="19">
        <v>9</v>
      </c>
      <c r="H1911" s="19">
        <v>12</v>
      </c>
      <c r="I1911" t="b">
        <v>1</v>
      </c>
      <c r="J1911" t="s">
        <v>1186</v>
      </c>
      <c r="K1911" t="s">
        <v>32</v>
      </c>
      <c r="Q1911" t="s">
        <v>1174</v>
      </c>
      <c r="R1911" t="s">
        <v>1174</v>
      </c>
      <c r="S1911" s="6">
        <v>1</v>
      </c>
    </row>
    <row r="1912" spans="1:19" hidden="1" x14ac:dyDescent="0.25">
      <c r="A1912" t="s">
        <v>1183</v>
      </c>
      <c r="B1912" t="s">
        <v>1174</v>
      </c>
      <c r="C1912">
        <v>2</v>
      </c>
      <c r="D1912" t="s">
        <v>885</v>
      </c>
      <c r="E1912" t="s">
        <v>1200</v>
      </c>
      <c r="F1912" s="5" t="s">
        <v>25</v>
      </c>
      <c r="G1912" s="19">
        <v>5</v>
      </c>
      <c r="H1912" s="19">
        <v>8</v>
      </c>
      <c r="I1912" t="b">
        <v>1</v>
      </c>
      <c r="J1912" t="s">
        <v>1201</v>
      </c>
      <c r="K1912" t="s">
        <v>32</v>
      </c>
      <c r="Q1912" t="s">
        <v>1174</v>
      </c>
      <c r="R1912" t="s">
        <v>1174</v>
      </c>
      <c r="S1912" s="109">
        <v>4</v>
      </c>
    </row>
    <row r="1913" spans="1:19" hidden="1" x14ac:dyDescent="0.25">
      <c r="A1913" t="s">
        <v>1183</v>
      </c>
      <c r="B1913" t="s">
        <v>1174</v>
      </c>
      <c r="C1913">
        <v>2</v>
      </c>
      <c r="D1913" t="s">
        <v>392</v>
      </c>
      <c r="E1913" t="s">
        <v>1253</v>
      </c>
      <c r="F1913" s="5" t="s">
        <v>24</v>
      </c>
      <c r="G1913" s="19">
        <v>50</v>
      </c>
      <c r="H1913" s="19">
        <v>60</v>
      </c>
      <c r="I1913" t="b">
        <v>1</v>
      </c>
      <c r="J1913" t="s">
        <v>847</v>
      </c>
      <c r="K1913" t="s">
        <v>32</v>
      </c>
      <c r="Q1913" t="s">
        <v>1174</v>
      </c>
      <c r="R1913" t="s">
        <v>1174</v>
      </c>
      <c r="S1913" s="109">
        <v>3</v>
      </c>
    </row>
    <row r="1914" spans="1:19" hidden="1" x14ac:dyDescent="0.25">
      <c r="A1914" t="s">
        <v>1183</v>
      </c>
      <c r="B1914" t="s">
        <v>1174</v>
      </c>
      <c r="C1914">
        <v>2</v>
      </c>
      <c r="D1914" t="s">
        <v>1194</v>
      </c>
      <c r="E1914" t="s">
        <v>1229</v>
      </c>
      <c r="F1914" s="5" t="s">
        <v>27</v>
      </c>
      <c r="G1914" s="19">
        <v>0</v>
      </c>
      <c r="H1914" s="19">
        <v>0.1</v>
      </c>
      <c r="I1914" t="b">
        <v>0</v>
      </c>
      <c r="J1914" t="s">
        <v>1203</v>
      </c>
      <c r="K1914" t="s">
        <v>32</v>
      </c>
      <c r="Q1914" t="s">
        <v>1174</v>
      </c>
      <c r="R1914" t="s">
        <v>1174</v>
      </c>
      <c r="S1914" s="109">
        <v>2</v>
      </c>
    </row>
    <row r="1915" spans="1:19" hidden="1" x14ac:dyDescent="0.25">
      <c r="A1915" t="s">
        <v>1183</v>
      </c>
      <c r="B1915" t="s">
        <v>1174</v>
      </c>
      <c r="C1915">
        <v>2</v>
      </c>
      <c r="D1915" t="s">
        <v>1188</v>
      </c>
      <c r="E1915" t="s">
        <v>1204</v>
      </c>
      <c r="F1915" s="5" t="s">
        <v>25</v>
      </c>
      <c r="G1915" s="19">
        <v>6</v>
      </c>
      <c r="H1915" s="19">
        <v>9</v>
      </c>
      <c r="I1915" t="b">
        <v>1</v>
      </c>
      <c r="J1915" t="s">
        <v>1205</v>
      </c>
      <c r="K1915" t="s">
        <v>32</v>
      </c>
      <c r="Q1915" t="s">
        <v>1174</v>
      </c>
      <c r="R1915" t="s">
        <v>1174</v>
      </c>
      <c r="S1915" s="109">
        <v>7</v>
      </c>
    </row>
    <row r="1916" spans="1:19" hidden="1" x14ac:dyDescent="0.25">
      <c r="A1916" t="s">
        <v>1183</v>
      </c>
      <c r="B1916" t="s">
        <v>1174</v>
      </c>
      <c r="C1916">
        <v>2</v>
      </c>
      <c r="D1916" t="s">
        <v>1187</v>
      </c>
      <c r="E1916" t="s">
        <v>536</v>
      </c>
      <c r="F1916" s="5" t="s">
        <v>24</v>
      </c>
      <c r="G1916" s="19">
        <v>1</v>
      </c>
      <c r="H1916" s="19">
        <v>5</v>
      </c>
      <c r="I1916" t="b">
        <v>1</v>
      </c>
      <c r="J1916" t="s">
        <v>1206</v>
      </c>
      <c r="K1916" t="s">
        <v>32</v>
      </c>
      <c r="Q1916" t="s">
        <v>1174</v>
      </c>
      <c r="R1916" t="s">
        <v>1174</v>
      </c>
      <c r="S1916" s="109">
        <v>8</v>
      </c>
    </row>
    <row r="1917" spans="1:19" hidden="1" x14ac:dyDescent="0.25">
      <c r="A1917" t="s">
        <v>1183</v>
      </c>
      <c r="B1917" t="s">
        <v>1174</v>
      </c>
      <c r="C1917">
        <v>2</v>
      </c>
      <c r="D1917" t="s">
        <v>1190</v>
      </c>
      <c r="E1917" t="s">
        <v>1210</v>
      </c>
      <c r="F1917" s="5" t="s">
        <v>25</v>
      </c>
      <c r="G1917" s="19">
        <v>4.5</v>
      </c>
      <c r="H1917" s="19">
        <v>6</v>
      </c>
      <c r="I1917" t="b">
        <v>1</v>
      </c>
      <c r="J1917" t="s">
        <v>1211</v>
      </c>
      <c r="K1917" t="s">
        <v>32</v>
      </c>
      <c r="Q1917" t="s">
        <v>1174</v>
      </c>
      <c r="R1917" t="s">
        <v>1174</v>
      </c>
      <c r="S1917" s="109">
        <v>9</v>
      </c>
    </row>
    <row r="1918" spans="1:19" hidden="1" x14ac:dyDescent="0.25">
      <c r="A1918" t="s">
        <v>1183</v>
      </c>
      <c r="B1918" t="s">
        <v>1174</v>
      </c>
      <c r="C1918">
        <v>2</v>
      </c>
      <c r="D1918" t="s">
        <v>1192</v>
      </c>
      <c r="E1918" t="s">
        <v>1143</v>
      </c>
      <c r="F1918" s="5" t="s">
        <v>25</v>
      </c>
      <c r="G1918" s="19">
        <v>0</v>
      </c>
      <c r="H1918" s="19">
        <v>1</v>
      </c>
      <c r="I1918" t="b">
        <v>1</v>
      </c>
      <c r="J1918" t="s">
        <v>1212</v>
      </c>
      <c r="K1918" t="s">
        <v>32</v>
      </c>
      <c r="Q1918" t="s">
        <v>1174</v>
      </c>
      <c r="R1918" t="s">
        <v>1174</v>
      </c>
      <c r="S1918" s="109">
        <v>10</v>
      </c>
    </row>
    <row r="1919" spans="1:19" hidden="1" x14ac:dyDescent="0.25">
      <c r="A1919" t="s">
        <v>1183</v>
      </c>
      <c r="B1919" t="s">
        <v>1174</v>
      </c>
      <c r="C1919">
        <v>2</v>
      </c>
      <c r="D1919" t="s">
        <v>1213</v>
      </c>
      <c r="E1919" t="s">
        <v>545</v>
      </c>
      <c r="F1919" s="5" t="s">
        <v>24</v>
      </c>
      <c r="G1919" s="19">
        <v>40</v>
      </c>
      <c r="H1919" s="19">
        <v>50</v>
      </c>
      <c r="I1919" t="b">
        <v>1</v>
      </c>
      <c r="J1919" t="s">
        <v>1214</v>
      </c>
      <c r="K1919" t="s">
        <v>32</v>
      </c>
      <c r="Q1919" t="s">
        <v>1174</v>
      </c>
      <c r="R1919" t="s">
        <v>1174</v>
      </c>
      <c r="S1919" s="109">
        <v>15</v>
      </c>
    </row>
    <row r="1920" spans="1:19" hidden="1" x14ac:dyDescent="0.25">
      <c r="A1920" t="s">
        <v>1183</v>
      </c>
      <c r="B1920" t="s">
        <v>1174</v>
      </c>
      <c r="C1920">
        <v>3</v>
      </c>
      <c r="D1920" t="s">
        <v>1184</v>
      </c>
      <c r="E1920" t="s">
        <v>1204</v>
      </c>
      <c r="F1920" s="5" t="s">
        <v>25</v>
      </c>
      <c r="G1920" s="19">
        <v>6</v>
      </c>
      <c r="H1920" s="19">
        <v>9</v>
      </c>
      <c r="I1920" t="b">
        <v>1</v>
      </c>
      <c r="J1920" t="s">
        <v>1186</v>
      </c>
      <c r="K1920" t="s">
        <v>32</v>
      </c>
      <c r="Q1920" t="s">
        <v>1174</v>
      </c>
      <c r="R1920" t="s">
        <v>1174</v>
      </c>
      <c r="S1920" s="6">
        <v>1</v>
      </c>
    </row>
    <row r="1921" spans="1:19" hidden="1" x14ac:dyDescent="0.25">
      <c r="A1921" t="s">
        <v>1183</v>
      </c>
      <c r="B1921" t="s">
        <v>1174</v>
      </c>
      <c r="C1921">
        <v>3</v>
      </c>
      <c r="D1921" t="s">
        <v>885</v>
      </c>
      <c r="E1921" t="s">
        <v>1196</v>
      </c>
      <c r="F1921" s="5" t="s">
        <v>25</v>
      </c>
      <c r="G1921" s="19">
        <v>2</v>
      </c>
      <c r="H1921" s="19">
        <v>5</v>
      </c>
      <c r="I1921" t="b">
        <v>1</v>
      </c>
      <c r="J1921" t="s">
        <v>1201</v>
      </c>
      <c r="K1921" t="s">
        <v>32</v>
      </c>
      <c r="Q1921" t="s">
        <v>1174</v>
      </c>
      <c r="R1921" t="s">
        <v>1174</v>
      </c>
      <c r="S1921" s="109">
        <v>4</v>
      </c>
    </row>
    <row r="1922" spans="1:19" hidden="1" x14ac:dyDescent="0.25">
      <c r="A1922" t="s">
        <v>1183</v>
      </c>
      <c r="B1922" t="s">
        <v>1174</v>
      </c>
      <c r="C1922">
        <v>3</v>
      </c>
      <c r="D1922" t="s">
        <v>1193</v>
      </c>
      <c r="E1922" t="s">
        <v>1229</v>
      </c>
      <c r="F1922" s="5" t="s">
        <v>27</v>
      </c>
      <c r="G1922" s="19">
        <v>0</v>
      </c>
      <c r="H1922" s="19">
        <v>0.1</v>
      </c>
      <c r="I1922" t="b">
        <v>0</v>
      </c>
      <c r="J1922" t="s">
        <v>1233</v>
      </c>
      <c r="K1922" t="s">
        <v>32</v>
      </c>
      <c r="Q1922" t="s">
        <v>1174</v>
      </c>
      <c r="R1922" t="s">
        <v>1174</v>
      </c>
      <c r="S1922" s="109">
        <v>5</v>
      </c>
    </row>
    <row r="1923" spans="1:19" hidden="1" x14ac:dyDescent="0.25">
      <c r="A1923" t="s">
        <v>1183</v>
      </c>
      <c r="B1923" t="s">
        <v>1174</v>
      </c>
      <c r="C1923">
        <v>3</v>
      </c>
      <c r="D1923" t="s">
        <v>1188</v>
      </c>
      <c r="E1923" t="s">
        <v>1159</v>
      </c>
      <c r="F1923" s="5" t="s">
        <v>25</v>
      </c>
      <c r="G1923" s="19">
        <v>3</v>
      </c>
      <c r="H1923" s="19">
        <v>6</v>
      </c>
      <c r="I1923" t="b">
        <v>1</v>
      </c>
      <c r="J1923" t="s">
        <v>1205</v>
      </c>
      <c r="K1923" t="s">
        <v>32</v>
      </c>
      <c r="Q1923" t="s">
        <v>1174</v>
      </c>
      <c r="R1923" t="s">
        <v>1174</v>
      </c>
      <c r="S1923" s="109">
        <v>7</v>
      </c>
    </row>
    <row r="1924" spans="1:19" hidden="1" x14ac:dyDescent="0.25">
      <c r="A1924" t="s">
        <v>1183</v>
      </c>
      <c r="B1924" t="s">
        <v>1174</v>
      </c>
      <c r="C1924">
        <v>3</v>
      </c>
      <c r="D1924" t="s">
        <v>1187</v>
      </c>
      <c r="E1924" t="s">
        <v>1143</v>
      </c>
      <c r="F1924" s="5" t="s">
        <v>25</v>
      </c>
      <c r="G1924" s="19">
        <v>0</v>
      </c>
      <c r="H1924" s="19">
        <v>1</v>
      </c>
      <c r="I1924" t="b">
        <v>1</v>
      </c>
      <c r="J1924" t="s">
        <v>1206</v>
      </c>
      <c r="K1924" t="s">
        <v>32</v>
      </c>
      <c r="Q1924" t="s">
        <v>1174</v>
      </c>
      <c r="R1924" t="s">
        <v>1174</v>
      </c>
      <c r="S1924" s="109">
        <v>8</v>
      </c>
    </row>
    <row r="1925" spans="1:19" hidden="1" x14ac:dyDescent="0.25">
      <c r="A1925" t="s">
        <v>1183</v>
      </c>
      <c r="B1925" t="s">
        <v>1174</v>
      </c>
      <c r="C1925">
        <v>3</v>
      </c>
      <c r="D1925" t="s">
        <v>1190</v>
      </c>
      <c r="E1925" t="s">
        <v>1220</v>
      </c>
      <c r="F1925" s="5" t="s">
        <v>25</v>
      </c>
      <c r="G1925" s="19">
        <v>2.5</v>
      </c>
      <c r="H1925" s="19">
        <v>4</v>
      </c>
      <c r="I1925" t="b">
        <v>1</v>
      </c>
      <c r="J1925" t="s">
        <v>1211</v>
      </c>
      <c r="K1925" t="s">
        <v>32</v>
      </c>
      <c r="Q1925" t="s">
        <v>1174</v>
      </c>
      <c r="R1925" t="s">
        <v>1174</v>
      </c>
      <c r="S1925" s="109">
        <v>9</v>
      </c>
    </row>
    <row r="1926" spans="1:19" hidden="1" x14ac:dyDescent="0.25">
      <c r="A1926" t="s">
        <v>1183</v>
      </c>
      <c r="B1926" t="s">
        <v>1174</v>
      </c>
      <c r="C1926">
        <v>3</v>
      </c>
      <c r="D1926" t="s">
        <v>1192</v>
      </c>
      <c r="E1926" t="s">
        <v>1143</v>
      </c>
      <c r="F1926" s="5" t="s">
        <v>25</v>
      </c>
      <c r="G1926" s="19">
        <v>0</v>
      </c>
      <c r="H1926" s="19">
        <v>1</v>
      </c>
      <c r="I1926" t="b">
        <v>1</v>
      </c>
      <c r="J1926" t="s">
        <v>1212</v>
      </c>
      <c r="K1926" t="s">
        <v>32</v>
      </c>
      <c r="Q1926" t="s">
        <v>1174</v>
      </c>
      <c r="R1926" t="s">
        <v>1174</v>
      </c>
      <c r="S1926" s="109">
        <v>10</v>
      </c>
    </row>
    <row r="1927" spans="1:19" hidden="1" x14ac:dyDescent="0.25">
      <c r="A1927" t="s">
        <v>1183</v>
      </c>
      <c r="B1927" t="s">
        <v>1174</v>
      </c>
      <c r="C1927">
        <v>3</v>
      </c>
      <c r="D1927" t="s">
        <v>392</v>
      </c>
      <c r="E1927" t="s">
        <v>545</v>
      </c>
      <c r="F1927" s="5" t="s">
        <v>24</v>
      </c>
      <c r="G1927" s="19">
        <v>40</v>
      </c>
      <c r="H1927" s="19">
        <v>50</v>
      </c>
      <c r="I1927" t="b">
        <v>1</v>
      </c>
      <c r="J1927" t="s">
        <v>847</v>
      </c>
      <c r="K1927" t="s">
        <v>32</v>
      </c>
      <c r="Q1927" t="s">
        <v>1174</v>
      </c>
      <c r="R1927" t="s">
        <v>1174</v>
      </c>
      <c r="S1927" s="109">
        <v>3</v>
      </c>
    </row>
    <row r="1928" spans="1:19" hidden="1" x14ac:dyDescent="0.25">
      <c r="A1928" t="s">
        <v>1183</v>
      </c>
      <c r="B1928" t="s">
        <v>1174</v>
      </c>
      <c r="C1928">
        <v>3</v>
      </c>
      <c r="D1928" t="s">
        <v>1194</v>
      </c>
      <c r="E1928" t="s">
        <v>1236</v>
      </c>
      <c r="F1928" s="5" t="s">
        <v>27</v>
      </c>
      <c r="G1928" s="19">
        <v>1</v>
      </c>
      <c r="H1928" s="19">
        <v>10</v>
      </c>
      <c r="I1928" t="b">
        <v>0</v>
      </c>
      <c r="J1928" t="s">
        <v>1203</v>
      </c>
      <c r="K1928" t="s">
        <v>32</v>
      </c>
      <c r="Q1928" t="s">
        <v>1174</v>
      </c>
      <c r="R1928" t="s">
        <v>1174</v>
      </c>
      <c r="S1928" s="109">
        <v>2</v>
      </c>
    </row>
    <row r="1929" spans="1:19" hidden="1" x14ac:dyDescent="0.25">
      <c r="A1929" t="s">
        <v>1183</v>
      </c>
      <c r="B1929" t="s">
        <v>1174</v>
      </c>
      <c r="C1929">
        <v>3</v>
      </c>
      <c r="D1929" t="s">
        <v>1213</v>
      </c>
      <c r="E1929" t="s">
        <v>551</v>
      </c>
      <c r="F1929" s="5" t="s">
        <v>24</v>
      </c>
      <c r="G1929" s="19">
        <v>30</v>
      </c>
      <c r="H1929" s="19">
        <v>40</v>
      </c>
      <c r="I1929" t="b">
        <v>1</v>
      </c>
      <c r="J1929" t="s">
        <v>1214</v>
      </c>
      <c r="K1929" t="s">
        <v>32</v>
      </c>
      <c r="Q1929" t="s">
        <v>1174</v>
      </c>
      <c r="R1929" t="s">
        <v>1174</v>
      </c>
      <c r="S1929" s="109">
        <v>15</v>
      </c>
    </row>
    <row r="1930" spans="1:19" hidden="1" x14ac:dyDescent="0.25">
      <c r="A1930" t="s">
        <v>1183</v>
      </c>
      <c r="B1930" t="s">
        <v>1174</v>
      </c>
      <c r="C1930">
        <v>4</v>
      </c>
      <c r="D1930" t="s">
        <v>1184</v>
      </c>
      <c r="E1930" t="s">
        <v>1159</v>
      </c>
      <c r="F1930" s="5" t="s">
        <v>25</v>
      </c>
      <c r="G1930" s="19">
        <v>3</v>
      </c>
      <c r="H1930" s="19">
        <v>6</v>
      </c>
      <c r="I1930" t="b">
        <v>1</v>
      </c>
      <c r="J1930" t="s">
        <v>1186</v>
      </c>
      <c r="K1930" t="s">
        <v>32</v>
      </c>
      <c r="Q1930" t="s">
        <v>1174</v>
      </c>
      <c r="R1930" t="s">
        <v>1174</v>
      </c>
      <c r="S1930" s="6">
        <v>1</v>
      </c>
    </row>
    <row r="1931" spans="1:19" hidden="1" x14ac:dyDescent="0.25">
      <c r="A1931" t="s">
        <v>1183</v>
      </c>
      <c r="B1931" t="s">
        <v>1174</v>
      </c>
      <c r="C1931">
        <v>4</v>
      </c>
      <c r="D1931" t="s">
        <v>885</v>
      </c>
      <c r="E1931" t="s">
        <v>1221</v>
      </c>
      <c r="F1931" s="5" t="s">
        <v>25</v>
      </c>
      <c r="G1931" s="19">
        <v>0.5</v>
      </c>
      <c r="H1931" s="19">
        <v>2</v>
      </c>
      <c r="I1931" t="b">
        <v>1</v>
      </c>
      <c r="J1931" t="s">
        <v>1201</v>
      </c>
      <c r="K1931" t="s">
        <v>32</v>
      </c>
      <c r="Q1931" t="s">
        <v>1174</v>
      </c>
      <c r="R1931" t="s">
        <v>1174</v>
      </c>
      <c r="S1931" s="109">
        <v>4</v>
      </c>
    </row>
    <row r="1932" spans="1:19" hidden="1" x14ac:dyDescent="0.25">
      <c r="A1932" t="s">
        <v>1183</v>
      </c>
      <c r="B1932" t="s">
        <v>1174</v>
      </c>
      <c r="C1932">
        <v>4</v>
      </c>
      <c r="D1932" t="s">
        <v>1188</v>
      </c>
      <c r="E1932" t="s">
        <v>1145</v>
      </c>
      <c r="F1932" s="5" t="s">
        <v>25</v>
      </c>
      <c r="G1932" s="19">
        <v>0</v>
      </c>
      <c r="H1932" s="19">
        <v>3</v>
      </c>
      <c r="I1932" t="b">
        <v>1</v>
      </c>
      <c r="J1932" t="s">
        <v>1205</v>
      </c>
      <c r="K1932" t="s">
        <v>32</v>
      </c>
      <c r="Q1932" t="s">
        <v>1174</v>
      </c>
      <c r="R1932" t="s">
        <v>1174</v>
      </c>
      <c r="S1932" s="109">
        <v>7</v>
      </c>
    </row>
    <row r="1933" spans="1:19" hidden="1" x14ac:dyDescent="0.25">
      <c r="A1933" t="s">
        <v>1183</v>
      </c>
      <c r="B1933" t="s">
        <v>1174</v>
      </c>
      <c r="C1933">
        <v>4</v>
      </c>
      <c r="D1933" t="s">
        <v>1190</v>
      </c>
      <c r="E1933" t="s">
        <v>1237</v>
      </c>
      <c r="F1933" s="5" t="s">
        <v>25</v>
      </c>
      <c r="G1933" s="19">
        <v>0</v>
      </c>
      <c r="H1933" s="19">
        <v>1.5</v>
      </c>
      <c r="I1933" t="b">
        <v>1</v>
      </c>
      <c r="J1933" t="s">
        <v>1211</v>
      </c>
      <c r="K1933" t="s">
        <v>32</v>
      </c>
      <c r="Q1933" t="s">
        <v>1174</v>
      </c>
      <c r="R1933" t="s">
        <v>1174</v>
      </c>
      <c r="S1933" s="109">
        <v>9</v>
      </c>
    </row>
    <row r="1934" spans="1:19" hidden="1" x14ac:dyDescent="0.25">
      <c r="A1934" t="s">
        <v>1183</v>
      </c>
      <c r="B1934" t="s">
        <v>1174</v>
      </c>
      <c r="C1934">
        <v>4</v>
      </c>
      <c r="D1934" t="s">
        <v>392</v>
      </c>
      <c r="E1934" t="s">
        <v>529</v>
      </c>
      <c r="F1934" s="5" t="s">
        <v>24</v>
      </c>
      <c r="G1934" s="19">
        <v>15</v>
      </c>
      <c r="H1934" s="19">
        <v>25</v>
      </c>
      <c r="I1934" t="b">
        <v>1</v>
      </c>
      <c r="J1934" t="s">
        <v>847</v>
      </c>
      <c r="K1934" t="s">
        <v>32</v>
      </c>
      <c r="Q1934" t="s">
        <v>1174</v>
      </c>
      <c r="R1934" t="s">
        <v>1174</v>
      </c>
      <c r="S1934" s="109">
        <v>3</v>
      </c>
    </row>
    <row r="1935" spans="1:19" hidden="1" x14ac:dyDescent="0.25">
      <c r="A1935" t="s">
        <v>1183</v>
      </c>
      <c r="B1935" t="s">
        <v>1174</v>
      </c>
      <c r="C1935">
        <v>4</v>
      </c>
      <c r="D1935" t="s">
        <v>1194</v>
      </c>
      <c r="E1935" t="s">
        <v>1245</v>
      </c>
      <c r="F1935" s="5" t="s">
        <v>26</v>
      </c>
      <c r="G1935" s="19">
        <v>10</v>
      </c>
      <c r="H1935" s="19">
        <v>20</v>
      </c>
      <c r="I1935" t="b">
        <v>0</v>
      </c>
      <c r="J1935" t="s">
        <v>1203</v>
      </c>
      <c r="K1935" t="s">
        <v>32</v>
      </c>
      <c r="Q1935" t="s">
        <v>1174</v>
      </c>
      <c r="R1935" t="s">
        <v>1174</v>
      </c>
      <c r="S1935" s="109">
        <v>2</v>
      </c>
    </row>
    <row r="1936" spans="1:19" hidden="1" x14ac:dyDescent="0.25">
      <c r="A1936" t="s">
        <v>1183</v>
      </c>
      <c r="B1936" t="s">
        <v>1174</v>
      </c>
      <c r="C1936">
        <v>4</v>
      </c>
      <c r="D1936" t="s">
        <v>1193</v>
      </c>
      <c r="E1936" t="s">
        <v>1238</v>
      </c>
      <c r="F1936" s="5" t="s">
        <v>27</v>
      </c>
      <c r="G1936" s="19">
        <v>0.1</v>
      </c>
      <c r="H1936" s="19">
        <v>3</v>
      </c>
      <c r="I1936" t="b">
        <v>0</v>
      </c>
      <c r="J1936" t="s">
        <v>1233</v>
      </c>
      <c r="K1936" t="s">
        <v>32</v>
      </c>
      <c r="Q1936" t="s">
        <v>1174</v>
      </c>
      <c r="R1936" t="s">
        <v>1174</v>
      </c>
      <c r="S1936" s="109">
        <v>5</v>
      </c>
    </row>
    <row r="1937" spans="1:19" hidden="1" x14ac:dyDescent="0.25">
      <c r="A1937" t="s">
        <v>1183</v>
      </c>
      <c r="B1937" t="s">
        <v>1174</v>
      </c>
      <c r="C1937">
        <v>4</v>
      </c>
      <c r="D1937" t="s">
        <v>1213</v>
      </c>
      <c r="E1937" t="s">
        <v>524</v>
      </c>
      <c r="F1937" s="5" t="s">
        <v>24</v>
      </c>
      <c r="G1937" s="19">
        <v>10</v>
      </c>
      <c r="H1937" s="19">
        <v>20</v>
      </c>
      <c r="I1937" t="b">
        <v>1</v>
      </c>
      <c r="J1937" t="s">
        <v>1214</v>
      </c>
      <c r="K1937" t="s">
        <v>32</v>
      </c>
      <c r="Q1937" t="s">
        <v>1174</v>
      </c>
      <c r="R1937" t="s">
        <v>1174</v>
      </c>
      <c r="S1937" s="109">
        <v>15</v>
      </c>
    </row>
    <row r="1938" spans="1:19" hidden="1" x14ac:dyDescent="0.25">
      <c r="A1938" t="s">
        <v>1183</v>
      </c>
      <c r="B1938" t="s">
        <v>1174</v>
      </c>
      <c r="C1938">
        <v>5</v>
      </c>
      <c r="D1938" t="s">
        <v>1184</v>
      </c>
      <c r="E1938" t="s">
        <v>1145</v>
      </c>
      <c r="F1938" s="5" t="s">
        <v>25</v>
      </c>
      <c r="G1938" s="19">
        <v>0</v>
      </c>
      <c r="H1938" s="19">
        <v>3</v>
      </c>
      <c r="I1938" t="b">
        <v>1</v>
      </c>
      <c r="J1938" t="s">
        <v>1186</v>
      </c>
      <c r="K1938" t="s">
        <v>32</v>
      </c>
      <c r="Q1938" t="s">
        <v>1174</v>
      </c>
      <c r="R1938" t="s">
        <v>1174</v>
      </c>
      <c r="S1938" s="6">
        <v>1</v>
      </c>
    </row>
    <row r="1939" spans="1:19" hidden="1" x14ac:dyDescent="0.25">
      <c r="A1939" t="s">
        <v>1183</v>
      </c>
      <c r="B1939" t="s">
        <v>1174</v>
      </c>
      <c r="C1939">
        <v>5</v>
      </c>
      <c r="D1939" t="s">
        <v>1194</v>
      </c>
      <c r="E1939" t="s">
        <v>1247</v>
      </c>
      <c r="F1939" s="5" t="s">
        <v>26</v>
      </c>
      <c r="G1939" s="19">
        <v>20</v>
      </c>
      <c r="H1939" s="19">
        <v>30</v>
      </c>
      <c r="I1939" t="b">
        <v>0</v>
      </c>
      <c r="J1939" t="s">
        <v>1203</v>
      </c>
      <c r="K1939" t="s">
        <v>32</v>
      </c>
      <c r="Q1939" t="s">
        <v>1174</v>
      </c>
      <c r="R1939" t="s">
        <v>1174</v>
      </c>
      <c r="S1939" s="109">
        <v>2</v>
      </c>
    </row>
    <row r="1940" spans="1:19" hidden="1" x14ac:dyDescent="0.25">
      <c r="A1940" t="s">
        <v>1183</v>
      </c>
      <c r="B1940" t="s">
        <v>1174</v>
      </c>
      <c r="C1940">
        <v>5</v>
      </c>
      <c r="D1940" t="s">
        <v>1193</v>
      </c>
      <c r="E1940" t="s">
        <v>1239</v>
      </c>
      <c r="F1940" s="5" t="s">
        <v>27</v>
      </c>
      <c r="G1940" s="19">
        <v>3</v>
      </c>
      <c r="H1940" s="19">
        <v>6</v>
      </c>
      <c r="I1940" t="b">
        <v>0</v>
      </c>
      <c r="J1940" t="s">
        <v>1233</v>
      </c>
      <c r="K1940" t="s">
        <v>32</v>
      </c>
      <c r="Q1940" t="s">
        <v>1174</v>
      </c>
      <c r="R1940" t="s">
        <v>1174</v>
      </c>
      <c r="S1940" s="109">
        <v>5</v>
      </c>
    </row>
    <row r="1941" spans="1:19" hidden="1" x14ac:dyDescent="0.25">
      <c r="A1941" t="s">
        <v>1183</v>
      </c>
      <c r="B1941" t="s">
        <v>1174</v>
      </c>
      <c r="C1941">
        <v>5</v>
      </c>
      <c r="D1941" t="s">
        <v>392</v>
      </c>
      <c r="E1941" t="s">
        <v>1155</v>
      </c>
      <c r="F1941" s="5" t="s">
        <v>25</v>
      </c>
      <c r="G1941" s="19">
        <v>5</v>
      </c>
      <c r="H1941" s="19">
        <v>10</v>
      </c>
      <c r="I1941" t="b">
        <v>1</v>
      </c>
      <c r="J1941" t="s">
        <v>847</v>
      </c>
      <c r="K1941" t="s">
        <v>32</v>
      </c>
      <c r="Q1941" t="s">
        <v>1174</v>
      </c>
      <c r="R1941" t="s">
        <v>1174</v>
      </c>
      <c r="S1941" s="109">
        <v>3</v>
      </c>
    </row>
    <row r="1942" spans="1:19" hidden="1" x14ac:dyDescent="0.25">
      <c r="A1942" s="1" t="s">
        <v>1099</v>
      </c>
      <c r="B1942" s="1" t="s">
        <v>1309</v>
      </c>
      <c r="C1942" s="5">
        <v>2</v>
      </c>
      <c r="D1942" s="1" t="s">
        <v>11</v>
      </c>
      <c r="E1942" s="1" t="s">
        <v>1310</v>
      </c>
      <c r="F1942" s="5" t="s">
        <v>25</v>
      </c>
      <c r="G1942" s="5">
        <v>50</v>
      </c>
      <c r="H1942" s="5">
        <v>55</v>
      </c>
      <c r="I1942" s="5" t="b">
        <v>1</v>
      </c>
      <c r="J1942" s="1" t="s">
        <v>0</v>
      </c>
      <c r="K1942" s="1" t="s">
        <v>32</v>
      </c>
      <c r="L1942" s="1"/>
      <c r="M1942" s="1"/>
      <c r="N1942" s="1"/>
      <c r="O1942" s="1"/>
      <c r="P1942" s="1"/>
      <c r="Q1942" s="1" t="s">
        <v>1309</v>
      </c>
      <c r="R1942" s="1" t="s">
        <v>1309</v>
      </c>
      <c r="S1942" s="5">
        <v>1</v>
      </c>
    </row>
    <row r="1943" spans="1:19" hidden="1" x14ac:dyDescent="0.25">
      <c r="A1943" s="1" t="s">
        <v>1099</v>
      </c>
      <c r="B1943" s="1" t="s">
        <v>1309</v>
      </c>
      <c r="C1943" s="5">
        <v>2</v>
      </c>
      <c r="D1943" s="1" t="s">
        <v>1260</v>
      </c>
      <c r="E1943" s="1" t="s">
        <v>991</v>
      </c>
      <c r="F1943" s="5" t="s">
        <v>25</v>
      </c>
      <c r="G1943" s="5">
        <v>2</v>
      </c>
      <c r="H1943" s="5">
        <v>3</v>
      </c>
      <c r="I1943" s="5" t="b">
        <v>1</v>
      </c>
      <c r="J1943" s="1" t="s">
        <v>1261</v>
      </c>
      <c r="K1943" s="1" t="s">
        <v>32</v>
      </c>
      <c r="L1943" s="1"/>
      <c r="M1943" s="1"/>
      <c r="N1943" s="1"/>
      <c r="O1943" s="1"/>
      <c r="P1943" s="1"/>
      <c r="Q1943" s="1" t="s">
        <v>1309</v>
      </c>
      <c r="R1943" s="1" t="s">
        <v>1309</v>
      </c>
      <c r="S1943" s="5">
        <v>2</v>
      </c>
    </row>
    <row r="1944" spans="1:19" hidden="1" x14ac:dyDescent="0.25">
      <c r="A1944" s="1" t="s">
        <v>1099</v>
      </c>
      <c r="B1944" s="1" t="s">
        <v>1309</v>
      </c>
      <c r="C1944" s="5">
        <v>2</v>
      </c>
      <c r="D1944" s="1" t="s">
        <v>13</v>
      </c>
      <c r="E1944" s="1" t="s">
        <v>979</v>
      </c>
      <c r="F1944" s="5" t="s">
        <v>25</v>
      </c>
      <c r="G1944" s="5">
        <v>20</v>
      </c>
      <c r="H1944" s="5">
        <v>25</v>
      </c>
      <c r="I1944" s="5" t="b">
        <v>1</v>
      </c>
      <c r="J1944" s="1" t="s">
        <v>10</v>
      </c>
      <c r="K1944" s="1" t="s">
        <v>32</v>
      </c>
      <c r="L1944" s="1"/>
      <c r="M1944" s="1"/>
      <c r="N1944" s="1"/>
      <c r="O1944" s="1"/>
      <c r="P1944" s="1"/>
      <c r="Q1944" s="1" t="s">
        <v>1309</v>
      </c>
      <c r="R1944" s="1" t="s">
        <v>1309</v>
      </c>
      <c r="S1944" s="5">
        <v>3</v>
      </c>
    </row>
    <row r="1945" spans="1:19" hidden="1" x14ac:dyDescent="0.25">
      <c r="A1945" s="1" t="s">
        <v>1099</v>
      </c>
      <c r="B1945" s="1" t="s">
        <v>1309</v>
      </c>
      <c r="C1945" s="5">
        <v>2</v>
      </c>
      <c r="D1945" s="1" t="s">
        <v>1263</v>
      </c>
      <c r="E1945" s="1" t="s">
        <v>961</v>
      </c>
      <c r="F1945" s="5" t="s">
        <v>25</v>
      </c>
      <c r="G1945" s="5">
        <v>3</v>
      </c>
      <c r="H1945" s="5">
        <v>8</v>
      </c>
      <c r="I1945" s="5" t="b">
        <v>1</v>
      </c>
      <c r="J1945" s="1" t="s">
        <v>1264</v>
      </c>
      <c r="K1945" s="1" t="s">
        <v>32</v>
      </c>
      <c r="L1945" s="1"/>
      <c r="M1945" s="1"/>
      <c r="N1945" s="1"/>
      <c r="O1945" s="1"/>
      <c r="P1945" s="1"/>
      <c r="Q1945" s="1" t="s">
        <v>1309</v>
      </c>
      <c r="R1945" s="1" t="s">
        <v>1309</v>
      </c>
      <c r="S1945" s="5">
        <v>4</v>
      </c>
    </row>
    <row r="1946" spans="1:19" hidden="1" x14ac:dyDescent="0.25">
      <c r="A1946" s="1" t="s">
        <v>1099</v>
      </c>
      <c r="B1946" s="1" t="s">
        <v>1309</v>
      </c>
      <c r="C1946" s="5">
        <v>2</v>
      </c>
      <c r="D1946" s="1" t="s">
        <v>29</v>
      </c>
      <c r="E1946" s="1" t="s">
        <v>969</v>
      </c>
      <c r="F1946" s="5" t="s">
        <v>24</v>
      </c>
      <c r="G1946" s="5">
        <v>10</v>
      </c>
      <c r="H1946" s="5">
        <v>20</v>
      </c>
      <c r="I1946" s="5" t="b">
        <v>1</v>
      </c>
      <c r="J1946" s="1" t="s">
        <v>1153</v>
      </c>
      <c r="K1946" s="1" t="s">
        <v>32</v>
      </c>
      <c r="L1946" s="1"/>
      <c r="M1946" s="1"/>
      <c r="N1946" s="1"/>
      <c r="O1946" s="1"/>
      <c r="P1946" s="1"/>
      <c r="Q1946" s="1" t="s">
        <v>1309</v>
      </c>
      <c r="R1946" s="1" t="s">
        <v>1309</v>
      </c>
      <c r="S1946" s="5">
        <v>5</v>
      </c>
    </row>
    <row r="1947" spans="1:19" hidden="1" x14ac:dyDescent="0.25">
      <c r="A1947" s="1" t="s">
        <v>1099</v>
      </c>
      <c r="B1947" s="1" t="s">
        <v>1309</v>
      </c>
      <c r="C1947" s="5">
        <v>2</v>
      </c>
      <c r="D1947" s="1" t="s">
        <v>1154</v>
      </c>
      <c r="E1947" s="1" t="s">
        <v>1285</v>
      </c>
      <c r="F1947" s="5" t="s">
        <v>24</v>
      </c>
      <c r="G1947" s="5">
        <v>12</v>
      </c>
      <c r="H1947" s="5">
        <v>22</v>
      </c>
      <c r="I1947" s="5" t="b">
        <v>1</v>
      </c>
      <c r="J1947" s="1" t="s">
        <v>1156</v>
      </c>
      <c r="K1947" s="1" t="s">
        <v>32</v>
      </c>
      <c r="L1947" s="1"/>
      <c r="M1947" s="1"/>
      <c r="N1947" s="1"/>
      <c r="O1947" s="1"/>
      <c r="P1947" s="1"/>
      <c r="Q1947" s="1" t="s">
        <v>1309</v>
      </c>
      <c r="R1947" s="1" t="s">
        <v>1309</v>
      </c>
      <c r="S1947" s="5">
        <v>6</v>
      </c>
    </row>
    <row r="1948" spans="1:19" hidden="1" x14ac:dyDescent="0.25">
      <c r="A1948" s="1" t="s">
        <v>1099</v>
      </c>
      <c r="B1948" s="1" t="s">
        <v>1309</v>
      </c>
      <c r="C1948" s="5">
        <v>2</v>
      </c>
      <c r="D1948" s="1" t="s">
        <v>1157</v>
      </c>
      <c r="E1948" s="1" t="s">
        <v>1287</v>
      </c>
      <c r="F1948" s="5" t="s">
        <v>27</v>
      </c>
      <c r="G1948" s="5">
        <v>0</v>
      </c>
      <c r="H1948" s="5">
        <v>3</v>
      </c>
      <c r="I1948" s="5" t="b">
        <v>0</v>
      </c>
      <c r="J1948" s="1" t="s">
        <v>1269</v>
      </c>
      <c r="K1948" s="1" t="s">
        <v>32</v>
      </c>
      <c r="L1948" s="1"/>
      <c r="M1948" s="1"/>
      <c r="N1948" s="1"/>
      <c r="O1948" s="1"/>
      <c r="P1948" s="1"/>
      <c r="Q1948" s="1" t="s">
        <v>1309</v>
      </c>
      <c r="R1948" s="1" t="s">
        <v>1309</v>
      </c>
      <c r="S1948" s="5">
        <v>8</v>
      </c>
    </row>
    <row r="1949" spans="1:19" hidden="1" x14ac:dyDescent="0.25">
      <c r="A1949" s="1" t="s">
        <v>1099</v>
      </c>
      <c r="B1949" s="1" t="s">
        <v>1309</v>
      </c>
      <c r="C1949" s="5">
        <v>2</v>
      </c>
      <c r="D1949" s="1" t="s">
        <v>1193</v>
      </c>
      <c r="E1949" s="1" t="s">
        <v>1271</v>
      </c>
      <c r="F1949" s="5" t="s">
        <v>27</v>
      </c>
      <c r="G1949" s="5">
        <v>0</v>
      </c>
      <c r="H1949" s="5">
        <v>1</v>
      </c>
      <c r="I1949" s="5" t="b">
        <v>0</v>
      </c>
      <c r="J1949" s="1" t="s">
        <v>1272</v>
      </c>
      <c r="K1949" s="1" t="s">
        <v>32</v>
      </c>
      <c r="L1949" s="1"/>
      <c r="M1949" s="1"/>
      <c r="N1949" s="1"/>
      <c r="O1949" s="1"/>
      <c r="P1949" s="1"/>
      <c r="Q1949" s="1" t="s">
        <v>1309</v>
      </c>
      <c r="R1949" s="1" t="s">
        <v>1309</v>
      </c>
      <c r="S1949" s="5">
        <v>10</v>
      </c>
    </row>
    <row r="1950" spans="1:19" x14ac:dyDescent="0.25">
      <c r="A1950" s="1" t="s">
        <v>1099</v>
      </c>
      <c r="B1950" s="1" t="s">
        <v>1309</v>
      </c>
      <c r="C1950" s="5">
        <v>2</v>
      </c>
      <c r="D1950" s="1" t="s">
        <v>1444</v>
      </c>
      <c r="E1950" s="1" t="s">
        <v>1314</v>
      </c>
      <c r="F1950" s="5" t="s">
        <v>27</v>
      </c>
      <c r="G1950" s="5">
        <v>15</v>
      </c>
      <c r="H1950" s="5">
        <v>20</v>
      </c>
      <c r="I1950" s="5" t="b">
        <v>0</v>
      </c>
      <c r="J1950" s="1" t="s">
        <v>1270</v>
      </c>
      <c r="K1950" s="1" t="s">
        <v>32</v>
      </c>
      <c r="L1950" s="1"/>
      <c r="M1950" s="1"/>
      <c r="N1950" s="1"/>
      <c r="O1950" s="1"/>
      <c r="P1950" s="1"/>
      <c r="Q1950" s="1" t="s">
        <v>1309</v>
      </c>
      <c r="R1950" s="1" t="s">
        <v>1309</v>
      </c>
      <c r="S1950" s="5">
        <v>11</v>
      </c>
    </row>
    <row r="1951" spans="1:19" x14ac:dyDescent="0.25">
      <c r="A1951" s="1" t="s">
        <v>1099</v>
      </c>
      <c r="B1951" s="1" t="s">
        <v>1309</v>
      </c>
      <c r="C1951" s="5">
        <v>2</v>
      </c>
      <c r="D1951" s="1" t="s">
        <v>1442</v>
      </c>
      <c r="E1951" s="1" t="s">
        <v>974</v>
      </c>
      <c r="F1951" s="5" t="s">
        <v>27</v>
      </c>
      <c r="G1951" s="5">
        <v>20</v>
      </c>
      <c r="H1951" s="5">
        <v>25</v>
      </c>
      <c r="I1951" s="5" t="b">
        <v>0</v>
      </c>
      <c r="J1951" s="1" t="s">
        <v>1440</v>
      </c>
      <c r="K1951" s="1" t="s">
        <v>32</v>
      </c>
      <c r="L1951" s="1"/>
      <c r="M1951" s="1"/>
      <c r="N1951" s="1"/>
      <c r="O1951" s="1"/>
      <c r="P1951" s="1"/>
      <c r="Q1951" s="1" t="s">
        <v>1309</v>
      </c>
      <c r="R1951" s="1" t="s">
        <v>1309</v>
      </c>
      <c r="S1951" s="5">
        <v>15</v>
      </c>
    </row>
    <row r="1952" spans="1:19" hidden="1" x14ac:dyDescent="0.25">
      <c r="A1952" s="1" t="s">
        <v>1099</v>
      </c>
      <c r="B1952" s="1" t="s">
        <v>1309</v>
      </c>
      <c r="C1952" s="5">
        <v>2</v>
      </c>
      <c r="D1952" s="1" t="s">
        <v>183</v>
      </c>
      <c r="E1952" s="1" t="s">
        <v>1313</v>
      </c>
      <c r="F1952" s="5" t="s">
        <v>26</v>
      </c>
      <c r="G1952" s="5">
        <v>19</v>
      </c>
      <c r="H1952" s="5">
        <v>25</v>
      </c>
      <c r="I1952" s="5" t="b">
        <v>0</v>
      </c>
      <c r="J1952" s="1" t="s">
        <v>1298</v>
      </c>
      <c r="K1952" s="1" t="s">
        <v>32</v>
      </c>
      <c r="L1952" s="1"/>
      <c r="M1952" s="1"/>
      <c r="N1952" s="1"/>
      <c r="O1952" s="1"/>
      <c r="P1952" s="1"/>
      <c r="Q1952" s="1" t="s">
        <v>1309</v>
      </c>
      <c r="R1952" s="1" t="s">
        <v>1309</v>
      </c>
      <c r="S1952" s="5">
        <v>17</v>
      </c>
    </row>
    <row r="1953" spans="1:19" hidden="1" x14ac:dyDescent="0.25">
      <c r="A1953" s="1" t="s">
        <v>1099</v>
      </c>
      <c r="B1953" s="1" t="s">
        <v>1309</v>
      </c>
      <c r="C1953" s="5">
        <v>2</v>
      </c>
      <c r="D1953" s="1" t="s">
        <v>1315</v>
      </c>
      <c r="E1953" s="1" t="s">
        <v>1279</v>
      </c>
      <c r="F1953" s="5" t="s">
        <v>27</v>
      </c>
      <c r="G1953" s="5">
        <v>30</v>
      </c>
      <c r="H1953" s="5">
        <v>35</v>
      </c>
      <c r="I1953" s="5" t="b">
        <v>0</v>
      </c>
      <c r="J1953" s="1" t="s">
        <v>1316</v>
      </c>
      <c r="K1953" s="1" t="s">
        <v>32</v>
      </c>
      <c r="L1953" s="1"/>
      <c r="M1953" s="1"/>
      <c r="N1953" s="1"/>
      <c r="O1953" s="1"/>
      <c r="P1953" s="1"/>
      <c r="Q1953" s="1" t="s">
        <v>1309</v>
      </c>
      <c r="R1953" s="1" t="s">
        <v>1309</v>
      </c>
      <c r="S1953" s="5">
        <v>18</v>
      </c>
    </row>
    <row r="1954" spans="1:19" hidden="1" x14ac:dyDescent="0.25">
      <c r="A1954" s="1" t="s">
        <v>1099</v>
      </c>
      <c r="B1954" s="1" t="s">
        <v>1309</v>
      </c>
      <c r="C1954" s="5">
        <v>2</v>
      </c>
      <c r="D1954" s="1" t="s">
        <v>1311</v>
      </c>
      <c r="E1954" s="1" t="s">
        <v>937</v>
      </c>
      <c r="F1954" s="5" t="s">
        <v>24</v>
      </c>
      <c r="G1954" s="5">
        <v>20</v>
      </c>
      <c r="H1954" s="5">
        <v>30</v>
      </c>
      <c r="I1954" s="5" t="b">
        <v>1</v>
      </c>
      <c r="J1954" s="1" t="s">
        <v>1312</v>
      </c>
      <c r="K1954" s="1" t="s">
        <v>32</v>
      </c>
      <c r="L1954" s="1"/>
      <c r="M1954" s="1"/>
      <c r="N1954" s="1"/>
      <c r="O1954" s="1"/>
      <c r="P1954" s="1"/>
      <c r="Q1954" s="1" t="s">
        <v>1309</v>
      </c>
      <c r="R1954" s="1" t="s">
        <v>1309</v>
      </c>
      <c r="S1954" s="5">
        <v>20</v>
      </c>
    </row>
    <row r="1955" spans="1:19" hidden="1" x14ac:dyDescent="0.25">
      <c r="A1955" s="1" t="s">
        <v>1099</v>
      </c>
      <c r="B1955" s="1" t="s">
        <v>1309</v>
      </c>
      <c r="C1955" s="5">
        <v>3</v>
      </c>
      <c r="D1955" s="1" t="s">
        <v>11</v>
      </c>
      <c r="E1955" s="1" t="s">
        <v>977</v>
      </c>
      <c r="F1955" s="5" t="s">
        <v>24</v>
      </c>
      <c r="G1955" s="5">
        <v>40</v>
      </c>
      <c r="H1955" s="5">
        <v>50</v>
      </c>
      <c r="I1955" s="5" t="b">
        <v>1</v>
      </c>
      <c r="J1955" s="1" t="s">
        <v>0</v>
      </c>
      <c r="K1955" s="1" t="s">
        <v>32</v>
      </c>
      <c r="L1955" s="1" t="s">
        <v>716</v>
      </c>
      <c r="M1955" s="1" t="s">
        <v>1170</v>
      </c>
      <c r="N1955" s="1"/>
      <c r="O1955" s="1"/>
      <c r="P1955" s="1"/>
      <c r="Q1955" s="1" t="s">
        <v>1309</v>
      </c>
      <c r="R1955" s="1" t="s">
        <v>1309</v>
      </c>
      <c r="S1955" s="5">
        <v>1</v>
      </c>
    </row>
    <row r="1956" spans="1:19" hidden="1" x14ac:dyDescent="0.25">
      <c r="A1956" s="1" t="s">
        <v>1099</v>
      </c>
      <c r="B1956" s="1" t="s">
        <v>1309</v>
      </c>
      <c r="C1956" s="5">
        <v>3</v>
      </c>
      <c r="D1956" s="1" t="s">
        <v>1260</v>
      </c>
      <c r="E1956" s="1" t="s">
        <v>991</v>
      </c>
      <c r="F1956" s="5" t="s">
        <v>25</v>
      </c>
      <c r="G1956" s="5">
        <v>2</v>
      </c>
      <c r="H1956" s="5">
        <v>3</v>
      </c>
      <c r="I1956" s="5" t="b">
        <v>1</v>
      </c>
      <c r="J1956" s="1" t="s">
        <v>1261</v>
      </c>
      <c r="K1956" s="1" t="s">
        <v>32</v>
      </c>
      <c r="L1956" s="1"/>
      <c r="M1956" s="1"/>
      <c r="N1956" s="1"/>
      <c r="O1956" s="1"/>
      <c r="P1956" s="1"/>
      <c r="Q1956" s="1" t="s">
        <v>1309</v>
      </c>
      <c r="R1956" s="1" t="s">
        <v>1309</v>
      </c>
      <c r="S1956" s="5">
        <v>2</v>
      </c>
    </row>
    <row r="1957" spans="1:19" hidden="1" x14ac:dyDescent="0.25">
      <c r="A1957" s="1" t="s">
        <v>1099</v>
      </c>
      <c r="B1957" s="1" t="s">
        <v>1309</v>
      </c>
      <c r="C1957" s="5">
        <v>3</v>
      </c>
      <c r="D1957" s="1" t="s">
        <v>13</v>
      </c>
      <c r="E1957" s="1" t="s">
        <v>1317</v>
      </c>
      <c r="F1957" s="5" t="s">
        <v>25</v>
      </c>
      <c r="G1957" s="5">
        <v>12</v>
      </c>
      <c r="H1957" s="5">
        <v>19</v>
      </c>
      <c r="I1957" s="5" t="b">
        <v>1</v>
      </c>
      <c r="J1957" s="1" t="s">
        <v>10</v>
      </c>
      <c r="K1957" s="1" t="s">
        <v>32</v>
      </c>
      <c r="L1957" s="1"/>
      <c r="M1957" s="1"/>
      <c r="N1957" s="1"/>
      <c r="O1957" s="1"/>
      <c r="P1957" s="1"/>
      <c r="Q1957" s="1" t="s">
        <v>1309</v>
      </c>
      <c r="R1957" s="1" t="s">
        <v>1309</v>
      </c>
      <c r="S1957" s="5">
        <v>3</v>
      </c>
    </row>
    <row r="1958" spans="1:19" hidden="1" x14ac:dyDescent="0.25">
      <c r="A1958" s="1" t="s">
        <v>1099</v>
      </c>
      <c r="B1958" s="1" t="s">
        <v>1309</v>
      </c>
      <c r="C1958" s="5">
        <v>3</v>
      </c>
      <c r="D1958" s="1" t="s">
        <v>1263</v>
      </c>
      <c r="E1958" s="1" t="s">
        <v>1319</v>
      </c>
      <c r="F1958" s="5" t="s">
        <v>25</v>
      </c>
      <c r="G1958" s="5">
        <v>0</v>
      </c>
      <c r="H1958" s="5">
        <v>1</v>
      </c>
      <c r="I1958" s="5" t="b">
        <v>1</v>
      </c>
      <c r="J1958" s="1" t="s">
        <v>1264</v>
      </c>
      <c r="K1958" s="1" t="s">
        <v>32</v>
      </c>
      <c r="L1958" s="1" t="s">
        <v>716</v>
      </c>
      <c r="M1958" s="1" t="s">
        <v>1170</v>
      </c>
      <c r="N1958" s="1"/>
      <c r="O1958" s="1"/>
      <c r="P1958" s="1"/>
      <c r="Q1958" s="1" t="s">
        <v>1309</v>
      </c>
      <c r="R1958" s="1" t="s">
        <v>1309</v>
      </c>
      <c r="S1958" s="5">
        <v>4</v>
      </c>
    </row>
    <row r="1959" spans="1:19" hidden="1" x14ac:dyDescent="0.25">
      <c r="A1959" s="1" t="s">
        <v>1099</v>
      </c>
      <c r="B1959" s="1" t="s">
        <v>1309</v>
      </c>
      <c r="C1959" s="5">
        <v>3</v>
      </c>
      <c r="D1959" s="1" t="s">
        <v>29</v>
      </c>
      <c r="E1959" s="1" t="s">
        <v>1278</v>
      </c>
      <c r="F1959" s="5" t="s">
        <v>25</v>
      </c>
      <c r="G1959" s="5">
        <v>7</v>
      </c>
      <c r="H1959" s="5">
        <v>12</v>
      </c>
      <c r="I1959" s="5" t="b">
        <v>1</v>
      </c>
      <c r="J1959" s="1" t="s">
        <v>1153</v>
      </c>
      <c r="K1959" s="1" t="s">
        <v>32</v>
      </c>
      <c r="L1959" s="1"/>
      <c r="M1959" s="1"/>
      <c r="N1959" s="1"/>
      <c r="O1959" s="1"/>
      <c r="P1959" s="1"/>
      <c r="Q1959" s="1" t="s">
        <v>1309</v>
      </c>
      <c r="R1959" s="1" t="s">
        <v>1309</v>
      </c>
      <c r="S1959" s="5">
        <v>5</v>
      </c>
    </row>
    <row r="1960" spans="1:19" hidden="1" x14ac:dyDescent="0.25">
      <c r="A1960" s="1" t="s">
        <v>1099</v>
      </c>
      <c r="B1960" s="1" t="s">
        <v>1309</v>
      </c>
      <c r="C1960" s="5">
        <v>3</v>
      </c>
      <c r="D1960" s="1" t="s">
        <v>1154</v>
      </c>
      <c r="E1960" s="1" t="s">
        <v>984</v>
      </c>
      <c r="F1960" s="5" t="s">
        <v>25</v>
      </c>
      <c r="G1960" s="5">
        <v>3</v>
      </c>
      <c r="H1960" s="5">
        <v>10</v>
      </c>
      <c r="I1960" s="5" t="b">
        <v>1</v>
      </c>
      <c r="J1960" s="1" t="s">
        <v>1156</v>
      </c>
      <c r="K1960" s="1" t="s">
        <v>32</v>
      </c>
      <c r="L1960" s="1" t="s">
        <v>716</v>
      </c>
      <c r="M1960" s="1" t="s">
        <v>1170</v>
      </c>
      <c r="N1960" s="1"/>
      <c r="O1960" s="1"/>
      <c r="P1960" s="1"/>
      <c r="Q1960" s="1" t="s">
        <v>1309</v>
      </c>
      <c r="R1960" s="1" t="s">
        <v>1309</v>
      </c>
      <c r="S1960" s="5">
        <v>6</v>
      </c>
    </row>
    <row r="1961" spans="1:19" hidden="1" x14ac:dyDescent="0.25">
      <c r="A1961" s="1" t="s">
        <v>1099</v>
      </c>
      <c r="B1961" s="1" t="s">
        <v>1309</v>
      </c>
      <c r="C1961" s="5">
        <v>3</v>
      </c>
      <c r="D1961" s="1" t="s">
        <v>1157</v>
      </c>
      <c r="E1961" s="1" t="s">
        <v>1318</v>
      </c>
      <c r="F1961" s="5" t="s">
        <v>26</v>
      </c>
      <c r="G1961" s="5">
        <v>3</v>
      </c>
      <c r="H1961" s="5">
        <v>7</v>
      </c>
      <c r="I1961" s="5" t="b">
        <v>0</v>
      </c>
      <c r="J1961" s="1" t="s">
        <v>1269</v>
      </c>
      <c r="K1961" s="1" t="s">
        <v>32</v>
      </c>
      <c r="L1961" s="1"/>
      <c r="M1961" s="1"/>
      <c r="N1961" s="1"/>
      <c r="O1961" s="1"/>
      <c r="P1961" s="1"/>
      <c r="Q1961" s="1" t="s">
        <v>1309</v>
      </c>
      <c r="R1961" s="1" t="s">
        <v>1309</v>
      </c>
      <c r="S1961" s="5">
        <v>8</v>
      </c>
    </row>
    <row r="1962" spans="1:19" x14ac:dyDescent="0.25">
      <c r="A1962" s="1" t="s">
        <v>1099</v>
      </c>
      <c r="B1962" s="1" t="s">
        <v>1309</v>
      </c>
      <c r="C1962" s="5">
        <v>3</v>
      </c>
      <c r="D1962" s="1" t="s">
        <v>1444</v>
      </c>
      <c r="E1962" s="1" t="s">
        <v>928</v>
      </c>
      <c r="F1962" s="5" t="s">
        <v>26</v>
      </c>
      <c r="G1962" s="5">
        <v>20</v>
      </c>
      <c r="H1962" s="5">
        <v>30</v>
      </c>
      <c r="I1962" s="5" t="b">
        <v>0</v>
      </c>
      <c r="J1962" s="1" t="s">
        <v>1270</v>
      </c>
      <c r="K1962" s="1" t="s">
        <v>32</v>
      </c>
      <c r="L1962" s="1" t="s">
        <v>716</v>
      </c>
      <c r="M1962" s="1" t="s">
        <v>1170</v>
      </c>
      <c r="N1962" s="1"/>
      <c r="O1962" s="1"/>
      <c r="P1962" s="1"/>
      <c r="Q1962" s="1" t="s">
        <v>1309</v>
      </c>
      <c r="R1962" s="1" t="s">
        <v>1309</v>
      </c>
      <c r="S1962" s="5">
        <v>11</v>
      </c>
    </row>
    <row r="1963" spans="1:19" x14ac:dyDescent="0.25">
      <c r="A1963" s="1" t="s">
        <v>1099</v>
      </c>
      <c r="B1963" s="1" t="s">
        <v>1309</v>
      </c>
      <c r="C1963" s="5">
        <v>3</v>
      </c>
      <c r="D1963" s="1" t="s">
        <v>1442</v>
      </c>
      <c r="E1963" s="1" t="s">
        <v>987</v>
      </c>
      <c r="F1963" s="5" t="s">
        <v>26</v>
      </c>
      <c r="G1963" s="5">
        <v>25</v>
      </c>
      <c r="H1963" s="5">
        <v>35</v>
      </c>
      <c r="I1963" s="5" t="b">
        <v>0</v>
      </c>
      <c r="J1963" s="1" t="s">
        <v>1440</v>
      </c>
      <c r="K1963" s="1" t="s">
        <v>32</v>
      </c>
      <c r="L1963" s="1"/>
      <c r="M1963" s="1"/>
      <c r="N1963" s="1"/>
      <c r="O1963" s="1"/>
      <c r="P1963" s="1"/>
      <c r="Q1963" s="1" t="s">
        <v>1309</v>
      </c>
      <c r="R1963" s="1" t="s">
        <v>1309</v>
      </c>
      <c r="S1963" s="5">
        <v>15</v>
      </c>
    </row>
    <row r="1964" spans="1:19" hidden="1" x14ac:dyDescent="0.25">
      <c r="A1964" s="1" t="s">
        <v>1099</v>
      </c>
      <c r="B1964" s="1" t="s">
        <v>1309</v>
      </c>
      <c r="C1964" s="5">
        <v>3</v>
      </c>
      <c r="D1964" s="1" t="s">
        <v>1315</v>
      </c>
      <c r="E1964" s="1" t="s">
        <v>1294</v>
      </c>
      <c r="F1964" s="5" t="s">
        <v>27</v>
      </c>
      <c r="G1964" s="5">
        <v>35</v>
      </c>
      <c r="H1964" s="5">
        <v>40</v>
      </c>
      <c r="I1964" s="5" t="b">
        <v>0</v>
      </c>
      <c r="J1964" s="1" t="s">
        <v>1316</v>
      </c>
      <c r="K1964" s="1" t="s">
        <v>32</v>
      </c>
      <c r="L1964" s="1" t="s">
        <v>716</v>
      </c>
      <c r="M1964" s="1" t="s">
        <v>1170</v>
      </c>
      <c r="N1964" s="1"/>
      <c r="O1964" s="1"/>
      <c r="P1964" s="1"/>
      <c r="Q1964" s="1" t="s">
        <v>1309</v>
      </c>
      <c r="R1964" s="1" t="s">
        <v>1309</v>
      </c>
      <c r="S1964" s="5">
        <v>18</v>
      </c>
    </row>
    <row r="1965" spans="1:19" hidden="1" x14ac:dyDescent="0.25">
      <c r="A1965" s="1" t="s">
        <v>1099</v>
      </c>
      <c r="B1965" s="1" t="s">
        <v>1309</v>
      </c>
      <c r="C1965" s="5">
        <v>3</v>
      </c>
      <c r="D1965" s="1" t="s">
        <v>1311</v>
      </c>
      <c r="E1965" s="1" t="s">
        <v>969</v>
      </c>
      <c r="F1965" s="5" t="s">
        <v>24</v>
      </c>
      <c r="G1965" s="5">
        <v>10</v>
      </c>
      <c r="H1965" s="5">
        <v>20</v>
      </c>
      <c r="I1965" s="5" t="b">
        <v>1</v>
      </c>
      <c r="J1965" s="1" t="s">
        <v>1312</v>
      </c>
      <c r="K1965" s="1" t="s">
        <v>32</v>
      </c>
      <c r="L1965" s="1" t="s">
        <v>716</v>
      </c>
      <c r="M1965" s="1" t="s">
        <v>1170</v>
      </c>
      <c r="N1965" s="1"/>
      <c r="O1965" s="1"/>
      <c r="P1965" s="1"/>
      <c r="Q1965" s="1" t="s">
        <v>1309</v>
      </c>
      <c r="R1965" s="1" t="s">
        <v>1309</v>
      </c>
      <c r="S1965" s="5">
        <v>20</v>
      </c>
    </row>
    <row r="1966" spans="1:19" hidden="1" x14ac:dyDescent="0.25">
      <c r="A1966" s="1" t="s">
        <v>1099</v>
      </c>
      <c r="B1966" s="1" t="s">
        <v>1309</v>
      </c>
      <c r="C1966" s="5">
        <v>4</v>
      </c>
      <c r="D1966" s="1" t="s">
        <v>11</v>
      </c>
      <c r="E1966" s="1" t="s">
        <v>934</v>
      </c>
      <c r="F1966" s="5" t="s">
        <v>24</v>
      </c>
      <c r="G1966" s="5">
        <v>25</v>
      </c>
      <c r="H1966" s="5">
        <v>35</v>
      </c>
      <c r="I1966" s="5" t="b">
        <v>1</v>
      </c>
      <c r="J1966" s="1" t="s">
        <v>0</v>
      </c>
      <c r="K1966" s="1" t="s">
        <v>32</v>
      </c>
      <c r="L1966" s="1" t="s">
        <v>716</v>
      </c>
      <c r="M1966" s="1" t="s">
        <v>1170</v>
      </c>
      <c r="N1966" s="1"/>
      <c r="O1966" s="1"/>
      <c r="P1966" s="1"/>
      <c r="Q1966" s="1" t="s">
        <v>1309</v>
      </c>
      <c r="R1966" s="1" t="s">
        <v>1309</v>
      </c>
      <c r="S1966" s="5">
        <v>1</v>
      </c>
    </row>
    <row r="1967" spans="1:19" hidden="1" x14ac:dyDescent="0.25">
      <c r="A1967" s="1" t="s">
        <v>1099</v>
      </c>
      <c r="B1967" s="1" t="s">
        <v>1309</v>
      </c>
      <c r="C1967" s="5">
        <v>4</v>
      </c>
      <c r="D1967" s="1" t="s">
        <v>1260</v>
      </c>
      <c r="E1967" s="1" t="s">
        <v>1275</v>
      </c>
      <c r="F1967" s="5" t="s">
        <v>25</v>
      </c>
      <c r="G1967" s="5">
        <v>-0.5</v>
      </c>
      <c r="H1967" s="5">
        <v>2</v>
      </c>
      <c r="I1967" s="5" t="b">
        <v>1</v>
      </c>
      <c r="J1967" s="1" t="s">
        <v>1261</v>
      </c>
      <c r="K1967" s="1" t="s">
        <v>32</v>
      </c>
      <c r="L1967" s="1"/>
      <c r="M1967" s="1"/>
      <c r="N1967" s="1"/>
      <c r="O1967" s="1"/>
      <c r="P1967" s="1"/>
      <c r="Q1967" s="1" t="s">
        <v>1309</v>
      </c>
      <c r="R1967" s="1" t="s">
        <v>1309</v>
      </c>
      <c r="S1967" s="5">
        <v>2</v>
      </c>
    </row>
    <row r="1968" spans="1:19" hidden="1" x14ac:dyDescent="0.25">
      <c r="A1968" s="1" t="s">
        <v>1099</v>
      </c>
      <c r="B1968" s="1" t="s">
        <v>1309</v>
      </c>
      <c r="C1968" s="5">
        <v>4</v>
      </c>
      <c r="D1968" s="1" t="s">
        <v>13</v>
      </c>
      <c r="E1968" s="1" t="s">
        <v>961</v>
      </c>
      <c r="F1968" s="5" t="s">
        <v>25</v>
      </c>
      <c r="G1968" s="5">
        <v>3</v>
      </c>
      <c r="H1968" s="5">
        <v>8</v>
      </c>
      <c r="I1968" s="5" t="b">
        <v>1</v>
      </c>
      <c r="J1968" s="1" t="s">
        <v>10</v>
      </c>
      <c r="K1968" s="1" t="s">
        <v>32</v>
      </c>
      <c r="L1968" s="1"/>
      <c r="M1968" s="1"/>
      <c r="N1968" s="1"/>
      <c r="O1968" s="1"/>
      <c r="P1968" s="1"/>
      <c r="Q1968" s="1" t="s">
        <v>1309</v>
      </c>
      <c r="R1968" s="1" t="s">
        <v>1309</v>
      </c>
      <c r="S1968" s="5">
        <v>3</v>
      </c>
    </row>
    <row r="1969" spans="1:19" hidden="1" x14ac:dyDescent="0.25">
      <c r="A1969" s="1" t="s">
        <v>1099</v>
      </c>
      <c r="B1969" s="1" t="s">
        <v>1309</v>
      </c>
      <c r="C1969" s="5">
        <v>4</v>
      </c>
      <c r="D1969" s="1" t="s">
        <v>29</v>
      </c>
      <c r="E1969" s="1" t="s">
        <v>904</v>
      </c>
      <c r="F1969" s="5" t="s">
        <v>24</v>
      </c>
      <c r="G1969" s="5">
        <v>1</v>
      </c>
      <c r="H1969" s="5">
        <v>5</v>
      </c>
      <c r="I1969" s="5" t="b">
        <v>1</v>
      </c>
      <c r="J1969" s="1" t="s">
        <v>1153</v>
      </c>
      <c r="K1969" s="1" t="s">
        <v>32</v>
      </c>
      <c r="L1969" s="1"/>
      <c r="M1969" s="1"/>
      <c r="N1969" s="1"/>
      <c r="O1969" s="1"/>
      <c r="P1969" s="1"/>
      <c r="Q1969" s="1" t="s">
        <v>1309</v>
      </c>
      <c r="R1969" s="1" t="s">
        <v>1309</v>
      </c>
      <c r="S1969" s="5">
        <v>5</v>
      </c>
    </row>
    <row r="1970" spans="1:19" hidden="1" x14ac:dyDescent="0.25">
      <c r="A1970" s="1" t="s">
        <v>1099</v>
      </c>
      <c r="B1970" s="1" t="s">
        <v>1309</v>
      </c>
      <c r="C1970" s="5">
        <v>4</v>
      </c>
      <c r="D1970" s="1" t="s">
        <v>1157</v>
      </c>
      <c r="E1970" s="1" t="s">
        <v>992</v>
      </c>
      <c r="F1970" s="5" t="s">
        <v>26</v>
      </c>
      <c r="G1970" s="5">
        <v>10</v>
      </c>
      <c r="H1970" s="5">
        <v>20</v>
      </c>
      <c r="I1970" s="5" t="b">
        <v>0</v>
      </c>
      <c r="J1970" s="1" t="s">
        <v>1269</v>
      </c>
      <c r="K1970" s="1" t="s">
        <v>32</v>
      </c>
      <c r="L1970" s="1" t="s">
        <v>716</v>
      </c>
      <c r="M1970" s="1" t="s">
        <v>1170</v>
      </c>
      <c r="N1970" s="1"/>
      <c r="O1970" s="1"/>
      <c r="P1970" s="1"/>
      <c r="Q1970" s="1" t="s">
        <v>1309</v>
      </c>
      <c r="R1970" s="1" t="s">
        <v>1309</v>
      </c>
      <c r="S1970" s="5">
        <v>8</v>
      </c>
    </row>
    <row r="1971" spans="1:19" x14ac:dyDescent="0.25">
      <c r="A1971" s="1" t="s">
        <v>1099</v>
      </c>
      <c r="B1971" s="1" t="s">
        <v>1309</v>
      </c>
      <c r="C1971" s="5">
        <v>4</v>
      </c>
      <c r="D1971" s="1" t="s">
        <v>1444</v>
      </c>
      <c r="E1971" s="1" t="s">
        <v>925</v>
      </c>
      <c r="F1971" s="5" t="s">
        <v>26</v>
      </c>
      <c r="G1971" s="5">
        <v>30</v>
      </c>
      <c r="H1971" s="5">
        <v>40</v>
      </c>
      <c r="I1971" s="5" t="b">
        <v>0</v>
      </c>
      <c r="J1971" s="1" t="s">
        <v>1270</v>
      </c>
      <c r="K1971" s="1" t="s">
        <v>32</v>
      </c>
      <c r="L1971" s="1" t="s">
        <v>716</v>
      </c>
      <c r="M1971" s="1" t="s">
        <v>1170</v>
      </c>
      <c r="N1971" s="1"/>
      <c r="O1971" s="1"/>
      <c r="P1971" s="1"/>
      <c r="Q1971" s="1" t="s">
        <v>1309</v>
      </c>
      <c r="R1971" s="1" t="s">
        <v>1309</v>
      </c>
      <c r="S1971" s="5">
        <v>11</v>
      </c>
    </row>
    <row r="1972" spans="1:19" hidden="1" x14ac:dyDescent="0.25">
      <c r="A1972" s="1" t="s">
        <v>1099</v>
      </c>
      <c r="B1972" s="1" t="s">
        <v>1309</v>
      </c>
      <c r="C1972" s="5">
        <v>4</v>
      </c>
      <c r="D1972" s="1" t="s">
        <v>1315</v>
      </c>
      <c r="E1972" s="1" t="s">
        <v>946</v>
      </c>
      <c r="F1972" s="5" t="s">
        <v>26</v>
      </c>
      <c r="G1972" s="5">
        <v>40</v>
      </c>
      <c r="H1972" s="5">
        <v>50</v>
      </c>
      <c r="I1972" s="5" t="b">
        <v>0</v>
      </c>
      <c r="J1972" s="1" t="s">
        <v>1316</v>
      </c>
      <c r="K1972" s="1" t="s">
        <v>32</v>
      </c>
      <c r="L1972" s="1"/>
      <c r="M1972" s="1"/>
      <c r="N1972" s="1"/>
      <c r="O1972" s="1"/>
      <c r="P1972" s="1"/>
      <c r="Q1972" s="1" t="s">
        <v>1309</v>
      </c>
      <c r="R1972" s="1" t="s">
        <v>1309</v>
      </c>
      <c r="S1972" s="5">
        <v>18</v>
      </c>
    </row>
    <row r="1973" spans="1:19" hidden="1" x14ac:dyDescent="0.25">
      <c r="A1973" s="1" t="s">
        <v>1099</v>
      </c>
      <c r="B1973" s="1" t="s">
        <v>1309</v>
      </c>
      <c r="C1973" s="5">
        <v>4</v>
      </c>
      <c r="D1973" s="1" t="s">
        <v>1311</v>
      </c>
      <c r="E1973" s="1" t="s">
        <v>971</v>
      </c>
      <c r="F1973" s="5" t="s">
        <v>25</v>
      </c>
      <c r="G1973" s="5">
        <v>5</v>
      </c>
      <c r="H1973" s="5">
        <v>10</v>
      </c>
      <c r="I1973" s="5" t="b">
        <v>1</v>
      </c>
      <c r="J1973" s="1" t="s">
        <v>1312</v>
      </c>
      <c r="K1973" s="1" t="s">
        <v>32</v>
      </c>
      <c r="L1973" s="1" t="s">
        <v>716</v>
      </c>
      <c r="M1973" s="1" t="s">
        <v>1170</v>
      </c>
      <c r="N1973" s="1"/>
      <c r="O1973" s="1"/>
      <c r="P1973" s="1"/>
      <c r="Q1973" s="1" t="s">
        <v>1309</v>
      </c>
      <c r="R1973" s="1" t="s">
        <v>1309</v>
      </c>
      <c r="S1973" s="5">
        <v>20</v>
      </c>
    </row>
    <row r="1974" spans="1:19" hidden="1" x14ac:dyDescent="0.25">
      <c r="A1974" s="1" t="s">
        <v>1099</v>
      </c>
      <c r="B1974" s="1" t="s">
        <v>1309</v>
      </c>
      <c r="C1974" s="5">
        <v>5</v>
      </c>
      <c r="D1974" s="1" t="s">
        <v>11</v>
      </c>
      <c r="E1974" s="1" t="s">
        <v>1320</v>
      </c>
      <c r="F1974" s="5" t="s">
        <v>25</v>
      </c>
      <c r="G1974" s="5">
        <v>20</v>
      </c>
      <c r="H1974" s="5">
        <v>25</v>
      </c>
      <c r="I1974" s="5" t="b">
        <v>1</v>
      </c>
      <c r="J1974" s="1" t="s">
        <v>0</v>
      </c>
      <c r="K1974" s="1" t="s">
        <v>32</v>
      </c>
      <c r="L1974" s="1" t="s">
        <v>716</v>
      </c>
      <c r="M1974" s="1" t="s">
        <v>1170</v>
      </c>
      <c r="N1974" s="1"/>
      <c r="O1974" s="1"/>
      <c r="P1974" s="1"/>
      <c r="Q1974" s="1" t="s">
        <v>1309</v>
      </c>
      <c r="R1974" s="1" t="s">
        <v>1309</v>
      </c>
      <c r="S1974" s="5">
        <v>1</v>
      </c>
    </row>
    <row r="1975" spans="1:19" hidden="1" x14ac:dyDescent="0.25">
      <c r="A1975" s="1" t="s">
        <v>1099</v>
      </c>
      <c r="B1975" s="1" t="s">
        <v>1309</v>
      </c>
      <c r="C1975" s="5">
        <v>5</v>
      </c>
      <c r="D1975" s="1" t="s">
        <v>13</v>
      </c>
      <c r="E1975" s="1" t="s">
        <v>725</v>
      </c>
      <c r="F1975" s="5" t="s">
        <v>25</v>
      </c>
      <c r="G1975" s="5">
        <v>0</v>
      </c>
      <c r="H1975" s="5">
        <v>1</v>
      </c>
      <c r="I1975" s="5" t="b">
        <v>1</v>
      </c>
      <c r="J1975" s="1" t="s">
        <v>10</v>
      </c>
      <c r="K1975" s="1" t="s">
        <v>32</v>
      </c>
      <c r="L1975" s="1" t="s">
        <v>716</v>
      </c>
      <c r="M1975" s="1" t="s">
        <v>1170</v>
      </c>
      <c r="N1975" s="1"/>
      <c r="O1975" s="1"/>
      <c r="P1975" s="1"/>
      <c r="Q1975" s="1" t="s">
        <v>1309</v>
      </c>
      <c r="R1975" s="1" t="s">
        <v>1309</v>
      </c>
      <c r="S1975" s="5">
        <v>3</v>
      </c>
    </row>
    <row r="1976" spans="1:19" hidden="1" x14ac:dyDescent="0.25">
      <c r="A1976" s="1" t="s">
        <v>1099</v>
      </c>
      <c r="B1976" s="1" t="s">
        <v>1309</v>
      </c>
      <c r="C1976" s="5">
        <v>5</v>
      </c>
      <c r="D1976" s="1" t="s">
        <v>1157</v>
      </c>
      <c r="E1976" s="1" t="s">
        <v>925</v>
      </c>
      <c r="F1976" s="5" t="s">
        <v>26</v>
      </c>
      <c r="G1976" s="5">
        <v>30</v>
      </c>
      <c r="H1976" s="5">
        <v>40</v>
      </c>
      <c r="I1976" s="5" t="b">
        <v>0</v>
      </c>
      <c r="J1976" s="1" t="s">
        <v>1269</v>
      </c>
      <c r="K1976" s="1" t="s">
        <v>32</v>
      </c>
      <c r="L1976" s="1" t="s">
        <v>716</v>
      </c>
      <c r="M1976" s="1" t="s">
        <v>1170</v>
      </c>
      <c r="N1976" s="1"/>
      <c r="O1976" s="1"/>
      <c r="P1976" s="1"/>
      <c r="Q1976" s="1" t="s">
        <v>1309</v>
      </c>
      <c r="R1976" s="1" t="s">
        <v>1309</v>
      </c>
      <c r="S1976" s="5">
        <v>8</v>
      </c>
    </row>
    <row r="1977" spans="1:19" x14ac:dyDescent="0.25">
      <c r="A1977" s="1" t="s">
        <v>1099</v>
      </c>
      <c r="B1977" s="1" t="s">
        <v>1309</v>
      </c>
      <c r="C1977" s="5">
        <v>5</v>
      </c>
      <c r="D1977" s="1" t="s">
        <v>1444</v>
      </c>
      <c r="E1977" s="1" t="s">
        <v>954</v>
      </c>
      <c r="F1977" s="5" t="s">
        <v>26</v>
      </c>
      <c r="G1977" s="5">
        <v>45</v>
      </c>
      <c r="H1977" s="5">
        <v>55</v>
      </c>
      <c r="I1977" s="5" t="b">
        <v>0</v>
      </c>
      <c r="J1977" s="1" t="s">
        <v>1270</v>
      </c>
      <c r="K1977" s="1" t="s">
        <v>32</v>
      </c>
      <c r="L1977" s="1" t="s">
        <v>716</v>
      </c>
      <c r="M1977" s="1" t="s">
        <v>1170</v>
      </c>
      <c r="N1977" s="1"/>
      <c r="O1977" s="1"/>
      <c r="P1977" s="1"/>
      <c r="Q1977" s="1" t="s">
        <v>1309</v>
      </c>
      <c r="R1977" s="1" t="s">
        <v>1309</v>
      </c>
      <c r="S1977" s="5">
        <v>11</v>
      </c>
    </row>
    <row r="1978" spans="1:19" hidden="1" x14ac:dyDescent="0.25">
      <c r="A1978" s="1" t="s">
        <v>1099</v>
      </c>
      <c r="B1978" s="1" t="s">
        <v>1309</v>
      </c>
      <c r="C1978" s="5">
        <v>5</v>
      </c>
      <c r="D1978" s="1" t="s">
        <v>1315</v>
      </c>
      <c r="E1978" s="1" t="s">
        <v>953</v>
      </c>
      <c r="F1978" s="5" t="s">
        <v>26</v>
      </c>
      <c r="G1978" s="5">
        <v>55</v>
      </c>
      <c r="H1978" s="5">
        <v>65</v>
      </c>
      <c r="I1978" s="5" t="b">
        <v>0</v>
      </c>
      <c r="J1978" s="1" t="s">
        <v>1316</v>
      </c>
      <c r="K1978" s="1" t="s">
        <v>32</v>
      </c>
      <c r="L1978" s="1" t="s">
        <v>716</v>
      </c>
      <c r="M1978" s="1" t="s">
        <v>1170</v>
      </c>
      <c r="N1978" s="1"/>
      <c r="O1978" s="1"/>
      <c r="P1978" s="1"/>
      <c r="Q1978" s="1" t="s">
        <v>1309</v>
      </c>
      <c r="R1978" s="1" t="s">
        <v>1309</v>
      </c>
      <c r="S1978" s="5">
        <v>18</v>
      </c>
    </row>
    <row r="1979" spans="1:19" hidden="1" x14ac:dyDescent="0.25">
      <c r="A1979" s="1" t="s">
        <v>1099</v>
      </c>
      <c r="B1979" s="1" t="s">
        <v>1321</v>
      </c>
      <c r="C1979" s="5">
        <v>2</v>
      </c>
      <c r="D1979" s="1" t="s">
        <v>11</v>
      </c>
      <c r="E1979" s="1" t="s">
        <v>988</v>
      </c>
      <c r="F1979" s="5" t="s">
        <v>24</v>
      </c>
      <c r="G1979" s="5">
        <v>45</v>
      </c>
      <c r="H1979" s="5">
        <v>55</v>
      </c>
      <c r="I1979" s="5" t="b">
        <v>1</v>
      </c>
      <c r="J1979" s="1" t="s">
        <v>0</v>
      </c>
      <c r="K1979" s="1" t="s">
        <v>32</v>
      </c>
      <c r="L1979" s="1"/>
      <c r="M1979" s="1"/>
      <c r="N1979" s="1"/>
      <c r="O1979" s="1"/>
      <c r="P1979" s="1"/>
      <c r="Q1979" s="1" t="s">
        <v>1321</v>
      </c>
      <c r="R1979" s="1" t="s">
        <v>1321</v>
      </c>
      <c r="S1979" s="5">
        <v>1</v>
      </c>
    </row>
    <row r="1980" spans="1:19" hidden="1" x14ac:dyDescent="0.25">
      <c r="A1980" s="1" t="s">
        <v>1099</v>
      </c>
      <c r="B1980" s="1" t="s">
        <v>1321</v>
      </c>
      <c r="C1980" s="5">
        <v>2</v>
      </c>
      <c r="D1980" s="1" t="s">
        <v>1260</v>
      </c>
      <c r="E1980" s="1" t="s">
        <v>991</v>
      </c>
      <c r="F1980" s="5" t="s">
        <v>25</v>
      </c>
      <c r="G1980" s="5">
        <v>2</v>
      </c>
      <c r="H1980" s="5">
        <v>3</v>
      </c>
      <c r="I1980" s="5" t="b">
        <v>1</v>
      </c>
      <c r="J1980" s="1" t="s">
        <v>1261</v>
      </c>
      <c r="K1980" s="1" t="s">
        <v>32</v>
      </c>
      <c r="L1980" s="1"/>
      <c r="M1980" s="1"/>
      <c r="N1980" s="1"/>
      <c r="O1980" s="1"/>
      <c r="P1980" s="1"/>
      <c r="Q1980" s="1" t="s">
        <v>1321</v>
      </c>
      <c r="R1980" s="1" t="s">
        <v>1321</v>
      </c>
      <c r="S1980" s="5">
        <v>2</v>
      </c>
    </row>
    <row r="1981" spans="1:19" hidden="1" x14ac:dyDescent="0.25">
      <c r="A1981" s="1" t="s">
        <v>1099</v>
      </c>
      <c r="B1981" s="1" t="s">
        <v>1321</v>
      </c>
      <c r="C1981" s="5">
        <v>2</v>
      </c>
      <c r="D1981" s="1" t="s">
        <v>13</v>
      </c>
      <c r="E1981" s="1" t="s">
        <v>979</v>
      </c>
      <c r="F1981" s="5" t="s">
        <v>25</v>
      </c>
      <c r="G1981" s="5">
        <v>20</v>
      </c>
      <c r="H1981" s="5">
        <v>25</v>
      </c>
      <c r="I1981" s="5" t="b">
        <v>1</v>
      </c>
      <c r="J1981" s="1" t="s">
        <v>10</v>
      </c>
      <c r="K1981" s="1" t="s">
        <v>32</v>
      </c>
      <c r="L1981" s="1"/>
      <c r="M1981" s="1"/>
      <c r="N1981" s="1"/>
      <c r="O1981" s="1"/>
      <c r="P1981" s="1"/>
      <c r="Q1981" s="1" t="s">
        <v>1321</v>
      </c>
      <c r="R1981" s="1" t="s">
        <v>1321</v>
      </c>
      <c r="S1981" s="5">
        <v>3</v>
      </c>
    </row>
    <row r="1982" spans="1:19" hidden="1" x14ac:dyDescent="0.25">
      <c r="A1982" s="1" t="s">
        <v>1099</v>
      </c>
      <c r="B1982" s="1" t="s">
        <v>1321</v>
      </c>
      <c r="C1982" s="5">
        <v>2</v>
      </c>
      <c r="D1982" s="1" t="s">
        <v>1263</v>
      </c>
      <c r="E1982" s="1" t="s">
        <v>961</v>
      </c>
      <c r="F1982" s="5" t="s">
        <v>25</v>
      </c>
      <c r="G1982" s="5">
        <v>3</v>
      </c>
      <c r="H1982" s="5">
        <v>8</v>
      </c>
      <c r="I1982" s="5" t="b">
        <v>1</v>
      </c>
      <c r="J1982" s="1" t="s">
        <v>1264</v>
      </c>
      <c r="K1982" s="1" t="s">
        <v>32</v>
      </c>
      <c r="L1982" s="1"/>
      <c r="M1982" s="1"/>
      <c r="N1982" s="1"/>
      <c r="O1982" s="1"/>
      <c r="P1982" s="1"/>
      <c r="Q1982" s="1" t="s">
        <v>1321</v>
      </c>
      <c r="R1982" s="1" t="s">
        <v>1321</v>
      </c>
      <c r="S1982" s="5">
        <v>4</v>
      </c>
    </row>
    <row r="1983" spans="1:19" hidden="1" x14ac:dyDescent="0.25">
      <c r="A1983" s="1" t="s">
        <v>1099</v>
      </c>
      <c r="B1983" s="1" t="s">
        <v>1321</v>
      </c>
      <c r="C1983" s="5">
        <v>2</v>
      </c>
      <c r="D1983" s="1" t="s">
        <v>29</v>
      </c>
      <c r="E1983" s="1" t="s">
        <v>1114</v>
      </c>
      <c r="F1983" s="5" t="s">
        <v>25</v>
      </c>
      <c r="G1983" s="5">
        <v>13</v>
      </c>
      <c r="H1983" s="5">
        <v>20</v>
      </c>
      <c r="I1983" s="5" t="b">
        <v>1</v>
      </c>
      <c r="J1983" s="1" t="s">
        <v>1153</v>
      </c>
      <c r="K1983" s="1" t="s">
        <v>32</v>
      </c>
      <c r="L1983" s="1"/>
      <c r="M1983" s="1"/>
      <c r="N1983" s="1"/>
      <c r="O1983" s="1"/>
      <c r="P1983" s="1"/>
      <c r="Q1983" s="1" t="s">
        <v>1321</v>
      </c>
      <c r="R1983" s="1" t="s">
        <v>1321</v>
      </c>
      <c r="S1983" s="5">
        <v>5</v>
      </c>
    </row>
    <row r="1984" spans="1:19" hidden="1" x14ac:dyDescent="0.25">
      <c r="A1984" s="1" t="s">
        <v>1099</v>
      </c>
      <c r="B1984" s="1" t="s">
        <v>1321</v>
      </c>
      <c r="C1984" s="5">
        <v>2</v>
      </c>
      <c r="D1984" s="1" t="s">
        <v>35</v>
      </c>
      <c r="E1984" s="1" t="s">
        <v>1322</v>
      </c>
      <c r="F1984" s="5" t="s">
        <v>24</v>
      </c>
      <c r="G1984" s="5">
        <v>16</v>
      </c>
      <c r="H1984" s="5">
        <v>26</v>
      </c>
      <c r="I1984" s="5" t="b">
        <v>1</v>
      </c>
      <c r="J1984" s="1" t="s">
        <v>1323</v>
      </c>
      <c r="K1984" s="1" t="s">
        <v>32</v>
      </c>
      <c r="L1984" s="1"/>
      <c r="M1984" s="1"/>
      <c r="N1984" s="1"/>
      <c r="O1984" s="1"/>
      <c r="P1984" s="1"/>
      <c r="Q1984" s="1" t="s">
        <v>1321</v>
      </c>
      <c r="R1984" s="1" t="s">
        <v>1321</v>
      </c>
      <c r="S1984" s="5">
        <v>7</v>
      </c>
    </row>
    <row r="1985" spans="1:19" hidden="1" x14ac:dyDescent="0.25">
      <c r="A1985" s="1" t="s">
        <v>1099</v>
      </c>
      <c r="B1985" s="1" t="s">
        <v>1321</v>
      </c>
      <c r="C1985" s="5">
        <v>2</v>
      </c>
      <c r="D1985" s="1" t="s">
        <v>1157</v>
      </c>
      <c r="E1985" s="1" t="s">
        <v>1325</v>
      </c>
      <c r="F1985" s="5" t="s">
        <v>26</v>
      </c>
      <c r="G1985" s="5">
        <v>1</v>
      </c>
      <c r="H1985" s="5">
        <v>5</v>
      </c>
      <c r="I1985" s="5" t="b">
        <v>0</v>
      </c>
      <c r="J1985" s="1" t="s">
        <v>1269</v>
      </c>
      <c r="K1985" s="1" t="s">
        <v>32</v>
      </c>
      <c r="L1985" s="1"/>
      <c r="M1985" s="1"/>
      <c r="N1985" s="1"/>
      <c r="O1985" s="1"/>
      <c r="P1985" s="1"/>
      <c r="Q1985" s="1" t="s">
        <v>1321</v>
      </c>
      <c r="R1985" s="1" t="s">
        <v>1321</v>
      </c>
      <c r="S1985" s="5">
        <v>8</v>
      </c>
    </row>
    <row r="1986" spans="1:19" hidden="1" x14ac:dyDescent="0.25">
      <c r="A1986" s="1" t="s">
        <v>1099</v>
      </c>
      <c r="B1986" s="1" t="s">
        <v>1321</v>
      </c>
      <c r="C1986" s="5">
        <v>2</v>
      </c>
      <c r="D1986" s="1" t="s">
        <v>1193</v>
      </c>
      <c r="E1986" s="1" t="s">
        <v>1271</v>
      </c>
      <c r="F1986" s="5" t="s">
        <v>27</v>
      </c>
      <c r="G1986" s="5">
        <v>0</v>
      </c>
      <c r="H1986" s="5">
        <v>1</v>
      </c>
      <c r="I1986" s="5" t="b">
        <v>0</v>
      </c>
      <c r="J1986" s="1" t="s">
        <v>1272</v>
      </c>
      <c r="K1986" s="1" t="s">
        <v>32</v>
      </c>
      <c r="L1986" s="1"/>
      <c r="M1986" s="1"/>
      <c r="N1986" s="1"/>
      <c r="O1986" s="1"/>
      <c r="P1986" s="1"/>
      <c r="Q1986" s="1" t="s">
        <v>1321</v>
      </c>
      <c r="R1986" s="1" t="s">
        <v>1321</v>
      </c>
      <c r="S1986" s="5">
        <v>10</v>
      </c>
    </row>
    <row r="1987" spans="1:19" x14ac:dyDescent="0.25">
      <c r="A1987" s="1" t="s">
        <v>1099</v>
      </c>
      <c r="B1987" s="1" t="s">
        <v>1321</v>
      </c>
      <c r="C1987" s="5">
        <v>2</v>
      </c>
      <c r="D1987" s="1" t="s">
        <v>1444</v>
      </c>
      <c r="E1987" s="1" t="s">
        <v>1326</v>
      </c>
      <c r="F1987" s="5" t="s">
        <v>27</v>
      </c>
      <c r="G1987" s="5">
        <v>10</v>
      </c>
      <c r="H1987" s="5">
        <v>15</v>
      </c>
      <c r="I1987" s="5" t="b">
        <v>0</v>
      </c>
      <c r="J1987" s="1" t="s">
        <v>1270</v>
      </c>
      <c r="K1987" s="1" t="s">
        <v>32</v>
      </c>
      <c r="L1987" s="1"/>
      <c r="M1987" s="1"/>
      <c r="N1987" s="1"/>
      <c r="O1987" s="1"/>
      <c r="P1987" s="1"/>
      <c r="Q1987" s="1" t="s">
        <v>1321</v>
      </c>
      <c r="R1987" s="1" t="s">
        <v>1321</v>
      </c>
      <c r="S1987" s="5">
        <v>11</v>
      </c>
    </row>
    <row r="1988" spans="1:19" hidden="1" x14ac:dyDescent="0.25">
      <c r="A1988" s="1" t="s">
        <v>1099</v>
      </c>
      <c r="B1988" s="1" t="s">
        <v>1321</v>
      </c>
      <c r="C1988" s="5">
        <v>2</v>
      </c>
      <c r="D1988" s="1" t="s">
        <v>342</v>
      </c>
      <c r="E1988" s="1" t="s">
        <v>1324</v>
      </c>
      <c r="F1988" s="5" t="s">
        <v>25</v>
      </c>
      <c r="G1988" s="5">
        <v>4</v>
      </c>
      <c r="H1988" s="5">
        <v>4.5</v>
      </c>
      <c r="I1988" s="5" t="b">
        <v>1</v>
      </c>
      <c r="J1988" s="1" t="s">
        <v>480</v>
      </c>
      <c r="K1988" s="1" t="s">
        <v>32</v>
      </c>
      <c r="L1988" s="1"/>
      <c r="M1988" s="1"/>
      <c r="N1988" s="1"/>
      <c r="O1988" s="1"/>
      <c r="P1988" s="1"/>
      <c r="Q1988" s="1" t="s">
        <v>1321</v>
      </c>
      <c r="R1988" s="1" t="s">
        <v>1321</v>
      </c>
      <c r="S1988" s="5">
        <v>12</v>
      </c>
    </row>
    <row r="1989" spans="1:19" hidden="1" x14ac:dyDescent="0.25">
      <c r="A1989" s="1" t="s">
        <v>1099</v>
      </c>
      <c r="B1989" s="1" t="s">
        <v>1321</v>
      </c>
      <c r="C1989" s="5">
        <v>3</v>
      </c>
      <c r="D1989" s="1" t="s">
        <v>11</v>
      </c>
      <c r="E1989" s="1" t="s">
        <v>932</v>
      </c>
      <c r="F1989" s="5" t="s">
        <v>24</v>
      </c>
      <c r="G1989" s="5">
        <v>35</v>
      </c>
      <c r="H1989" s="5">
        <v>45</v>
      </c>
      <c r="I1989" s="5" t="b">
        <v>1</v>
      </c>
      <c r="J1989" s="1" t="s">
        <v>0</v>
      </c>
      <c r="K1989" s="1" t="s">
        <v>32</v>
      </c>
      <c r="L1989" s="1" t="s">
        <v>716</v>
      </c>
      <c r="M1989" s="1" t="s">
        <v>1170</v>
      </c>
      <c r="N1989" s="1"/>
      <c r="O1989" s="1"/>
      <c r="P1989" s="1"/>
      <c r="Q1989" s="1" t="s">
        <v>1321</v>
      </c>
      <c r="R1989" s="1" t="s">
        <v>1321</v>
      </c>
      <c r="S1989" s="5">
        <v>1</v>
      </c>
    </row>
    <row r="1990" spans="1:19" hidden="1" x14ac:dyDescent="0.25">
      <c r="A1990" s="1" t="s">
        <v>1099</v>
      </c>
      <c r="B1990" s="1" t="s">
        <v>1321</v>
      </c>
      <c r="C1990" s="5">
        <v>3</v>
      </c>
      <c r="D1990" s="1" t="s">
        <v>1260</v>
      </c>
      <c r="E1990" s="1" t="s">
        <v>991</v>
      </c>
      <c r="F1990" s="5" t="s">
        <v>25</v>
      </c>
      <c r="G1990" s="5">
        <v>2</v>
      </c>
      <c r="H1990" s="5">
        <v>3</v>
      </c>
      <c r="I1990" s="5" t="b">
        <v>1</v>
      </c>
      <c r="J1990" s="1" t="s">
        <v>1261</v>
      </c>
      <c r="K1990" s="1" t="s">
        <v>32</v>
      </c>
      <c r="L1990" s="1"/>
      <c r="M1990" s="1"/>
      <c r="N1990" s="1"/>
      <c r="O1990" s="1"/>
      <c r="P1990" s="1"/>
      <c r="Q1990" s="1" t="s">
        <v>1321</v>
      </c>
      <c r="R1990" s="1" t="s">
        <v>1321</v>
      </c>
      <c r="S1990" s="5">
        <v>2</v>
      </c>
    </row>
    <row r="1991" spans="1:19" hidden="1" x14ac:dyDescent="0.25">
      <c r="A1991" s="1" t="s">
        <v>1099</v>
      </c>
      <c r="B1991" s="1" t="s">
        <v>1321</v>
      </c>
      <c r="C1991" s="5">
        <v>3</v>
      </c>
      <c r="D1991" s="1" t="s">
        <v>13</v>
      </c>
      <c r="E1991" s="1" t="s">
        <v>1317</v>
      </c>
      <c r="F1991" s="5" t="s">
        <v>25</v>
      </c>
      <c r="G1991" s="5">
        <v>12</v>
      </c>
      <c r="H1991" s="5">
        <v>19</v>
      </c>
      <c r="I1991" s="5" t="b">
        <v>1</v>
      </c>
      <c r="J1991" s="1" t="s">
        <v>10</v>
      </c>
      <c r="K1991" s="1" t="s">
        <v>32</v>
      </c>
      <c r="L1991" s="1"/>
      <c r="M1991" s="1"/>
      <c r="N1991" s="1"/>
      <c r="O1991" s="1"/>
      <c r="P1991" s="1"/>
      <c r="Q1991" s="1" t="s">
        <v>1321</v>
      </c>
      <c r="R1991" s="1" t="s">
        <v>1321</v>
      </c>
      <c r="S1991" s="5">
        <v>3</v>
      </c>
    </row>
    <row r="1992" spans="1:19" hidden="1" x14ac:dyDescent="0.25">
      <c r="A1992" s="1" t="s">
        <v>1099</v>
      </c>
      <c r="B1992" s="1" t="s">
        <v>1321</v>
      </c>
      <c r="C1992" s="5">
        <v>3</v>
      </c>
      <c r="D1992" s="1" t="s">
        <v>1263</v>
      </c>
      <c r="E1992" s="1" t="s">
        <v>939</v>
      </c>
      <c r="F1992" s="5" t="s">
        <v>25</v>
      </c>
      <c r="G1992" s="5">
        <v>0</v>
      </c>
      <c r="H1992" s="5">
        <v>3</v>
      </c>
      <c r="I1992" s="5" t="b">
        <v>1</v>
      </c>
      <c r="J1992" s="1" t="s">
        <v>1264</v>
      </c>
      <c r="K1992" s="1" t="s">
        <v>32</v>
      </c>
      <c r="L1992" s="1" t="s">
        <v>716</v>
      </c>
      <c r="M1992" s="1" t="s">
        <v>1170</v>
      </c>
      <c r="N1992" s="1"/>
      <c r="O1992" s="1"/>
      <c r="P1992" s="1"/>
      <c r="Q1992" s="1" t="s">
        <v>1321</v>
      </c>
      <c r="R1992" s="1" t="s">
        <v>1321</v>
      </c>
      <c r="S1992" s="5">
        <v>4</v>
      </c>
    </row>
    <row r="1993" spans="1:19" hidden="1" x14ac:dyDescent="0.25">
      <c r="A1993" s="1" t="s">
        <v>1099</v>
      </c>
      <c r="B1993" s="1" t="s">
        <v>1321</v>
      </c>
      <c r="C1993" s="5">
        <v>3</v>
      </c>
      <c r="D1993" s="1" t="s">
        <v>29</v>
      </c>
      <c r="E1993" s="1" t="s">
        <v>1282</v>
      </c>
      <c r="F1993" s="5" t="s">
        <v>25</v>
      </c>
      <c r="G1993" s="5">
        <v>6</v>
      </c>
      <c r="H1993" s="5">
        <v>11</v>
      </c>
      <c r="I1993" s="5" t="b">
        <v>1</v>
      </c>
      <c r="J1993" s="1" t="s">
        <v>1153</v>
      </c>
      <c r="K1993" s="1" t="s">
        <v>32</v>
      </c>
      <c r="L1993" s="1"/>
      <c r="M1993" s="1"/>
      <c r="N1993" s="1"/>
      <c r="O1993" s="1"/>
      <c r="P1993" s="1"/>
      <c r="Q1993" s="1" t="s">
        <v>1321</v>
      </c>
      <c r="R1993" s="1" t="s">
        <v>1321</v>
      </c>
      <c r="S1993" s="5">
        <v>5</v>
      </c>
    </row>
    <row r="1994" spans="1:19" hidden="1" x14ac:dyDescent="0.25">
      <c r="A1994" s="1" t="s">
        <v>1099</v>
      </c>
      <c r="B1994" s="1" t="s">
        <v>1321</v>
      </c>
      <c r="C1994" s="5">
        <v>3</v>
      </c>
      <c r="D1994" s="1" t="s">
        <v>35</v>
      </c>
      <c r="E1994" s="1" t="s">
        <v>994</v>
      </c>
      <c r="F1994" s="5" t="s">
        <v>24</v>
      </c>
      <c r="G1994" s="5">
        <v>9</v>
      </c>
      <c r="H1994" s="5">
        <v>15</v>
      </c>
      <c r="I1994" s="5" t="b">
        <v>1</v>
      </c>
      <c r="J1994" s="1" t="s">
        <v>1323</v>
      </c>
      <c r="K1994" s="1" t="s">
        <v>32</v>
      </c>
      <c r="L1994" s="1" t="s">
        <v>716</v>
      </c>
      <c r="M1994" s="1" t="s">
        <v>1170</v>
      </c>
      <c r="N1994" s="1"/>
      <c r="O1994" s="1"/>
      <c r="P1994" s="1"/>
      <c r="Q1994" s="1" t="s">
        <v>1321</v>
      </c>
      <c r="R1994" s="1" t="s">
        <v>1321</v>
      </c>
      <c r="S1994" s="5">
        <v>7</v>
      </c>
    </row>
    <row r="1995" spans="1:19" hidden="1" x14ac:dyDescent="0.25">
      <c r="A1995" s="1" t="s">
        <v>1099</v>
      </c>
      <c r="B1995" s="1" t="s">
        <v>1321</v>
      </c>
      <c r="C1995" s="5">
        <v>3</v>
      </c>
      <c r="D1995" s="1" t="s">
        <v>1157</v>
      </c>
      <c r="E1995" s="1" t="s">
        <v>1328</v>
      </c>
      <c r="F1995" s="5" t="s">
        <v>27</v>
      </c>
      <c r="G1995" s="5">
        <v>5</v>
      </c>
      <c r="H1995" s="5">
        <v>8</v>
      </c>
      <c r="I1995" s="5" t="b">
        <v>0</v>
      </c>
      <c r="J1995" s="1" t="s">
        <v>1269</v>
      </c>
      <c r="K1995" s="1" t="s">
        <v>32</v>
      </c>
      <c r="L1995" s="1" t="s">
        <v>716</v>
      </c>
      <c r="M1995" s="1" t="s">
        <v>1170</v>
      </c>
      <c r="N1995" s="1"/>
      <c r="O1995" s="1"/>
      <c r="P1995" s="1"/>
      <c r="Q1995" s="1" t="s">
        <v>1321</v>
      </c>
      <c r="R1995" s="1" t="s">
        <v>1321</v>
      </c>
      <c r="S1995" s="5">
        <v>8</v>
      </c>
    </row>
    <row r="1996" spans="1:19" x14ac:dyDescent="0.25">
      <c r="A1996" s="1" t="s">
        <v>1099</v>
      </c>
      <c r="B1996" s="1" t="s">
        <v>1321</v>
      </c>
      <c r="C1996" s="5">
        <v>3</v>
      </c>
      <c r="D1996" s="1" t="s">
        <v>1444</v>
      </c>
      <c r="E1996" s="1" t="s">
        <v>998</v>
      </c>
      <c r="F1996" s="5" t="s">
        <v>26</v>
      </c>
      <c r="G1996" s="5">
        <v>15</v>
      </c>
      <c r="H1996" s="5">
        <v>25</v>
      </c>
      <c r="I1996" s="5" t="b">
        <v>0</v>
      </c>
      <c r="J1996" s="1" t="s">
        <v>1270</v>
      </c>
      <c r="K1996" s="1" t="s">
        <v>32</v>
      </c>
      <c r="L1996" s="1" t="s">
        <v>716</v>
      </c>
      <c r="M1996" s="1" t="s">
        <v>1170</v>
      </c>
      <c r="N1996" s="1"/>
      <c r="O1996" s="1"/>
      <c r="P1996" s="1"/>
      <c r="Q1996" s="1" t="s">
        <v>1321</v>
      </c>
      <c r="R1996" s="1" t="s">
        <v>1321</v>
      </c>
      <c r="S1996" s="5">
        <v>11</v>
      </c>
    </row>
    <row r="1997" spans="1:19" hidden="1" x14ac:dyDescent="0.25">
      <c r="A1997" s="1" t="s">
        <v>1099</v>
      </c>
      <c r="B1997" s="1" t="s">
        <v>1321</v>
      </c>
      <c r="C1997" s="5">
        <v>3</v>
      </c>
      <c r="D1997" s="1" t="s">
        <v>342</v>
      </c>
      <c r="E1997" s="1" t="s">
        <v>1327</v>
      </c>
      <c r="F1997" s="5" t="s">
        <v>24</v>
      </c>
      <c r="G1997" s="5">
        <v>3.4</v>
      </c>
      <c r="H1997" s="5">
        <v>4</v>
      </c>
      <c r="I1997" s="5" t="b">
        <v>1</v>
      </c>
      <c r="J1997" s="1" t="s">
        <v>480</v>
      </c>
      <c r="K1997" s="1" t="s">
        <v>32</v>
      </c>
      <c r="L1997" s="1" t="s">
        <v>716</v>
      </c>
      <c r="M1997" s="1" t="s">
        <v>1170</v>
      </c>
      <c r="N1997" s="1"/>
      <c r="O1997" s="1"/>
      <c r="P1997" s="1"/>
      <c r="Q1997" s="1" t="s">
        <v>1321</v>
      </c>
      <c r="R1997" s="1" t="s">
        <v>1321</v>
      </c>
      <c r="S1997" s="5">
        <v>12</v>
      </c>
    </row>
    <row r="1998" spans="1:19" hidden="1" x14ac:dyDescent="0.25">
      <c r="A1998" s="1" t="s">
        <v>1099</v>
      </c>
      <c r="B1998" s="1" t="s">
        <v>1321</v>
      </c>
      <c r="C1998" s="5">
        <v>4</v>
      </c>
      <c r="D1998" s="1" t="s">
        <v>11</v>
      </c>
      <c r="E1998" s="1" t="s">
        <v>950</v>
      </c>
      <c r="F1998" s="5" t="s">
        <v>25</v>
      </c>
      <c r="G1998" s="5">
        <v>25</v>
      </c>
      <c r="H1998" s="5">
        <v>30</v>
      </c>
      <c r="I1998" s="5" t="b">
        <v>1</v>
      </c>
      <c r="J1998" s="1" t="s">
        <v>0</v>
      </c>
      <c r="K1998" s="1" t="s">
        <v>32</v>
      </c>
      <c r="L1998" s="1" t="s">
        <v>716</v>
      </c>
      <c r="M1998" s="1" t="s">
        <v>1170</v>
      </c>
      <c r="N1998" s="1"/>
      <c r="O1998" s="1"/>
      <c r="P1998" s="1"/>
      <c r="Q1998" s="1" t="s">
        <v>1321</v>
      </c>
      <c r="R1998" s="1" t="s">
        <v>1321</v>
      </c>
      <c r="S1998" s="5">
        <v>1</v>
      </c>
    </row>
    <row r="1999" spans="1:19" hidden="1" x14ac:dyDescent="0.25">
      <c r="A1999" s="1" t="s">
        <v>1099</v>
      </c>
      <c r="B1999" s="1" t="s">
        <v>1321</v>
      </c>
      <c r="C1999" s="5">
        <v>4</v>
      </c>
      <c r="D1999" s="1" t="s">
        <v>1260</v>
      </c>
      <c r="E1999" s="1" t="s">
        <v>1275</v>
      </c>
      <c r="F1999" s="5" t="s">
        <v>25</v>
      </c>
      <c r="G1999" s="5">
        <v>-0.5</v>
      </c>
      <c r="H1999" s="5">
        <v>2</v>
      </c>
      <c r="I1999" s="5" t="b">
        <v>1</v>
      </c>
      <c r="J1999" s="1" t="s">
        <v>1261</v>
      </c>
      <c r="K1999" s="1" t="s">
        <v>32</v>
      </c>
      <c r="L1999" s="1"/>
      <c r="M1999" s="1"/>
      <c r="N1999" s="1"/>
      <c r="O1999" s="1"/>
      <c r="P1999" s="1"/>
      <c r="Q1999" s="1" t="s">
        <v>1321</v>
      </c>
      <c r="R1999" s="1" t="s">
        <v>1321</v>
      </c>
      <c r="S1999" s="5">
        <v>2</v>
      </c>
    </row>
    <row r="2000" spans="1:19" hidden="1" x14ac:dyDescent="0.25">
      <c r="A2000" s="1" t="s">
        <v>1099</v>
      </c>
      <c r="B2000" s="1" t="s">
        <v>1321</v>
      </c>
      <c r="C2000" s="5">
        <v>4</v>
      </c>
      <c r="D2000" s="1" t="s">
        <v>13</v>
      </c>
      <c r="E2000" s="1" t="s">
        <v>1282</v>
      </c>
      <c r="F2000" s="5" t="s">
        <v>25</v>
      </c>
      <c r="G2000" s="5">
        <v>6</v>
      </c>
      <c r="H2000" s="5">
        <v>11</v>
      </c>
      <c r="I2000" s="5" t="b">
        <v>1</v>
      </c>
      <c r="J2000" s="1" t="s">
        <v>10</v>
      </c>
      <c r="K2000" s="1" t="s">
        <v>32</v>
      </c>
      <c r="L2000" s="1"/>
      <c r="M2000" s="1"/>
      <c r="N2000" s="1"/>
      <c r="O2000" s="1"/>
      <c r="P2000" s="1"/>
      <c r="Q2000" s="1" t="s">
        <v>1321</v>
      </c>
      <c r="R2000" s="1" t="s">
        <v>1321</v>
      </c>
      <c r="S2000" s="5">
        <v>3</v>
      </c>
    </row>
    <row r="2001" spans="1:19" hidden="1" x14ac:dyDescent="0.25">
      <c r="A2001" s="1" t="s">
        <v>1099</v>
      </c>
      <c r="B2001" s="1" t="s">
        <v>1321</v>
      </c>
      <c r="C2001" s="5">
        <v>4</v>
      </c>
      <c r="D2001" s="1" t="s">
        <v>29</v>
      </c>
      <c r="E2001" s="1" t="s">
        <v>1305</v>
      </c>
      <c r="F2001" s="5" t="s">
        <v>25</v>
      </c>
      <c r="G2001" s="5">
        <v>1</v>
      </c>
      <c r="H2001" s="5">
        <v>6</v>
      </c>
      <c r="I2001" s="5" t="b">
        <v>1</v>
      </c>
      <c r="J2001" s="1" t="s">
        <v>1153</v>
      </c>
      <c r="K2001" s="1" t="s">
        <v>32</v>
      </c>
      <c r="L2001" s="1" t="s">
        <v>716</v>
      </c>
      <c r="M2001" s="1" t="s">
        <v>1170</v>
      </c>
      <c r="N2001" s="1"/>
      <c r="O2001" s="1"/>
      <c r="P2001" s="1"/>
      <c r="Q2001" s="1" t="s">
        <v>1321</v>
      </c>
      <c r="R2001" s="1" t="s">
        <v>1321</v>
      </c>
      <c r="S2001" s="5">
        <v>5</v>
      </c>
    </row>
    <row r="2002" spans="1:19" hidden="1" x14ac:dyDescent="0.25">
      <c r="A2002" s="1" t="s">
        <v>1099</v>
      </c>
      <c r="B2002" s="1" t="s">
        <v>1321</v>
      </c>
      <c r="C2002" s="5">
        <v>4</v>
      </c>
      <c r="D2002" s="1" t="s">
        <v>35</v>
      </c>
      <c r="E2002" s="1" t="s">
        <v>1305</v>
      </c>
      <c r="F2002" s="5" t="s">
        <v>25</v>
      </c>
      <c r="G2002" s="5">
        <v>1</v>
      </c>
      <c r="H2002" s="5">
        <v>6</v>
      </c>
      <c r="I2002" s="5" t="b">
        <v>1</v>
      </c>
      <c r="J2002" s="1" t="s">
        <v>1323</v>
      </c>
      <c r="K2002" s="1" t="s">
        <v>32</v>
      </c>
      <c r="L2002" s="1"/>
      <c r="M2002" s="1"/>
      <c r="N2002" s="1"/>
      <c r="O2002" s="1"/>
      <c r="P2002" s="1"/>
      <c r="Q2002" s="1" t="s">
        <v>1321</v>
      </c>
      <c r="R2002" s="1" t="s">
        <v>1321</v>
      </c>
      <c r="S2002" s="5">
        <v>7</v>
      </c>
    </row>
    <row r="2003" spans="1:19" hidden="1" x14ac:dyDescent="0.25">
      <c r="A2003" s="1" t="s">
        <v>1099</v>
      </c>
      <c r="B2003" s="1" t="s">
        <v>1321</v>
      </c>
      <c r="C2003" s="5">
        <v>4</v>
      </c>
      <c r="D2003" s="1" t="s">
        <v>1157</v>
      </c>
      <c r="E2003" s="1" t="s">
        <v>1329</v>
      </c>
      <c r="F2003" s="5" t="s">
        <v>27</v>
      </c>
      <c r="G2003" s="5">
        <v>8</v>
      </c>
      <c r="H2003" s="5">
        <v>13</v>
      </c>
      <c r="I2003" s="5" t="b">
        <v>0</v>
      </c>
      <c r="J2003" s="1" t="s">
        <v>1269</v>
      </c>
      <c r="K2003" s="1" t="s">
        <v>32</v>
      </c>
      <c r="L2003" s="1" t="s">
        <v>716</v>
      </c>
      <c r="M2003" s="1" t="s">
        <v>1170</v>
      </c>
      <c r="N2003" s="1"/>
      <c r="O2003" s="1"/>
      <c r="P2003" s="1"/>
      <c r="Q2003" s="1" t="s">
        <v>1321</v>
      </c>
      <c r="R2003" s="1" t="s">
        <v>1321</v>
      </c>
      <c r="S2003" s="5">
        <v>8</v>
      </c>
    </row>
    <row r="2004" spans="1:19" x14ac:dyDescent="0.25">
      <c r="A2004" s="1" t="s">
        <v>1099</v>
      </c>
      <c r="B2004" s="1" t="s">
        <v>1321</v>
      </c>
      <c r="C2004" s="5">
        <v>4</v>
      </c>
      <c r="D2004" s="1" t="s">
        <v>1444</v>
      </c>
      <c r="E2004" s="1" t="s">
        <v>987</v>
      </c>
      <c r="F2004" s="5" t="s">
        <v>26</v>
      </c>
      <c r="G2004" s="5">
        <v>25</v>
      </c>
      <c r="H2004" s="5">
        <v>35</v>
      </c>
      <c r="I2004" s="5" t="b">
        <v>0</v>
      </c>
      <c r="J2004" s="1" t="s">
        <v>1270</v>
      </c>
      <c r="K2004" s="1" t="s">
        <v>32</v>
      </c>
      <c r="L2004" s="1" t="s">
        <v>716</v>
      </c>
      <c r="M2004" s="1" t="s">
        <v>1170</v>
      </c>
      <c r="N2004" s="1"/>
      <c r="O2004" s="1"/>
      <c r="P2004" s="1"/>
      <c r="Q2004" s="1" t="s">
        <v>1321</v>
      </c>
      <c r="R2004" s="1" t="s">
        <v>1321</v>
      </c>
      <c r="S2004" s="5">
        <v>11</v>
      </c>
    </row>
    <row r="2005" spans="1:19" hidden="1" x14ac:dyDescent="0.25">
      <c r="A2005" s="1" t="s">
        <v>1099</v>
      </c>
      <c r="B2005" s="1" t="s">
        <v>1321</v>
      </c>
      <c r="C2005" s="5">
        <v>4</v>
      </c>
      <c r="D2005" s="1" t="s">
        <v>342</v>
      </c>
      <c r="E2005" s="1" t="s">
        <v>831</v>
      </c>
      <c r="F2005" s="5" t="s">
        <v>24</v>
      </c>
      <c r="G2005" s="5">
        <v>2</v>
      </c>
      <c r="H2005" s="5">
        <v>3</v>
      </c>
      <c r="I2005" s="5" t="b">
        <v>1</v>
      </c>
      <c r="J2005" s="1" t="s">
        <v>480</v>
      </c>
      <c r="K2005" s="1" t="s">
        <v>32</v>
      </c>
      <c r="L2005" s="1" t="s">
        <v>716</v>
      </c>
      <c r="M2005" s="1" t="s">
        <v>1170</v>
      </c>
      <c r="N2005" s="1"/>
      <c r="O2005" s="1"/>
      <c r="P2005" s="1"/>
      <c r="Q2005" s="1" t="s">
        <v>1321</v>
      </c>
      <c r="R2005" s="1" t="s">
        <v>1321</v>
      </c>
      <c r="S2005" s="5">
        <v>12</v>
      </c>
    </row>
    <row r="2006" spans="1:19" hidden="1" x14ac:dyDescent="0.25">
      <c r="A2006" s="1" t="s">
        <v>1099</v>
      </c>
      <c r="B2006" s="1" t="s">
        <v>1321</v>
      </c>
      <c r="C2006" s="5">
        <v>5</v>
      </c>
      <c r="D2006" s="1" t="s">
        <v>11</v>
      </c>
      <c r="E2006" s="1" t="s">
        <v>969</v>
      </c>
      <c r="F2006" s="5" t="s">
        <v>24</v>
      </c>
      <c r="G2006" s="5">
        <v>10</v>
      </c>
      <c r="H2006" s="5">
        <v>20</v>
      </c>
      <c r="I2006" s="5" t="b">
        <v>1</v>
      </c>
      <c r="J2006" s="1" t="s">
        <v>0</v>
      </c>
      <c r="K2006" s="1" t="s">
        <v>32</v>
      </c>
      <c r="L2006" s="1" t="s">
        <v>716</v>
      </c>
      <c r="M2006" s="1" t="s">
        <v>1170</v>
      </c>
      <c r="N2006" s="1"/>
      <c r="O2006" s="1"/>
      <c r="P2006" s="1"/>
      <c r="Q2006" s="1" t="s">
        <v>1321</v>
      </c>
      <c r="R2006" s="1" t="s">
        <v>1321</v>
      </c>
      <c r="S2006" s="5">
        <v>1</v>
      </c>
    </row>
    <row r="2007" spans="1:19" hidden="1" x14ac:dyDescent="0.25">
      <c r="A2007" s="1" t="s">
        <v>1099</v>
      </c>
      <c r="B2007" s="1" t="s">
        <v>1321</v>
      </c>
      <c r="C2007" s="5">
        <v>5</v>
      </c>
      <c r="D2007" s="1" t="s">
        <v>13</v>
      </c>
      <c r="E2007" s="1" t="s">
        <v>1330</v>
      </c>
      <c r="F2007" s="5" t="s">
        <v>24</v>
      </c>
      <c r="G2007" s="5">
        <v>0</v>
      </c>
      <c r="H2007" s="5">
        <v>6</v>
      </c>
      <c r="I2007" s="5" t="b">
        <v>1</v>
      </c>
      <c r="J2007" s="1" t="s">
        <v>10</v>
      </c>
      <c r="K2007" s="1" t="s">
        <v>32</v>
      </c>
      <c r="L2007" s="1" t="s">
        <v>716</v>
      </c>
      <c r="M2007" s="1" t="s">
        <v>1170</v>
      </c>
      <c r="N2007" s="1"/>
      <c r="O2007" s="1"/>
      <c r="P2007" s="1"/>
      <c r="Q2007" s="1" t="s">
        <v>1321</v>
      </c>
      <c r="R2007" s="1" t="s">
        <v>1321</v>
      </c>
      <c r="S2007" s="5">
        <v>3</v>
      </c>
    </row>
    <row r="2008" spans="1:19" hidden="1" x14ac:dyDescent="0.25">
      <c r="A2008" s="1" t="s">
        <v>1099</v>
      </c>
      <c r="B2008" s="1" t="s">
        <v>1321</v>
      </c>
      <c r="C2008" s="5">
        <v>5</v>
      </c>
      <c r="D2008" s="1" t="s">
        <v>29</v>
      </c>
      <c r="E2008" s="1" t="s">
        <v>725</v>
      </c>
      <c r="F2008" s="5" t="s">
        <v>25</v>
      </c>
      <c r="G2008" s="5">
        <v>0</v>
      </c>
      <c r="H2008" s="5">
        <v>1</v>
      </c>
      <c r="I2008" s="5" t="b">
        <v>1</v>
      </c>
      <c r="J2008" s="1" t="s">
        <v>1153</v>
      </c>
      <c r="K2008" s="1" t="s">
        <v>32</v>
      </c>
      <c r="L2008" s="1" t="s">
        <v>716</v>
      </c>
      <c r="M2008" s="1" t="s">
        <v>1170</v>
      </c>
      <c r="N2008" s="1"/>
      <c r="O2008" s="1"/>
      <c r="P2008" s="1"/>
      <c r="Q2008" s="1" t="s">
        <v>1321</v>
      </c>
      <c r="R2008" s="1" t="s">
        <v>1321</v>
      </c>
      <c r="S2008" s="5">
        <v>5</v>
      </c>
    </row>
    <row r="2009" spans="1:19" x14ac:dyDescent="0.25">
      <c r="A2009" s="1" t="s">
        <v>1099</v>
      </c>
      <c r="B2009" s="1" t="s">
        <v>1321</v>
      </c>
      <c r="C2009" s="5">
        <v>5</v>
      </c>
      <c r="D2009" s="1" t="s">
        <v>1444</v>
      </c>
      <c r="E2009" s="1" t="s">
        <v>948</v>
      </c>
      <c r="F2009" s="5" t="s">
        <v>26</v>
      </c>
      <c r="G2009" s="5">
        <v>35</v>
      </c>
      <c r="H2009" s="5">
        <v>45</v>
      </c>
      <c r="I2009" s="5" t="b">
        <v>0</v>
      </c>
      <c r="J2009" s="1" t="s">
        <v>1270</v>
      </c>
      <c r="K2009" s="1" t="s">
        <v>32</v>
      </c>
      <c r="L2009" s="1" t="s">
        <v>716</v>
      </c>
      <c r="M2009" s="1" t="s">
        <v>1170</v>
      </c>
      <c r="N2009" s="1"/>
      <c r="O2009" s="1"/>
      <c r="P2009" s="1"/>
      <c r="Q2009" s="1" t="s">
        <v>1321</v>
      </c>
      <c r="R2009" s="1" t="s">
        <v>1321</v>
      </c>
      <c r="S2009" s="5">
        <v>11</v>
      </c>
    </row>
    <row r="2010" spans="1:19" hidden="1" x14ac:dyDescent="0.25">
      <c r="A2010" s="1" t="s">
        <v>1099</v>
      </c>
      <c r="B2010" s="1" t="s">
        <v>1349</v>
      </c>
      <c r="C2010" s="5">
        <v>2</v>
      </c>
      <c r="D2010" s="1" t="s">
        <v>11</v>
      </c>
      <c r="E2010" s="1" t="s">
        <v>1310</v>
      </c>
      <c r="F2010" s="5" t="s">
        <v>25</v>
      </c>
      <c r="G2010" s="5">
        <v>50</v>
      </c>
      <c r="H2010" s="5">
        <v>55</v>
      </c>
      <c r="I2010" s="5" t="b">
        <v>1</v>
      </c>
      <c r="J2010" s="1" t="s">
        <v>0</v>
      </c>
      <c r="K2010" s="1" t="s">
        <v>32</v>
      </c>
      <c r="L2010" s="1"/>
      <c r="M2010" s="1"/>
      <c r="N2010" s="1"/>
      <c r="O2010" s="1"/>
      <c r="P2010" s="1"/>
      <c r="Q2010" s="1" t="s">
        <v>1349</v>
      </c>
      <c r="R2010" s="1" t="s">
        <v>1349</v>
      </c>
      <c r="S2010" s="5">
        <v>1</v>
      </c>
    </row>
    <row r="2011" spans="1:19" hidden="1" x14ac:dyDescent="0.25">
      <c r="A2011" s="1" t="s">
        <v>1099</v>
      </c>
      <c r="B2011" s="1" t="s">
        <v>1349</v>
      </c>
      <c r="C2011" s="5">
        <v>2</v>
      </c>
      <c r="D2011" s="1" t="s">
        <v>1260</v>
      </c>
      <c r="E2011" s="1" t="s">
        <v>991</v>
      </c>
      <c r="F2011" s="5" t="s">
        <v>25</v>
      </c>
      <c r="G2011" s="5">
        <v>2</v>
      </c>
      <c r="H2011" s="5">
        <v>3</v>
      </c>
      <c r="I2011" s="5" t="b">
        <v>1</v>
      </c>
      <c r="J2011" s="1" t="s">
        <v>1261</v>
      </c>
      <c r="K2011" s="1" t="s">
        <v>32</v>
      </c>
      <c r="L2011" s="1"/>
      <c r="M2011" s="1"/>
      <c r="N2011" s="1"/>
      <c r="O2011" s="1"/>
      <c r="P2011" s="1"/>
      <c r="Q2011" s="1" t="s">
        <v>1349</v>
      </c>
      <c r="R2011" s="1" t="s">
        <v>1349</v>
      </c>
      <c r="S2011" s="5">
        <v>2</v>
      </c>
    </row>
    <row r="2012" spans="1:19" hidden="1" x14ac:dyDescent="0.25">
      <c r="A2012" s="1" t="s">
        <v>1099</v>
      </c>
      <c r="B2012" s="1" t="s">
        <v>1349</v>
      </c>
      <c r="C2012" s="5">
        <v>2</v>
      </c>
      <c r="D2012" s="1" t="s">
        <v>13</v>
      </c>
      <c r="E2012" s="1" t="s">
        <v>979</v>
      </c>
      <c r="F2012" s="5" t="s">
        <v>25</v>
      </c>
      <c r="G2012" s="5">
        <v>20</v>
      </c>
      <c r="H2012" s="5">
        <v>25</v>
      </c>
      <c r="I2012" s="5" t="b">
        <v>1</v>
      </c>
      <c r="J2012" s="1" t="s">
        <v>10</v>
      </c>
      <c r="K2012" s="1" t="s">
        <v>32</v>
      </c>
      <c r="L2012" s="1"/>
      <c r="M2012" s="1"/>
      <c r="N2012" s="1"/>
      <c r="O2012" s="1"/>
      <c r="P2012" s="1"/>
      <c r="Q2012" s="1" t="s">
        <v>1349</v>
      </c>
      <c r="R2012" s="1" t="s">
        <v>1349</v>
      </c>
      <c r="S2012" s="5">
        <v>3</v>
      </c>
    </row>
    <row r="2013" spans="1:19" hidden="1" x14ac:dyDescent="0.25">
      <c r="A2013" s="1" t="s">
        <v>1099</v>
      </c>
      <c r="B2013" s="1" t="s">
        <v>1349</v>
      </c>
      <c r="C2013" s="5">
        <v>2</v>
      </c>
      <c r="D2013" s="1" t="s">
        <v>1263</v>
      </c>
      <c r="E2013" s="1" t="s">
        <v>919</v>
      </c>
      <c r="F2013" s="5" t="s">
        <v>25</v>
      </c>
      <c r="G2013" s="5">
        <v>2</v>
      </c>
      <c r="H2013" s="5">
        <v>5</v>
      </c>
      <c r="I2013" s="5" t="b">
        <v>1</v>
      </c>
      <c r="J2013" s="1" t="s">
        <v>1264</v>
      </c>
      <c r="K2013" s="1" t="s">
        <v>32</v>
      </c>
      <c r="L2013" s="1"/>
      <c r="M2013" s="1"/>
      <c r="N2013" s="1"/>
      <c r="O2013" s="1"/>
      <c r="P2013" s="1"/>
      <c r="Q2013" s="1" t="s">
        <v>1349</v>
      </c>
      <c r="R2013" s="1" t="s">
        <v>1349</v>
      </c>
      <c r="S2013" s="5">
        <v>4</v>
      </c>
    </row>
    <row r="2014" spans="1:19" hidden="1" x14ac:dyDescent="0.25">
      <c r="A2014" s="1" t="s">
        <v>1099</v>
      </c>
      <c r="B2014" s="1" t="s">
        <v>1349</v>
      </c>
      <c r="C2014" s="5">
        <v>2</v>
      </c>
      <c r="D2014" s="1" t="s">
        <v>29</v>
      </c>
      <c r="E2014" s="1" t="s">
        <v>969</v>
      </c>
      <c r="F2014" s="5" t="s">
        <v>24</v>
      </c>
      <c r="G2014" s="5">
        <v>10</v>
      </c>
      <c r="H2014" s="5">
        <v>20</v>
      </c>
      <c r="I2014" s="5" t="b">
        <v>1</v>
      </c>
      <c r="J2014" s="1" t="s">
        <v>1153</v>
      </c>
      <c r="K2014" s="1" t="s">
        <v>32</v>
      </c>
      <c r="L2014" s="1"/>
      <c r="M2014" s="1"/>
      <c r="N2014" s="1"/>
      <c r="O2014" s="1"/>
      <c r="P2014" s="1"/>
      <c r="Q2014" s="1" t="s">
        <v>1349</v>
      </c>
      <c r="R2014" s="1" t="s">
        <v>1349</v>
      </c>
      <c r="S2014" s="5">
        <v>5</v>
      </c>
    </row>
    <row r="2015" spans="1:19" hidden="1" x14ac:dyDescent="0.25">
      <c r="A2015" s="1" t="s">
        <v>1099</v>
      </c>
      <c r="B2015" s="1" t="s">
        <v>1349</v>
      </c>
      <c r="C2015" s="5">
        <v>2</v>
      </c>
      <c r="D2015" s="1" t="s">
        <v>35</v>
      </c>
      <c r="E2015" s="1" t="s">
        <v>937</v>
      </c>
      <c r="F2015" s="5" t="s">
        <v>24</v>
      </c>
      <c r="G2015" s="5">
        <v>20</v>
      </c>
      <c r="H2015" s="5">
        <v>30</v>
      </c>
      <c r="I2015" s="5" t="b">
        <v>1</v>
      </c>
      <c r="J2015" s="1" t="s">
        <v>1323</v>
      </c>
      <c r="K2015" s="1" t="s">
        <v>32</v>
      </c>
      <c r="L2015" s="1"/>
      <c r="M2015" s="1"/>
      <c r="N2015" s="1"/>
      <c r="O2015" s="1"/>
      <c r="P2015" s="1"/>
      <c r="Q2015" s="1" t="s">
        <v>1349</v>
      </c>
      <c r="R2015" s="1" t="s">
        <v>1349</v>
      </c>
      <c r="S2015" s="5">
        <v>7</v>
      </c>
    </row>
    <row r="2016" spans="1:19" hidden="1" x14ac:dyDescent="0.25">
      <c r="A2016" s="1" t="s">
        <v>1099</v>
      </c>
      <c r="B2016" s="1" t="s">
        <v>1349</v>
      </c>
      <c r="C2016" s="5">
        <v>2</v>
      </c>
      <c r="D2016" s="1" t="s">
        <v>1157</v>
      </c>
      <c r="E2016" s="1" t="s">
        <v>1350</v>
      </c>
      <c r="F2016" s="5" t="s">
        <v>26</v>
      </c>
      <c r="G2016" s="5">
        <v>0</v>
      </c>
      <c r="H2016" s="5">
        <v>1</v>
      </c>
      <c r="I2016" s="5" t="b">
        <v>0</v>
      </c>
      <c r="J2016" s="1" t="s">
        <v>1269</v>
      </c>
      <c r="K2016" s="1" t="s">
        <v>32</v>
      </c>
      <c r="L2016" s="1"/>
      <c r="M2016" s="1"/>
      <c r="N2016" s="1"/>
      <c r="O2016" s="1"/>
      <c r="P2016" s="1"/>
      <c r="Q2016" s="1" t="s">
        <v>1349</v>
      </c>
      <c r="R2016" s="1" t="s">
        <v>1349</v>
      </c>
      <c r="S2016" s="5">
        <v>8</v>
      </c>
    </row>
    <row r="2017" spans="1:19" hidden="1" x14ac:dyDescent="0.25">
      <c r="A2017" s="1" t="s">
        <v>1099</v>
      </c>
      <c r="B2017" s="1" t="s">
        <v>1349</v>
      </c>
      <c r="C2017" s="5">
        <v>2</v>
      </c>
      <c r="D2017" s="1" t="s">
        <v>1193</v>
      </c>
      <c r="E2017" s="1" t="s">
        <v>1271</v>
      </c>
      <c r="F2017" s="5" t="s">
        <v>27</v>
      </c>
      <c r="G2017" s="5">
        <v>0</v>
      </c>
      <c r="H2017" s="5">
        <v>1</v>
      </c>
      <c r="I2017" s="5" t="b">
        <v>0</v>
      </c>
      <c r="J2017" s="1" t="s">
        <v>1272</v>
      </c>
      <c r="K2017" s="1" t="s">
        <v>32</v>
      </c>
      <c r="L2017" s="1"/>
      <c r="M2017" s="1"/>
      <c r="N2017" s="1"/>
      <c r="O2017" s="1"/>
      <c r="P2017" s="1"/>
      <c r="Q2017" s="1" t="s">
        <v>1349</v>
      </c>
      <c r="R2017" s="1" t="s">
        <v>1349</v>
      </c>
      <c r="S2017" s="5">
        <v>10</v>
      </c>
    </row>
    <row r="2018" spans="1:19" x14ac:dyDescent="0.25">
      <c r="A2018" s="1" t="s">
        <v>1099</v>
      </c>
      <c r="B2018" s="1" t="s">
        <v>1349</v>
      </c>
      <c r="C2018" s="5">
        <v>2</v>
      </c>
      <c r="D2018" s="1" t="s">
        <v>1444</v>
      </c>
      <c r="E2018" s="1" t="s">
        <v>1336</v>
      </c>
      <c r="F2018" s="5" t="s">
        <v>27</v>
      </c>
      <c r="G2018" s="5">
        <v>3</v>
      </c>
      <c r="H2018" s="5">
        <v>8</v>
      </c>
      <c r="I2018" s="5" t="b">
        <v>0</v>
      </c>
      <c r="J2018" s="1" t="s">
        <v>1270</v>
      </c>
      <c r="K2018" s="1" t="s">
        <v>32</v>
      </c>
      <c r="L2018" s="1"/>
      <c r="M2018" s="1"/>
      <c r="N2018" s="1"/>
      <c r="O2018" s="1"/>
      <c r="P2018" s="1"/>
      <c r="Q2018" s="1" t="s">
        <v>1349</v>
      </c>
      <c r="R2018" s="1" t="s">
        <v>1349</v>
      </c>
      <c r="S2018" s="5">
        <v>11</v>
      </c>
    </row>
    <row r="2019" spans="1:19" x14ac:dyDescent="0.25">
      <c r="A2019" s="1" t="s">
        <v>1099</v>
      </c>
      <c r="B2019" s="1" t="s">
        <v>1349</v>
      </c>
      <c r="C2019" s="5">
        <v>2</v>
      </c>
      <c r="D2019" s="1" t="s">
        <v>1443</v>
      </c>
      <c r="E2019" s="1" t="s">
        <v>1345</v>
      </c>
      <c r="F2019" s="5" t="s">
        <v>27</v>
      </c>
      <c r="G2019" s="5">
        <v>25</v>
      </c>
      <c r="H2019" s="5">
        <v>30</v>
      </c>
      <c r="I2019" s="5" t="b">
        <v>0</v>
      </c>
      <c r="J2019" s="1" t="s">
        <v>1441</v>
      </c>
      <c r="K2019" s="1" t="s">
        <v>32</v>
      </c>
      <c r="L2019" s="1"/>
      <c r="M2019" s="1"/>
      <c r="N2019" s="1"/>
      <c r="O2019" s="1"/>
      <c r="P2019" s="1"/>
      <c r="Q2019" s="1" t="s">
        <v>1349</v>
      </c>
      <c r="R2019" s="1" t="s">
        <v>1349</v>
      </c>
      <c r="S2019" s="5">
        <v>16</v>
      </c>
    </row>
    <row r="2020" spans="1:19" hidden="1" x14ac:dyDescent="0.25">
      <c r="A2020" s="1" t="s">
        <v>1099</v>
      </c>
      <c r="B2020" s="1" t="s">
        <v>1349</v>
      </c>
      <c r="C2020" s="5">
        <v>3</v>
      </c>
      <c r="D2020" s="1" t="s">
        <v>11</v>
      </c>
      <c r="E2020" s="1" t="s">
        <v>1023</v>
      </c>
      <c r="F2020" s="5" t="s">
        <v>25</v>
      </c>
      <c r="G2020" s="5">
        <v>40</v>
      </c>
      <c r="H2020" s="5">
        <v>45</v>
      </c>
      <c r="I2020" s="5" t="b">
        <v>1</v>
      </c>
      <c r="J2020" s="1" t="s">
        <v>0</v>
      </c>
      <c r="K2020" s="1" t="s">
        <v>32</v>
      </c>
      <c r="L2020" s="1" t="s">
        <v>716</v>
      </c>
      <c r="M2020" s="1" t="s">
        <v>1170</v>
      </c>
      <c r="N2020" s="1"/>
      <c r="O2020" s="1"/>
      <c r="P2020" s="1"/>
      <c r="Q2020" s="1" t="s">
        <v>1349</v>
      </c>
      <c r="R2020" s="1" t="s">
        <v>1349</v>
      </c>
      <c r="S2020" s="5">
        <v>1</v>
      </c>
    </row>
    <row r="2021" spans="1:19" hidden="1" x14ac:dyDescent="0.25">
      <c r="A2021" s="1" t="s">
        <v>1099</v>
      </c>
      <c r="B2021" s="1" t="s">
        <v>1349</v>
      </c>
      <c r="C2021" s="5">
        <v>3</v>
      </c>
      <c r="D2021" s="1" t="s">
        <v>1260</v>
      </c>
      <c r="E2021" s="1" t="s">
        <v>991</v>
      </c>
      <c r="F2021" s="5" t="s">
        <v>25</v>
      </c>
      <c r="G2021" s="5">
        <v>2</v>
      </c>
      <c r="H2021" s="5">
        <v>3</v>
      </c>
      <c r="I2021" s="5" t="b">
        <v>1</v>
      </c>
      <c r="J2021" s="1" t="s">
        <v>1261</v>
      </c>
      <c r="K2021" s="1" t="s">
        <v>32</v>
      </c>
      <c r="L2021" s="1"/>
      <c r="M2021" s="1"/>
      <c r="N2021" s="1"/>
      <c r="O2021" s="1"/>
      <c r="P2021" s="1"/>
      <c r="Q2021" s="1" t="s">
        <v>1349</v>
      </c>
      <c r="R2021" s="1" t="s">
        <v>1349</v>
      </c>
      <c r="S2021" s="5">
        <v>2</v>
      </c>
    </row>
    <row r="2022" spans="1:19" hidden="1" x14ac:dyDescent="0.25">
      <c r="A2022" s="1" t="s">
        <v>1099</v>
      </c>
      <c r="B2022" s="1" t="s">
        <v>1349</v>
      </c>
      <c r="C2022" s="5">
        <v>3</v>
      </c>
      <c r="D2022" s="1" t="s">
        <v>13</v>
      </c>
      <c r="E2022" s="1" t="s">
        <v>1317</v>
      </c>
      <c r="F2022" s="5" t="s">
        <v>25</v>
      </c>
      <c r="G2022" s="5">
        <v>12</v>
      </c>
      <c r="H2022" s="5">
        <v>19</v>
      </c>
      <c r="I2022" s="5" t="b">
        <v>1</v>
      </c>
      <c r="J2022" s="1" t="s">
        <v>10</v>
      </c>
      <c r="K2022" s="1" t="s">
        <v>32</v>
      </c>
      <c r="L2022" s="1"/>
      <c r="M2022" s="1"/>
      <c r="N2022" s="1"/>
      <c r="O2022" s="1"/>
      <c r="P2022" s="1"/>
      <c r="Q2022" s="1" t="s">
        <v>1349</v>
      </c>
      <c r="R2022" s="1" t="s">
        <v>1349</v>
      </c>
      <c r="S2022" s="5">
        <v>3</v>
      </c>
    </row>
    <row r="2023" spans="1:19" hidden="1" x14ac:dyDescent="0.25">
      <c r="A2023" s="1" t="s">
        <v>1099</v>
      </c>
      <c r="B2023" s="1" t="s">
        <v>1349</v>
      </c>
      <c r="C2023" s="5">
        <v>3</v>
      </c>
      <c r="D2023" s="1" t="s">
        <v>29</v>
      </c>
      <c r="E2023" s="1" t="s">
        <v>971</v>
      </c>
      <c r="F2023" s="5" t="s">
        <v>25</v>
      </c>
      <c r="G2023" s="5">
        <v>5</v>
      </c>
      <c r="H2023" s="5">
        <v>10</v>
      </c>
      <c r="I2023" s="5" t="b">
        <v>1</v>
      </c>
      <c r="J2023" s="1" t="s">
        <v>1153</v>
      </c>
      <c r="K2023" s="1" t="s">
        <v>32</v>
      </c>
      <c r="L2023" s="1"/>
      <c r="M2023" s="1"/>
      <c r="N2023" s="1"/>
      <c r="O2023" s="1"/>
      <c r="P2023" s="1"/>
      <c r="Q2023" s="1" t="s">
        <v>1349</v>
      </c>
      <c r="R2023" s="1" t="s">
        <v>1349</v>
      </c>
      <c r="S2023" s="5">
        <v>5</v>
      </c>
    </row>
    <row r="2024" spans="1:19" hidden="1" x14ac:dyDescent="0.25">
      <c r="A2024" s="1" t="s">
        <v>1099</v>
      </c>
      <c r="B2024" s="1" t="s">
        <v>1349</v>
      </c>
      <c r="C2024" s="5">
        <v>3</v>
      </c>
      <c r="D2024" s="1" t="s">
        <v>35</v>
      </c>
      <c r="E2024" s="1" t="s">
        <v>952</v>
      </c>
      <c r="F2024" s="5" t="s">
        <v>25</v>
      </c>
      <c r="G2024" s="5">
        <v>10</v>
      </c>
      <c r="H2024" s="5">
        <v>15</v>
      </c>
      <c r="I2024" s="5" t="b">
        <v>1</v>
      </c>
      <c r="J2024" s="1" t="s">
        <v>1323</v>
      </c>
      <c r="K2024" s="1" t="s">
        <v>32</v>
      </c>
      <c r="L2024" s="1"/>
      <c r="M2024" s="1"/>
      <c r="N2024" s="1"/>
      <c r="O2024" s="1"/>
      <c r="P2024" s="1"/>
      <c r="Q2024" s="1" t="s">
        <v>1349</v>
      </c>
      <c r="R2024" s="1" t="s">
        <v>1349</v>
      </c>
      <c r="S2024" s="5">
        <v>7</v>
      </c>
    </row>
    <row r="2025" spans="1:19" hidden="1" x14ac:dyDescent="0.25">
      <c r="A2025" s="1" t="s">
        <v>1099</v>
      </c>
      <c r="B2025" s="1" t="s">
        <v>1349</v>
      </c>
      <c r="C2025" s="5">
        <v>3</v>
      </c>
      <c r="D2025" s="1" t="s">
        <v>1157</v>
      </c>
      <c r="E2025" s="1" t="s">
        <v>1325</v>
      </c>
      <c r="F2025" s="5" t="s">
        <v>26</v>
      </c>
      <c r="G2025" s="5">
        <v>1</v>
      </c>
      <c r="H2025" s="5">
        <v>5</v>
      </c>
      <c r="I2025" s="5" t="b">
        <v>0</v>
      </c>
      <c r="J2025" s="1" t="s">
        <v>1269</v>
      </c>
      <c r="K2025" s="1" t="s">
        <v>32</v>
      </c>
      <c r="L2025" s="1"/>
      <c r="M2025" s="1"/>
      <c r="N2025" s="1"/>
      <c r="O2025" s="1"/>
      <c r="P2025" s="1"/>
      <c r="Q2025" s="1" t="s">
        <v>1349</v>
      </c>
      <c r="R2025" s="1" t="s">
        <v>1349</v>
      </c>
      <c r="S2025" s="5">
        <v>8</v>
      </c>
    </row>
    <row r="2026" spans="1:19" hidden="1" x14ac:dyDescent="0.25">
      <c r="A2026" s="1" t="s">
        <v>1099</v>
      </c>
      <c r="B2026" s="1" t="s">
        <v>1349</v>
      </c>
      <c r="C2026" s="5">
        <v>3</v>
      </c>
      <c r="D2026" s="1" t="s">
        <v>1286</v>
      </c>
      <c r="E2026" s="1" t="s">
        <v>1287</v>
      </c>
      <c r="F2026" s="5" t="s">
        <v>27</v>
      </c>
      <c r="G2026" s="5">
        <v>0</v>
      </c>
      <c r="H2026" s="5">
        <v>3</v>
      </c>
      <c r="I2026" s="5" t="b">
        <v>0</v>
      </c>
      <c r="J2026" s="1" t="s">
        <v>1288</v>
      </c>
      <c r="K2026" s="1" t="s">
        <v>32</v>
      </c>
      <c r="L2026" s="1"/>
      <c r="M2026" s="1"/>
      <c r="N2026" s="1"/>
      <c r="O2026" s="1"/>
      <c r="P2026" s="1"/>
      <c r="Q2026" s="1" t="s">
        <v>1349</v>
      </c>
      <c r="R2026" s="1" t="s">
        <v>1349</v>
      </c>
      <c r="S2026" s="5">
        <v>9</v>
      </c>
    </row>
    <row r="2027" spans="1:19" x14ac:dyDescent="0.25">
      <c r="A2027" s="1" t="s">
        <v>1099</v>
      </c>
      <c r="B2027" s="1" t="s">
        <v>1349</v>
      </c>
      <c r="C2027" s="5">
        <v>3</v>
      </c>
      <c r="D2027" s="1" t="s">
        <v>1444</v>
      </c>
      <c r="E2027" s="1" t="s">
        <v>1351</v>
      </c>
      <c r="F2027" s="5" t="s">
        <v>27</v>
      </c>
      <c r="G2027" s="5">
        <v>8</v>
      </c>
      <c r="H2027" s="5">
        <v>15</v>
      </c>
      <c r="I2027" s="5" t="b">
        <v>0</v>
      </c>
      <c r="J2027" s="1" t="s">
        <v>1270</v>
      </c>
      <c r="K2027" s="1" t="s">
        <v>32</v>
      </c>
      <c r="L2027" s="1" t="s">
        <v>716</v>
      </c>
      <c r="M2027" s="1" t="s">
        <v>1170</v>
      </c>
      <c r="N2027" s="1"/>
      <c r="O2027" s="1"/>
      <c r="P2027" s="1"/>
      <c r="Q2027" s="1" t="s">
        <v>1349</v>
      </c>
      <c r="R2027" s="1" t="s">
        <v>1349</v>
      </c>
      <c r="S2027" s="5">
        <v>11</v>
      </c>
    </row>
    <row r="2028" spans="1:19" x14ac:dyDescent="0.25">
      <c r="A2028" s="1" t="s">
        <v>1099</v>
      </c>
      <c r="B2028" s="1" t="s">
        <v>1349</v>
      </c>
      <c r="C2028" s="5">
        <v>3</v>
      </c>
      <c r="D2028" s="1" t="s">
        <v>1443</v>
      </c>
      <c r="E2028" s="1" t="s">
        <v>995</v>
      </c>
      <c r="F2028" s="5" t="s">
        <v>27</v>
      </c>
      <c r="G2028" s="5">
        <v>40</v>
      </c>
      <c r="H2028" s="5">
        <v>45</v>
      </c>
      <c r="I2028" s="5" t="b">
        <v>0</v>
      </c>
      <c r="J2028" s="1" t="s">
        <v>1441</v>
      </c>
      <c r="K2028" s="1" t="s">
        <v>32</v>
      </c>
      <c r="L2028" s="1" t="s">
        <v>716</v>
      </c>
      <c r="M2028" s="1" t="s">
        <v>1170</v>
      </c>
      <c r="N2028" s="1"/>
      <c r="O2028" s="1"/>
      <c r="P2028" s="1"/>
      <c r="Q2028" s="1" t="s">
        <v>1349</v>
      </c>
      <c r="R2028" s="1" t="s">
        <v>1349</v>
      </c>
      <c r="S2028" s="5">
        <v>16</v>
      </c>
    </row>
    <row r="2029" spans="1:19" hidden="1" x14ac:dyDescent="0.25">
      <c r="A2029" s="1" t="s">
        <v>1099</v>
      </c>
      <c r="B2029" s="1" t="s">
        <v>1349</v>
      </c>
      <c r="C2029" s="5">
        <v>4</v>
      </c>
      <c r="D2029" s="1" t="s">
        <v>11</v>
      </c>
      <c r="E2029" s="1" t="s">
        <v>943</v>
      </c>
      <c r="F2029" s="5" t="s">
        <v>24</v>
      </c>
      <c r="G2029" s="5">
        <v>30</v>
      </c>
      <c r="H2029" s="5">
        <v>40</v>
      </c>
      <c r="I2029" s="5" t="b">
        <v>1</v>
      </c>
      <c r="J2029" s="1" t="s">
        <v>0</v>
      </c>
      <c r="K2029" s="1" t="s">
        <v>32</v>
      </c>
      <c r="L2029" s="1" t="s">
        <v>716</v>
      </c>
      <c r="M2029" s="1" t="s">
        <v>1170</v>
      </c>
      <c r="N2029" s="1"/>
      <c r="O2029" s="1"/>
      <c r="P2029" s="1"/>
      <c r="Q2029" s="1" t="s">
        <v>1349</v>
      </c>
      <c r="R2029" s="1" t="s">
        <v>1349</v>
      </c>
      <c r="S2029" s="5">
        <v>1</v>
      </c>
    </row>
    <row r="2030" spans="1:19" hidden="1" x14ac:dyDescent="0.25">
      <c r="A2030" s="1" t="s">
        <v>1099</v>
      </c>
      <c r="B2030" s="1" t="s">
        <v>1349</v>
      </c>
      <c r="C2030" s="5">
        <v>4</v>
      </c>
      <c r="D2030" s="1" t="s">
        <v>1260</v>
      </c>
      <c r="E2030" s="1" t="s">
        <v>1275</v>
      </c>
      <c r="F2030" s="5" t="s">
        <v>25</v>
      </c>
      <c r="G2030" s="5">
        <v>-0.5</v>
      </c>
      <c r="H2030" s="5">
        <v>2</v>
      </c>
      <c r="I2030" s="5" t="b">
        <v>1</v>
      </c>
      <c r="J2030" s="1" t="s">
        <v>1261</v>
      </c>
      <c r="K2030" s="1" t="s">
        <v>32</v>
      </c>
      <c r="L2030" s="1"/>
      <c r="M2030" s="1"/>
      <c r="N2030" s="1"/>
      <c r="O2030" s="1"/>
      <c r="P2030" s="1"/>
      <c r="Q2030" s="1" t="s">
        <v>1349</v>
      </c>
      <c r="R2030" s="1" t="s">
        <v>1349</v>
      </c>
      <c r="S2030" s="5">
        <v>2</v>
      </c>
    </row>
    <row r="2031" spans="1:19" hidden="1" x14ac:dyDescent="0.25">
      <c r="A2031" s="1" t="s">
        <v>1099</v>
      </c>
      <c r="B2031" s="1" t="s">
        <v>1349</v>
      </c>
      <c r="C2031" s="5">
        <v>4</v>
      </c>
      <c r="D2031" s="1" t="s">
        <v>13</v>
      </c>
      <c r="E2031" s="1" t="s">
        <v>961</v>
      </c>
      <c r="F2031" s="5" t="s">
        <v>25</v>
      </c>
      <c r="G2031" s="5">
        <v>3</v>
      </c>
      <c r="H2031" s="5">
        <v>8</v>
      </c>
      <c r="I2031" s="5" t="b">
        <v>1</v>
      </c>
      <c r="J2031" s="1" t="s">
        <v>10</v>
      </c>
      <c r="K2031" s="1" t="s">
        <v>32</v>
      </c>
      <c r="L2031" s="1"/>
      <c r="M2031" s="1"/>
      <c r="N2031" s="1"/>
      <c r="O2031" s="1"/>
      <c r="P2031" s="1"/>
      <c r="Q2031" s="1" t="s">
        <v>1349</v>
      </c>
      <c r="R2031" s="1" t="s">
        <v>1349</v>
      </c>
      <c r="S2031" s="5">
        <v>3</v>
      </c>
    </row>
    <row r="2032" spans="1:19" hidden="1" x14ac:dyDescent="0.25">
      <c r="A2032" s="1" t="s">
        <v>1099</v>
      </c>
      <c r="B2032" s="1" t="s">
        <v>1349</v>
      </c>
      <c r="C2032" s="5">
        <v>4</v>
      </c>
      <c r="D2032" s="1" t="s">
        <v>29</v>
      </c>
      <c r="E2032" s="1" t="s">
        <v>939</v>
      </c>
      <c r="F2032" s="5" t="s">
        <v>25</v>
      </c>
      <c r="G2032" s="5">
        <v>0</v>
      </c>
      <c r="H2032" s="5">
        <v>3</v>
      </c>
      <c r="I2032" s="5" t="b">
        <v>1</v>
      </c>
      <c r="J2032" s="1" t="s">
        <v>1153</v>
      </c>
      <c r="K2032" s="1" t="s">
        <v>32</v>
      </c>
      <c r="L2032" s="1"/>
      <c r="M2032" s="1"/>
      <c r="N2032" s="1"/>
      <c r="O2032" s="1"/>
      <c r="P2032" s="1"/>
      <c r="Q2032" s="1" t="s">
        <v>1349</v>
      </c>
      <c r="R2032" s="1" t="s">
        <v>1349</v>
      </c>
      <c r="S2032" s="5">
        <v>5</v>
      </c>
    </row>
    <row r="2033" spans="1:19" hidden="1" x14ac:dyDescent="0.25">
      <c r="A2033" s="1" t="s">
        <v>1099</v>
      </c>
      <c r="B2033" s="1" t="s">
        <v>1349</v>
      </c>
      <c r="C2033" s="5">
        <v>4</v>
      </c>
      <c r="D2033" s="1" t="s">
        <v>35</v>
      </c>
      <c r="E2033" s="1" t="s">
        <v>1347</v>
      </c>
      <c r="F2033" s="5" t="s">
        <v>25</v>
      </c>
      <c r="G2033" s="5">
        <v>0</v>
      </c>
      <c r="H2033" s="5">
        <v>5</v>
      </c>
      <c r="I2033" s="5" t="b">
        <v>1</v>
      </c>
      <c r="J2033" s="1" t="s">
        <v>1323</v>
      </c>
      <c r="K2033" s="1" t="s">
        <v>32</v>
      </c>
      <c r="L2033" s="1" t="s">
        <v>716</v>
      </c>
      <c r="M2033" s="1" t="s">
        <v>1170</v>
      </c>
      <c r="N2033" s="1"/>
      <c r="O2033" s="1"/>
      <c r="P2033" s="1"/>
      <c r="Q2033" s="1" t="s">
        <v>1349</v>
      </c>
      <c r="R2033" s="1" t="s">
        <v>1349</v>
      </c>
      <c r="S2033" s="5">
        <v>7</v>
      </c>
    </row>
    <row r="2034" spans="1:19" hidden="1" x14ac:dyDescent="0.25">
      <c r="A2034" s="1" t="s">
        <v>1099</v>
      </c>
      <c r="B2034" s="1" t="s">
        <v>1349</v>
      </c>
      <c r="C2034" s="5">
        <v>4</v>
      </c>
      <c r="D2034" s="1" t="s">
        <v>1157</v>
      </c>
      <c r="E2034" s="1" t="s">
        <v>998</v>
      </c>
      <c r="F2034" s="5" t="s">
        <v>26</v>
      </c>
      <c r="G2034" s="5">
        <v>15</v>
      </c>
      <c r="H2034" s="5">
        <v>25</v>
      </c>
      <c r="I2034" s="5" t="b">
        <v>0</v>
      </c>
      <c r="J2034" s="1" t="s">
        <v>1269</v>
      </c>
      <c r="K2034" s="1" t="s">
        <v>32</v>
      </c>
      <c r="L2034" s="1" t="s">
        <v>716</v>
      </c>
      <c r="M2034" s="1" t="s">
        <v>1170</v>
      </c>
      <c r="N2034" s="1"/>
      <c r="O2034" s="1"/>
      <c r="P2034" s="1"/>
      <c r="Q2034" s="1" t="s">
        <v>1349</v>
      </c>
      <c r="R2034" s="1" t="s">
        <v>1349</v>
      </c>
      <c r="S2034" s="5">
        <v>8</v>
      </c>
    </row>
    <row r="2035" spans="1:19" hidden="1" x14ac:dyDescent="0.25">
      <c r="A2035" s="1" t="s">
        <v>1099</v>
      </c>
      <c r="B2035" s="1" t="s">
        <v>1349</v>
      </c>
      <c r="C2035" s="5">
        <v>4</v>
      </c>
      <c r="D2035" s="1" t="s">
        <v>1286</v>
      </c>
      <c r="E2035" s="1" t="s">
        <v>1352</v>
      </c>
      <c r="F2035" s="5" t="s">
        <v>27</v>
      </c>
      <c r="G2035" s="5">
        <v>3</v>
      </c>
      <c r="H2035" s="5">
        <v>6</v>
      </c>
      <c r="I2035" s="5" t="b">
        <v>0</v>
      </c>
      <c r="J2035" s="1" t="s">
        <v>1288</v>
      </c>
      <c r="K2035" s="1" t="s">
        <v>32</v>
      </c>
      <c r="L2035" s="1" t="s">
        <v>716</v>
      </c>
      <c r="M2035" s="1" t="s">
        <v>1170</v>
      </c>
      <c r="N2035" s="1"/>
      <c r="O2035" s="1"/>
      <c r="P2035" s="1"/>
      <c r="Q2035" s="1" t="s">
        <v>1349</v>
      </c>
      <c r="R2035" s="1" t="s">
        <v>1349</v>
      </c>
      <c r="S2035" s="5">
        <v>9</v>
      </c>
    </row>
    <row r="2036" spans="1:19" x14ac:dyDescent="0.25">
      <c r="A2036" s="1" t="s">
        <v>1099</v>
      </c>
      <c r="B2036" s="1" t="s">
        <v>1349</v>
      </c>
      <c r="C2036" s="5">
        <v>4</v>
      </c>
      <c r="D2036" s="1" t="s">
        <v>1444</v>
      </c>
      <c r="E2036" s="1" t="s">
        <v>987</v>
      </c>
      <c r="F2036" s="5" t="s">
        <v>26</v>
      </c>
      <c r="G2036" s="5">
        <v>25</v>
      </c>
      <c r="H2036" s="5">
        <v>35</v>
      </c>
      <c r="I2036" s="5" t="b">
        <v>0</v>
      </c>
      <c r="J2036" s="1" t="s">
        <v>1270</v>
      </c>
      <c r="K2036" s="1" t="s">
        <v>32</v>
      </c>
      <c r="L2036" s="1" t="s">
        <v>716</v>
      </c>
      <c r="M2036" s="1" t="s">
        <v>1170</v>
      </c>
      <c r="N2036" s="1"/>
      <c r="O2036" s="1"/>
      <c r="P2036" s="1"/>
      <c r="Q2036" s="1" t="s">
        <v>1349</v>
      </c>
      <c r="R2036" s="1" t="s">
        <v>1349</v>
      </c>
      <c r="S2036" s="5">
        <v>11</v>
      </c>
    </row>
    <row r="2037" spans="1:19" hidden="1" x14ac:dyDescent="0.25">
      <c r="A2037" s="1" t="s">
        <v>1099</v>
      </c>
      <c r="B2037" s="1" t="s">
        <v>1349</v>
      </c>
      <c r="C2037" s="5">
        <v>5</v>
      </c>
      <c r="D2037" s="1" t="s">
        <v>11</v>
      </c>
      <c r="E2037" s="1" t="s">
        <v>979</v>
      </c>
      <c r="F2037" s="5" t="s">
        <v>25</v>
      </c>
      <c r="G2037" s="5">
        <v>20</v>
      </c>
      <c r="H2037" s="5">
        <v>25</v>
      </c>
      <c r="I2037" s="5" t="b">
        <v>1</v>
      </c>
      <c r="J2037" s="1" t="s">
        <v>0</v>
      </c>
      <c r="K2037" s="1" t="s">
        <v>32</v>
      </c>
      <c r="L2037" s="1" t="s">
        <v>716</v>
      </c>
      <c r="M2037" s="1" t="s">
        <v>1170</v>
      </c>
      <c r="N2037" s="1"/>
      <c r="O2037" s="1"/>
      <c r="P2037" s="1"/>
      <c r="Q2037" s="1" t="s">
        <v>1349</v>
      </c>
      <c r="R2037" s="1" t="s">
        <v>1349</v>
      </c>
      <c r="S2037" s="5">
        <v>1</v>
      </c>
    </row>
    <row r="2038" spans="1:19" hidden="1" x14ac:dyDescent="0.25">
      <c r="A2038" s="1" t="s">
        <v>1099</v>
      </c>
      <c r="B2038" s="1" t="s">
        <v>1349</v>
      </c>
      <c r="C2038" s="5">
        <v>5</v>
      </c>
      <c r="D2038" s="1" t="s">
        <v>13</v>
      </c>
      <c r="E2038" s="1" t="s">
        <v>725</v>
      </c>
      <c r="F2038" s="5" t="s">
        <v>25</v>
      </c>
      <c r="G2038" s="5">
        <v>0</v>
      </c>
      <c r="H2038" s="5">
        <v>1</v>
      </c>
      <c r="I2038" s="5" t="b">
        <v>1</v>
      </c>
      <c r="J2038" s="1" t="s">
        <v>10</v>
      </c>
      <c r="K2038" s="1" t="s">
        <v>32</v>
      </c>
      <c r="L2038" s="1" t="s">
        <v>716</v>
      </c>
      <c r="M2038" s="1" t="s">
        <v>1170</v>
      </c>
      <c r="N2038" s="1"/>
      <c r="O2038" s="1"/>
      <c r="P2038" s="1"/>
      <c r="Q2038" s="1" t="s">
        <v>1349</v>
      </c>
      <c r="R2038" s="1" t="s">
        <v>1349</v>
      </c>
      <c r="S2038" s="5">
        <v>3</v>
      </c>
    </row>
    <row r="2039" spans="1:19" hidden="1" x14ac:dyDescent="0.25">
      <c r="A2039" s="1" t="s">
        <v>1099</v>
      </c>
      <c r="B2039" s="1" t="s">
        <v>1349</v>
      </c>
      <c r="C2039" s="5">
        <v>5</v>
      </c>
      <c r="D2039" s="1" t="s">
        <v>1157</v>
      </c>
      <c r="E2039" s="1" t="s">
        <v>954</v>
      </c>
      <c r="F2039" s="5" t="s">
        <v>26</v>
      </c>
      <c r="G2039" s="5">
        <v>45</v>
      </c>
      <c r="H2039" s="5">
        <v>55</v>
      </c>
      <c r="I2039" s="5" t="b">
        <v>0</v>
      </c>
      <c r="J2039" s="1" t="s">
        <v>1269</v>
      </c>
      <c r="K2039" s="1" t="s">
        <v>32</v>
      </c>
      <c r="L2039" s="1" t="s">
        <v>716</v>
      </c>
      <c r="M2039" s="1" t="s">
        <v>1170</v>
      </c>
      <c r="N2039" s="1"/>
      <c r="O2039" s="1"/>
      <c r="P2039" s="1"/>
      <c r="Q2039" s="1" t="s">
        <v>1349</v>
      </c>
      <c r="R2039" s="1" t="s">
        <v>1349</v>
      </c>
      <c r="S2039" s="5">
        <v>8</v>
      </c>
    </row>
    <row r="2040" spans="1:19" hidden="1" x14ac:dyDescent="0.25">
      <c r="A2040" s="1" t="s">
        <v>1099</v>
      </c>
      <c r="B2040" s="1" t="s">
        <v>1341</v>
      </c>
      <c r="C2040" s="5">
        <v>2</v>
      </c>
      <c r="D2040" s="1" t="s">
        <v>11</v>
      </c>
      <c r="E2040" s="1" t="s">
        <v>1310</v>
      </c>
      <c r="F2040" s="5" t="s">
        <v>25</v>
      </c>
      <c r="G2040" s="5">
        <v>50</v>
      </c>
      <c r="H2040" s="5">
        <v>55</v>
      </c>
      <c r="I2040" s="5" t="b">
        <v>1</v>
      </c>
      <c r="J2040" s="1" t="s">
        <v>0</v>
      </c>
      <c r="K2040" s="1" t="s">
        <v>32</v>
      </c>
      <c r="L2040" s="1"/>
      <c r="M2040" s="1"/>
      <c r="N2040" s="1"/>
      <c r="O2040" s="1"/>
      <c r="P2040" s="1"/>
      <c r="Q2040" s="1" t="s">
        <v>1341</v>
      </c>
      <c r="R2040" s="1" t="s">
        <v>1341</v>
      </c>
      <c r="S2040" s="5">
        <v>1</v>
      </c>
    </row>
    <row r="2041" spans="1:19" hidden="1" x14ac:dyDescent="0.25">
      <c r="A2041" s="1" t="s">
        <v>1099</v>
      </c>
      <c r="B2041" s="1" t="s">
        <v>1341</v>
      </c>
      <c r="C2041" s="5">
        <v>2</v>
      </c>
      <c r="D2041" s="1" t="s">
        <v>1260</v>
      </c>
      <c r="E2041" s="1" t="s">
        <v>991</v>
      </c>
      <c r="F2041" s="5" t="s">
        <v>25</v>
      </c>
      <c r="G2041" s="5">
        <v>2</v>
      </c>
      <c r="H2041" s="5">
        <v>3</v>
      </c>
      <c r="I2041" s="5" t="b">
        <v>1</v>
      </c>
      <c r="J2041" s="1" t="s">
        <v>1261</v>
      </c>
      <c r="K2041" s="1" t="s">
        <v>32</v>
      </c>
      <c r="L2041" s="1"/>
      <c r="M2041" s="1"/>
      <c r="N2041" s="1"/>
      <c r="O2041" s="1"/>
      <c r="P2041" s="1"/>
      <c r="Q2041" s="1" t="s">
        <v>1341</v>
      </c>
      <c r="R2041" s="1" t="s">
        <v>1341</v>
      </c>
      <c r="S2041" s="5">
        <v>2</v>
      </c>
    </row>
    <row r="2042" spans="1:19" hidden="1" x14ac:dyDescent="0.25">
      <c r="A2042" s="1" t="s">
        <v>1099</v>
      </c>
      <c r="B2042" s="1" t="s">
        <v>1341</v>
      </c>
      <c r="C2042" s="5">
        <v>2</v>
      </c>
      <c r="D2042" s="1" t="s">
        <v>13</v>
      </c>
      <c r="E2042" s="1" t="s">
        <v>1342</v>
      </c>
      <c r="F2042" s="5" t="s">
        <v>25</v>
      </c>
      <c r="G2042" s="5">
        <v>18</v>
      </c>
      <c r="H2042" s="5">
        <v>23</v>
      </c>
      <c r="I2042" s="5" t="b">
        <v>1</v>
      </c>
      <c r="J2042" s="1" t="s">
        <v>10</v>
      </c>
      <c r="K2042" s="1" t="s">
        <v>32</v>
      </c>
      <c r="L2042" s="1"/>
      <c r="M2042" s="1"/>
      <c r="N2042" s="1"/>
      <c r="O2042" s="1"/>
      <c r="P2042" s="1"/>
      <c r="Q2042" s="1" t="s">
        <v>1341</v>
      </c>
      <c r="R2042" s="1" t="s">
        <v>1341</v>
      </c>
      <c r="S2042" s="5">
        <v>3</v>
      </c>
    </row>
    <row r="2043" spans="1:19" hidden="1" x14ac:dyDescent="0.25">
      <c r="A2043" s="1" t="s">
        <v>1099</v>
      </c>
      <c r="B2043" s="1" t="s">
        <v>1341</v>
      </c>
      <c r="C2043" s="5">
        <v>2</v>
      </c>
      <c r="D2043" s="1" t="s">
        <v>1263</v>
      </c>
      <c r="E2043" s="1" t="s">
        <v>939</v>
      </c>
      <c r="F2043" s="5" t="s">
        <v>25</v>
      </c>
      <c r="G2043" s="5">
        <v>0</v>
      </c>
      <c r="H2043" s="5">
        <v>3</v>
      </c>
      <c r="I2043" s="5" t="b">
        <v>1</v>
      </c>
      <c r="J2043" s="1" t="s">
        <v>1264</v>
      </c>
      <c r="K2043" s="1" t="s">
        <v>32</v>
      </c>
      <c r="L2043" s="1"/>
      <c r="M2043" s="1"/>
      <c r="N2043" s="1"/>
      <c r="O2043" s="1"/>
      <c r="P2043" s="1"/>
      <c r="Q2043" s="1" t="s">
        <v>1341</v>
      </c>
      <c r="R2043" s="1" t="s">
        <v>1341</v>
      </c>
      <c r="S2043" s="5">
        <v>4</v>
      </c>
    </row>
    <row r="2044" spans="1:19" hidden="1" x14ac:dyDescent="0.25">
      <c r="A2044" s="1" t="s">
        <v>1099</v>
      </c>
      <c r="B2044" s="1" t="s">
        <v>1341</v>
      </c>
      <c r="C2044" s="5">
        <v>2</v>
      </c>
      <c r="D2044" s="1" t="s">
        <v>29</v>
      </c>
      <c r="E2044" s="1" t="s">
        <v>952</v>
      </c>
      <c r="F2044" s="5" t="s">
        <v>25</v>
      </c>
      <c r="G2044" s="5">
        <v>10</v>
      </c>
      <c r="H2044" s="5">
        <v>15</v>
      </c>
      <c r="I2044" s="5" t="b">
        <v>1</v>
      </c>
      <c r="J2044" s="1" t="s">
        <v>1153</v>
      </c>
      <c r="K2044" s="1" t="s">
        <v>32</v>
      </c>
      <c r="L2044" s="1"/>
      <c r="M2044" s="1"/>
      <c r="N2044" s="1"/>
      <c r="O2044" s="1"/>
      <c r="P2044" s="1"/>
      <c r="Q2044" s="1" t="s">
        <v>1341</v>
      </c>
      <c r="R2044" s="1" t="s">
        <v>1341</v>
      </c>
      <c r="S2044" s="5">
        <v>5</v>
      </c>
    </row>
    <row r="2045" spans="1:19" hidden="1" x14ac:dyDescent="0.25">
      <c r="A2045" s="1" t="s">
        <v>1099</v>
      </c>
      <c r="B2045" s="1" t="s">
        <v>1341</v>
      </c>
      <c r="C2045" s="5">
        <v>2</v>
      </c>
      <c r="D2045" s="1" t="s">
        <v>35</v>
      </c>
      <c r="E2045" s="1" t="s">
        <v>1343</v>
      </c>
      <c r="F2045" s="5" t="s">
        <v>24</v>
      </c>
      <c r="G2045" s="5">
        <v>14</v>
      </c>
      <c r="H2045" s="5">
        <v>20</v>
      </c>
      <c r="I2045" s="5" t="b">
        <v>1</v>
      </c>
      <c r="J2045" s="1" t="s">
        <v>1323</v>
      </c>
      <c r="K2045" s="1" t="s">
        <v>32</v>
      </c>
      <c r="L2045" s="1"/>
      <c r="M2045" s="1"/>
      <c r="N2045" s="1"/>
      <c r="O2045" s="1"/>
      <c r="P2045" s="1"/>
      <c r="Q2045" s="1" t="s">
        <v>1341</v>
      </c>
      <c r="R2045" s="1" t="s">
        <v>1341</v>
      </c>
      <c r="S2045" s="5">
        <v>7</v>
      </c>
    </row>
    <row r="2046" spans="1:19" hidden="1" x14ac:dyDescent="0.25">
      <c r="A2046" s="1" t="s">
        <v>1099</v>
      </c>
      <c r="B2046" s="1" t="s">
        <v>1341</v>
      </c>
      <c r="C2046" s="5">
        <v>2</v>
      </c>
      <c r="D2046" s="1" t="s">
        <v>1157</v>
      </c>
      <c r="E2046" s="1" t="s">
        <v>1344</v>
      </c>
      <c r="F2046" s="5" t="s">
        <v>26</v>
      </c>
      <c r="G2046" s="5">
        <v>0</v>
      </c>
      <c r="H2046" s="5">
        <v>10</v>
      </c>
      <c r="I2046" s="5" t="b">
        <v>0</v>
      </c>
      <c r="J2046" s="1" t="s">
        <v>1269</v>
      </c>
      <c r="K2046" s="1" t="s">
        <v>32</v>
      </c>
      <c r="L2046" s="1"/>
      <c r="M2046" s="1"/>
      <c r="N2046" s="1"/>
      <c r="O2046" s="1"/>
      <c r="P2046" s="1"/>
      <c r="Q2046" s="1" t="s">
        <v>1341</v>
      </c>
      <c r="R2046" s="1" t="s">
        <v>1341</v>
      </c>
      <c r="S2046" s="5">
        <v>8</v>
      </c>
    </row>
    <row r="2047" spans="1:19" hidden="1" x14ac:dyDescent="0.25">
      <c r="A2047" s="1" t="s">
        <v>1099</v>
      </c>
      <c r="B2047" s="1" t="s">
        <v>1341</v>
      </c>
      <c r="C2047" s="5">
        <v>2</v>
      </c>
      <c r="D2047" s="1" t="s">
        <v>1286</v>
      </c>
      <c r="E2047" s="1" t="s">
        <v>1289</v>
      </c>
      <c r="F2047" s="5" t="s">
        <v>27</v>
      </c>
      <c r="G2047" s="5">
        <v>0</v>
      </c>
      <c r="H2047" s="5">
        <v>5</v>
      </c>
      <c r="I2047" s="5" t="b">
        <v>0</v>
      </c>
      <c r="J2047" s="1" t="s">
        <v>1288</v>
      </c>
      <c r="K2047" s="1" t="s">
        <v>32</v>
      </c>
      <c r="L2047" s="1"/>
      <c r="M2047" s="1"/>
      <c r="N2047" s="1"/>
      <c r="O2047" s="1"/>
      <c r="P2047" s="1"/>
      <c r="Q2047" s="1" t="s">
        <v>1341</v>
      </c>
      <c r="R2047" s="1" t="s">
        <v>1341</v>
      </c>
      <c r="S2047" s="5">
        <v>9</v>
      </c>
    </row>
    <row r="2048" spans="1:19" hidden="1" x14ac:dyDescent="0.25">
      <c r="A2048" s="1" t="s">
        <v>1099</v>
      </c>
      <c r="B2048" s="1" t="s">
        <v>1341</v>
      </c>
      <c r="C2048" s="5">
        <v>2</v>
      </c>
      <c r="D2048" s="1" t="s">
        <v>1193</v>
      </c>
      <c r="E2048" s="1" t="s">
        <v>1271</v>
      </c>
      <c r="F2048" s="5" t="s">
        <v>27</v>
      </c>
      <c r="G2048" s="5">
        <v>0</v>
      </c>
      <c r="H2048" s="5">
        <v>1</v>
      </c>
      <c r="I2048" s="5" t="b">
        <v>0</v>
      </c>
      <c r="J2048" s="1" t="s">
        <v>1272</v>
      </c>
      <c r="K2048" s="1" t="s">
        <v>32</v>
      </c>
      <c r="L2048" s="1"/>
      <c r="M2048" s="1"/>
      <c r="N2048" s="1"/>
      <c r="O2048" s="1"/>
      <c r="P2048" s="1"/>
      <c r="Q2048" s="1" t="s">
        <v>1341</v>
      </c>
      <c r="R2048" s="1" t="s">
        <v>1341</v>
      </c>
      <c r="S2048" s="5">
        <v>10</v>
      </c>
    </row>
    <row r="2049" spans="1:19" x14ac:dyDescent="0.25">
      <c r="A2049" s="1" t="s">
        <v>1099</v>
      </c>
      <c r="B2049" s="1" t="s">
        <v>1341</v>
      </c>
      <c r="C2049" s="5">
        <v>2</v>
      </c>
      <c r="D2049" s="1" t="s">
        <v>1444</v>
      </c>
      <c r="E2049" s="1" t="s">
        <v>990</v>
      </c>
      <c r="F2049" s="5" t="s">
        <v>27</v>
      </c>
      <c r="G2049" s="5">
        <v>5</v>
      </c>
      <c r="H2049" s="5">
        <v>10</v>
      </c>
      <c r="I2049" s="5" t="b">
        <v>0</v>
      </c>
      <c r="J2049" s="1" t="s">
        <v>1270</v>
      </c>
      <c r="K2049" s="1" t="s">
        <v>32</v>
      </c>
      <c r="L2049" s="1"/>
      <c r="M2049" s="1"/>
      <c r="N2049" s="1"/>
      <c r="O2049" s="1"/>
      <c r="P2049" s="1"/>
      <c r="Q2049" s="1" t="s">
        <v>1341</v>
      </c>
      <c r="R2049" s="1" t="s">
        <v>1341</v>
      </c>
      <c r="S2049" s="5">
        <v>11</v>
      </c>
    </row>
    <row r="2050" spans="1:19" x14ac:dyDescent="0.25">
      <c r="A2050" s="1" t="s">
        <v>1099</v>
      </c>
      <c r="B2050" s="1" t="s">
        <v>1341</v>
      </c>
      <c r="C2050" s="5">
        <v>2</v>
      </c>
      <c r="D2050" s="1" t="s">
        <v>1443</v>
      </c>
      <c r="E2050" s="1" t="s">
        <v>1345</v>
      </c>
      <c r="F2050" s="5" t="s">
        <v>27</v>
      </c>
      <c r="G2050" s="5">
        <v>25</v>
      </c>
      <c r="H2050" s="5">
        <v>30</v>
      </c>
      <c r="I2050" s="5" t="b">
        <v>0</v>
      </c>
      <c r="J2050" s="1" t="s">
        <v>1441</v>
      </c>
      <c r="K2050" s="1" t="s">
        <v>32</v>
      </c>
      <c r="L2050" s="1"/>
      <c r="M2050" s="1"/>
      <c r="N2050" s="1"/>
      <c r="O2050" s="1"/>
      <c r="P2050" s="1"/>
      <c r="Q2050" s="1" t="s">
        <v>1341</v>
      </c>
      <c r="R2050" s="1" t="s">
        <v>1341</v>
      </c>
      <c r="S2050" s="5">
        <v>16</v>
      </c>
    </row>
    <row r="2051" spans="1:19" hidden="1" x14ac:dyDescent="0.25">
      <c r="A2051" s="1" t="s">
        <v>1099</v>
      </c>
      <c r="B2051" s="1" t="s">
        <v>1341</v>
      </c>
      <c r="C2051" s="5">
        <v>3</v>
      </c>
      <c r="D2051" s="1" t="s">
        <v>11</v>
      </c>
      <c r="E2051" s="1" t="s">
        <v>977</v>
      </c>
      <c r="F2051" s="5" t="s">
        <v>24</v>
      </c>
      <c r="G2051" s="5">
        <v>40</v>
      </c>
      <c r="H2051" s="5">
        <v>50</v>
      </c>
      <c r="I2051" s="5" t="b">
        <v>1</v>
      </c>
      <c r="J2051" s="1" t="s">
        <v>0</v>
      </c>
      <c r="K2051" s="1" t="s">
        <v>32</v>
      </c>
      <c r="L2051" s="1" t="s">
        <v>716</v>
      </c>
      <c r="M2051" s="1" t="s">
        <v>1170</v>
      </c>
      <c r="N2051" s="1"/>
      <c r="O2051" s="1"/>
      <c r="P2051" s="1"/>
      <c r="Q2051" s="1" t="s">
        <v>1341</v>
      </c>
      <c r="R2051" s="1" t="s">
        <v>1341</v>
      </c>
      <c r="S2051" s="5">
        <v>1</v>
      </c>
    </row>
    <row r="2052" spans="1:19" hidden="1" x14ac:dyDescent="0.25">
      <c r="A2052" s="1" t="s">
        <v>1099</v>
      </c>
      <c r="B2052" s="1" t="s">
        <v>1341</v>
      </c>
      <c r="C2052" s="5">
        <v>3</v>
      </c>
      <c r="D2052" s="1" t="s">
        <v>1260</v>
      </c>
      <c r="E2052" s="1" t="s">
        <v>991</v>
      </c>
      <c r="F2052" s="5" t="s">
        <v>25</v>
      </c>
      <c r="G2052" s="5">
        <v>2</v>
      </c>
      <c r="H2052" s="5">
        <v>3</v>
      </c>
      <c r="I2052" s="5" t="b">
        <v>1</v>
      </c>
      <c r="J2052" s="1" t="s">
        <v>1261</v>
      </c>
      <c r="K2052" s="1" t="s">
        <v>32</v>
      </c>
      <c r="L2052" s="1"/>
      <c r="M2052" s="1"/>
      <c r="N2052" s="1"/>
      <c r="O2052" s="1"/>
      <c r="P2052" s="1"/>
      <c r="Q2052" s="1" t="s">
        <v>1341</v>
      </c>
      <c r="R2052" s="1" t="s">
        <v>1341</v>
      </c>
      <c r="S2052" s="5">
        <v>2</v>
      </c>
    </row>
    <row r="2053" spans="1:19" hidden="1" x14ac:dyDescent="0.25">
      <c r="A2053" s="1" t="s">
        <v>1099</v>
      </c>
      <c r="B2053" s="1" t="s">
        <v>1341</v>
      </c>
      <c r="C2053" s="5">
        <v>3</v>
      </c>
      <c r="D2053" s="1" t="s">
        <v>13</v>
      </c>
      <c r="E2053" s="1" t="s">
        <v>1273</v>
      </c>
      <c r="F2053" s="5" t="s">
        <v>25</v>
      </c>
      <c r="G2053" s="5">
        <v>11</v>
      </c>
      <c r="H2053" s="5">
        <v>18</v>
      </c>
      <c r="I2053" s="5" t="b">
        <v>1</v>
      </c>
      <c r="J2053" s="1" t="s">
        <v>10</v>
      </c>
      <c r="K2053" s="1" t="s">
        <v>32</v>
      </c>
      <c r="L2053" s="1"/>
      <c r="M2053" s="1"/>
      <c r="N2053" s="1"/>
      <c r="O2053" s="1"/>
      <c r="P2053" s="1"/>
      <c r="Q2053" s="1" t="s">
        <v>1341</v>
      </c>
      <c r="R2053" s="1" t="s">
        <v>1341</v>
      </c>
      <c r="S2053" s="5">
        <v>3</v>
      </c>
    </row>
    <row r="2054" spans="1:19" hidden="1" x14ac:dyDescent="0.25">
      <c r="A2054" s="1" t="s">
        <v>1099</v>
      </c>
      <c r="B2054" s="1" t="s">
        <v>1341</v>
      </c>
      <c r="C2054" s="5">
        <v>3</v>
      </c>
      <c r="D2054" s="1" t="s">
        <v>29</v>
      </c>
      <c r="E2054" s="1" t="s">
        <v>971</v>
      </c>
      <c r="F2054" s="5" t="s">
        <v>25</v>
      </c>
      <c r="G2054" s="5">
        <v>5</v>
      </c>
      <c r="H2054" s="5">
        <v>10</v>
      </c>
      <c r="I2054" s="5" t="b">
        <v>1</v>
      </c>
      <c r="J2054" s="1" t="s">
        <v>1153</v>
      </c>
      <c r="K2054" s="1" t="s">
        <v>32</v>
      </c>
      <c r="L2054" s="1"/>
      <c r="M2054" s="1"/>
      <c r="N2054" s="1"/>
      <c r="O2054" s="1"/>
      <c r="P2054" s="1"/>
      <c r="Q2054" s="1" t="s">
        <v>1341</v>
      </c>
      <c r="R2054" s="1" t="s">
        <v>1341</v>
      </c>
      <c r="S2054" s="5">
        <v>5</v>
      </c>
    </row>
    <row r="2055" spans="1:19" hidden="1" x14ac:dyDescent="0.25">
      <c r="A2055" s="1" t="s">
        <v>1099</v>
      </c>
      <c r="B2055" s="1" t="s">
        <v>1341</v>
      </c>
      <c r="C2055" s="5">
        <v>3</v>
      </c>
      <c r="D2055" s="1" t="s">
        <v>35</v>
      </c>
      <c r="E2055" s="1" t="s">
        <v>1346</v>
      </c>
      <c r="F2055" s="5" t="s">
        <v>24</v>
      </c>
      <c r="G2055" s="5">
        <v>6</v>
      </c>
      <c r="H2055" s="5">
        <v>14</v>
      </c>
      <c r="I2055" s="5" t="b">
        <v>1</v>
      </c>
      <c r="J2055" s="1" t="s">
        <v>1323</v>
      </c>
      <c r="K2055" s="1" t="s">
        <v>32</v>
      </c>
      <c r="L2055" s="1"/>
      <c r="M2055" s="1"/>
      <c r="N2055" s="1"/>
      <c r="O2055" s="1"/>
      <c r="P2055" s="1"/>
      <c r="Q2055" s="1" t="s">
        <v>1341</v>
      </c>
      <c r="R2055" s="1" t="s">
        <v>1341</v>
      </c>
      <c r="S2055" s="5">
        <v>7</v>
      </c>
    </row>
    <row r="2056" spans="1:19" hidden="1" x14ac:dyDescent="0.25">
      <c r="A2056" s="1" t="s">
        <v>1099</v>
      </c>
      <c r="B2056" s="1" t="s">
        <v>1341</v>
      </c>
      <c r="C2056" s="5">
        <v>3</v>
      </c>
      <c r="D2056" s="1" t="s">
        <v>1157</v>
      </c>
      <c r="E2056" s="1" t="s">
        <v>992</v>
      </c>
      <c r="F2056" s="5" t="s">
        <v>26</v>
      </c>
      <c r="G2056" s="5">
        <v>10</v>
      </c>
      <c r="H2056" s="5">
        <v>20</v>
      </c>
      <c r="I2056" s="5" t="b">
        <v>0</v>
      </c>
      <c r="J2056" s="1" t="s">
        <v>1269</v>
      </c>
      <c r="K2056" s="1" t="s">
        <v>32</v>
      </c>
      <c r="L2056" s="1"/>
      <c r="M2056" s="1"/>
      <c r="N2056" s="1"/>
      <c r="O2056" s="1"/>
      <c r="P2056" s="1"/>
      <c r="Q2056" s="1" t="s">
        <v>1341</v>
      </c>
      <c r="R2056" s="1" t="s">
        <v>1341</v>
      </c>
      <c r="S2056" s="5">
        <v>8</v>
      </c>
    </row>
    <row r="2057" spans="1:19" hidden="1" x14ac:dyDescent="0.25">
      <c r="A2057" s="1" t="s">
        <v>1099</v>
      </c>
      <c r="B2057" s="1" t="s">
        <v>1341</v>
      </c>
      <c r="C2057" s="5">
        <v>3</v>
      </c>
      <c r="D2057" s="1" t="s">
        <v>1286</v>
      </c>
      <c r="E2057" s="1" t="s">
        <v>1328</v>
      </c>
      <c r="F2057" s="5" t="s">
        <v>27</v>
      </c>
      <c r="G2057" s="5">
        <v>5</v>
      </c>
      <c r="H2057" s="5">
        <v>8</v>
      </c>
      <c r="I2057" s="5" t="b">
        <v>0</v>
      </c>
      <c r="J2057" s="1" t="s">
        <v>1288</v>
      </c>
      <c r="K2057" s="1" t="s">
        <v>32</v>
      </c>
      <c r="L2057" s="1"/>
      <c r="M2057" s="1"/>
      <c r="N2057" s="1"/>
      <c r="O2057" s="1"/>
      <c r="P2057" s="1"/>
      <c r="Q2057" s="1" t="s">
        <v>1341</v>
      </c>
      <c r="R2057" s="1" t="s">
        <v>1341</v>
      </c>
      <c r="S2057" s="5">
        <v>9</v>
      </c>
    </row>
    <row r="2058" spans="1:19" x14ac:dyDescent="0.25">
      <c r="A2058" s="1" t="s">
        <v>1099</v>
      </c>
      <c r="B2058" s="1" t="s">
        <v>1341</v>
      </c>
      <c r="C2058" s="5">
        <v>3</v>
      </c>
      <c r="D2058" s="1" t="s">
        <v>1444</v>
      </c>
      <c r="E2058" s="1" t="s">
        <v>992</v>
      </c>
      <c r="F2058" s="5" t="s">
        <v>26</v>
      </c>
      <c r="G2058" s="5">
        <v>10</v>
      </c>
      <c r="H2058" s="5">
        <v>20</v>
      </c>
      <c r="I2058" s="5" t="b">
        <v>0</v>
      </c>
      <c r="J2058" s="1" t="s">
        <v>1270</v>
      </c>
      <c r="K2058" s="1" t="s">
        <v>32</v>
      </c>
      <c r="L2058" s="1" t="s">
        <v>716</v>
      </c>
      <c r="M2058" s="1" t="s">
        <v>1170</v>
      </c>
      <c r="N2058" s="1"/>
      <c r="O2058" s="1"/>
      <c r="P2058" s="1"/>
      <c r="Q2058" s="1" t="s">
        <v>1341</v>
      </c>
      <c r="R2058" s="1" t="s">
        <v>1341</v>
      </c>
      <c r="S2058" s="5">
        <v>11</v>
      </c>
    </row>
    <row r="2059" spans="1:19" x14ac:dyDescent="0.25">
      <c r="A2059" s="1" t="s">
        <v>1099</v>
      </c>
      <c r="B2059" s="1" t="s">
        <v>1341</v>
      </c>
      <c r="C2059" s="5">
        <v>3</v>
      </c>
      <c r="D2059" s="1" t="s">
        <v>1443</v>
      </c>
      <c r="E2059" s="1" t="s">
        <v>1294</v>
      </c>
      <c r="F2059" s="5" t="s">
        <v>27</v>
      </c>
      <c r="G2059" s="5">
        <v>35</v>
      </c>
      <c r="H2059" s="5">
        <v>40</v>
      </c>
      <c r="I2059" s="5" t="b">
        <v>0</v>
      </c>
      <c r="J2059" s="1" t="s">
        <v>1441</v>
      </c>
      <c r="K2059" s="1" t="s">
        <v>32</v>
      </c>
      <c r="L2059" s="1" t="s">
        <v>716</v>
      </c>
      <c r="M2059" s="1" t="s">
        <v>1170</v>
      </c>
      <c r="N2059" s="1"/>
      <c r="O2059" s="1"/>
      <c r="P2059" s="1"/>
      <c r="Q2059" s="1" t="s">
        <v>1341</v>
      </c>
      <c r="R2059" s="1" t="s">
        <v>1341</v>
      </c>
      <c r="S2059" s="5">
        <v>16</v>
      </c>
    </row>
    <row r="2060" spans="1:19" hidden="1" x14ac:dyDescent="0.25">
      <c r="A2060" s="1" t="s">
        <v>1099</v>
      </c>
      <c r="B2060" s="1" t="s">
        <v>1341</v>
      </c>
      <c r="C2060" s="5">
        <v>4</v>
      </c>
      <c r="D2060" s="1" t="s">
        <v>11</v>
      </c>
      <c r="E2060" s="1" t="s">
        <v>943</v>
      </c>
      <c r="F2060" s="5" t="s">
        <v>24</v>
      </c>
      <c r="G2060" s="5">
        <v>30</v>
      </c>
      <c r="H2060" s="5">
        <v>40</v>
      </c>
      <c r="I2060" s="5" t="b">
        <v>1</v>
      </c>
      <c r="J2060" s="1" t="s">
        <v>0</v>
      </c>
      <c r="K2060" s="1" t="s">
        <v>32</v>
      </c>
      <c r="L2060" s="1" t="s">
        <v>716</v>
      </c>
      <c r="M2060" s="1" t="s">
        <v>1170</v>
      </c>
      <c r="N2060" s="1"/>
      <c r="O2060" s="1"/>
      <c r="P2060" s="1"/>
      <c r="Q2060" s="1" t="s">
        <v>1341</v>
      </c>
      <c r="R2060" s="1" t="s">
        <v>1341</v>
      </c>
      <c r="S2060" s="5">
        <v>1</v>
      </c>
    </row>
    <row r="2061" spans="1:19" hidden="1" x14ac:dyDescent="0.25">
      <c r="A2061" s="1" t="s">
        <v>1099</v>
      </c>
      <c r="B2061" s="1" t="s">
        <v>1341</v>
      </c>
      <c r="C2061" s="5">
        <v>4</v>
      </c>
      <c r="D2061" s="1" t="s">
        <v>1260</v>
      </c>
      <c r="E2061" s="1" t="s">
        <v>1275</v>
      </c>
      <c r="F2061" s="5" t="s">
        <v>25</v>
      </c>
      <c r="G2061" s="5">
        <v>-0.5</v>
      </c>
      <c r="H2061" s="5">
        <v>2</v>
      </c>
      <c r="I2061" s="5" t="b">
        <v>1</v>
      </c>
      <c r="J2061" s="1" t="s">
        <v>1261</v>
      </c>
      <c r="K2061" s="1" t="s">
        <v>32</v>
      </c>
      <c r="L2061" s="1"/>
      <c r="M2061" s="1"/>
      <c r="N2061" s="1"/>
      <c r="O2061" s="1"/>
      <c r="P2061" s="1"/>
      <c r="Q2061" s="1" t="s">
        <v>1341</v>
      </c>
      <c r="R2061" s="1" t="s">
        <v>1341</v>
      </c>
      <c r="S2061" s="5">
        <v>2</v>
      </c>
    </row>
    <row r="2062" spans="1:19" hidden="1" x14ac:dyDescent="0.25">
      <c r="A2062" s="1" t="s">
        <v>1099</v>
      </c>
      <c r="B2062" s="1" t="s">
        <v>1341</v>
      </c>
      <c r="C2062" s="5">
        <v>4</v>
      </c>
      <c r="D2062" s="1" t="s">
        <v>13</v>
      </c>
      <c r="E2062" s="1" t="s">
        <v>961</v>
      </c>
      <c r="F2062" s="5" t="s">
        <v>25</v>
      </c>
      <c r="G2062" s="5">
        <v>3</v>
      </c>
      <c r="H2062" s="5">
        <v>8</v>
      </c>
      <c r="I2062" s="5" t="b">
        <v>1</v>
      </c>
      <c r="J2062" s="1" t="s">
        <v>10</v>
      </c>
      <c r="K2062" s="1" t="s">
        <v>32</v>
      </c>
      <c r="L2062" s="1"/>
      <c r="M2062" s="1"/>
      <c r="N2062" s="1"/>
      <c r="O2062" s="1"/>
      <c r="P2062" s="1"/>
      <c r="Q2062" s="1" t="s">
        <v>1341</v>
      </c>
      <c r="R2062" s="1" t="s">
        <v>1341</v>
      </c>
      <c r="S2062" s="5">
        <v>3</v>
      </c>
    </row>
    <row r="2063" spans="1:19" hidden="1" x14ac:dyDescent="0.25">
      <c r="A2063" s="1" t="s">
        <v>1099</v>
      </c>
      <c r="B2063" s="1" t="s">
        <v>1341</v>
      </c>
      <c r="C2063" s="5">
        <v>4</v>
      </c>
      <c r="D2063" s="1" t="s">
        <v>29</v>
      </c>
      <c r="E2063" s="1" t="s">
        <v>941</v>
      </c>
      <c r="F2063" s="5" t="s">
        <v>25</v>
      </c>
      <c r="G2063" s="5">
        <v>1</v>
      </c>
      <c r="H2063" s="5">
        <v>4</v>
      </c>
      <c r="I2063" s="5" t="b">
        <v>1</v>
      </c>
      <c r="J2063" s="1" t="s">
        <v>1153</v>
      </c>
      <c r="K2063" s="1" t="s">
        <v>32</v>
      </c>
      <c r="L2063" s="1"/>
      <c r="M2063" s="1"/>
      <c r="N2063" s="1"/>
      <c r="O2063" s="1"/>
      <c r="P2063" s="1"/>
      <c r="Q2063" s="1" t="s">
        <v>1341</v>
      </c>
      <c r="R2063" s="1" t="s">
        <v>1341</v>
      </c>
      <c r="S2063" s="5">
        <v>5</v>
      </c>
    </row>
    <row r="2064" spans="1:19" hidden="1" x14ac:dyDescent="0.25">
      <c r="A2064" s="1" t="s">
        <v>1099</v>
      </c>
      <c r="B2064" s="1" t="s">
        <v>1341</v>
      </c>
      <c r="C2064" s="5">
        <v>4</v>
      </c>
      <c r="D2064" s="1" t="s">
        <v>35</v>
      </c>
      <c r="E2064" s="1" t="s">
        <v>1347</v>
      </c>
      <c r="F2064" s="5" t="s">
        <v>25</v>
      </c>
      <c r="G2064" s="5">
        <v>0</v>
      </c>
      <c r="H2064" s="5">
        <v>5</v>
      </c>
      <c r="I2064" s="5" t="b">
        <v>1</v>
      </c>
      <c r="J2064" s="1" t="s">
        <v>1323</v>
      </c>
      <c r="K2064" s="1" t="s">
        <v>32</v>
      </c>
      <c r="L2064" s="1" t="s">
        <v>716</v>
      </c>
      <c r="M2064" s="1" t="s">
        <v>1170</v>
      </c>
      <c r="N2064" s="1"/>
      <c r="O2064" s="1"/>
      <c r="P2064" s="1"/>
      <c r="Q2064" s="1" t="s">
        <v>1341</v>
      </c>
      <c r="R2064" s="1" t="s">
        <v>1341</v>
      </c>
      <c r="S2064" s="5">
        <v>7</v>
      </c>
    </row>
    <row r="2065" spans="1:19" hidden="1" x14ac:dyDescent="0.25">
      <c r="A2065" s="1" t="s">
        <v>1099</v>
      </c>
      <c r="B2065" s="1" t="s">
        <v>1341</v>
      </c>
      <c r="C2065" s="5">
        <v>4</v>
      </c>
      <c r="D2065" s="1" t="s">
        <v>1157</v>
      </c>
      <c r="E2065" s="1" t="s">
        <v>928</v>
      </c>
      <c r="F2065" s="5" t="s">
        <v>26</v>
      </c>
      <c r="G2065" s="5">
        <v>20</v>
      </c>
      <c r="H2065" s="5">
        <v>30</v>
      </c>
      <c r="I2065" s="5" t="b">
        <v>0</v>
      </c>
      <c r="J2065" s="1" t="s">
        <v>1269</v>
      </c>
      <c r="K2065" s="1" t="s">
        <v>32</v>
      </c>
      <c r="L2065" s="1" t="s">
        <v>716</v>
      </c>
      <c r="M2065" s="1" t="s">
        <v>1170</v>
      </c>
      <c r="N2065" s="1"/>
      <c r="O2065" s="1"/>
      <c r="P2065" s="1"/>
      <c r="Q2065" s="1" t="s">
        <v>1341</v>
      </c>
      <c r="R2065" s="1" t="s">
        <v>1341</v>
      </c>
      <c r="S2065" s="5">
        <v>8</v>
      </c>
    </row>
    <row r="2066" spans="1:19" x14ac:dyDescent="0.25">
      <c r="A2066" s="1" t="s">
        <v>1099</v>
      </c>
      <c r="B2066" s="1" t="s">
        <v>1341</v>
      </c>
      <c r="C2066" s="5">
        <v>4</v>
      </c>
      <c r="D2066" s="1" t="s">
        <v>1444</v>
      </c>
      <c r="E2066" s="1" t="s">
        <v>1279</v>
      </c>
      <c r="F2066" s="5" t="s">
        <v>27</v>
      </c>
      <c r="G2066" s="5">
        <v>30</v>
      </c>
      <c r="H2066" s="5">
        <v>35</v>
      </c>
      <c r="I2066" s="5" t="b">
        <v>0</v>
      </c>
      <c r="J2066" s="1" t="s">
        <v>1270</v>
      </c>
      <c r="K2066" s="1" t="s">
        <v>32</v>
      </c>
      <c r="L2066" s="1" t="s">
        <v>716</v>
      </c>
      <c r="M2066" s="1" t="s">
        <v>1170</v>
      </c>
      <c r="N2066" s="1"/>
      <c r="O2066" s="1"/>
      <c r="P2066" s="1"/>
      <c r="Q2066" s="1" t="s">
        <v>1341</v>
      </c>
      <c r="R2066" s="1" t="s">
        <v>1341</v>
      </c>
      <c r="S2066" s="5">
        <v>11</v>
      </c>
    </row>
    <row r="2067" spans="1:19" x14ac:dyDescent="0.25">
      <c r="A2067" s="1" t="s">
        <v>1099</v>
      </c>
      <c r="B2067" s="1" t="s">
        <v>1341</v>
      </c>
      <c r="C2067" s="5">
        <v>4</v>
      </c>
      <c r="D2067" s="1" t="s">
        <v>1443</v>
      </c>
      <c r="E2067" s="1" t="s">
        <v>946</v>
      </c>
      <c r="F2067" s="5" t="s">
        <v>26</v>
      </c>
      <c r="G2067" s="5">
        <v>40</v>
      </c>
      <c r="H2067" s="5">
        <v>50</v>
      </c>
      <c r="I2067" s="5" t="b">
        <v>0</v>
      </c>
      <c r="J2067" s="1" t="s">
        <v>1441</v>
      </c>
      <c r="K2067" s="1" t="s">
        <v>32</v>
      </c>
      <c r="L2067" s="1" t="s">
        <v>716</v>
      </c>
      <c r="M2067" s="1" t="s">
        <v>1170</v>
      </c>
      <c r="N2067" s="1"/>
      <c r="O2067" s="1"/>
      <c r="P2067" s="1"/>
      <c r="Q2067" s="1" t="s">
        <v>1341</v>
      </c>
      <c r="R2067" s="1" t="s">
        <v>1341</v>
      </c>
      <c r="S2067" s="5">
        <v>16</v>
      </c>
    </row>
    <row r="2068" spans="1:19" hidden="1" x14ac:dyDescent="0.25">
      <c r="A2068" s="1" t="s">
        <v>1099</v>
      </c>
      <c r="B2068" s="1" t="s">
        <v>1341</v>
      </c>
      <c r="C2068" s="5">
        <v>5</v>
      </c>
      <c r="D2068" s="1" t="s">
        <v>11</v>
      </c>
      <c r="E2068" s="1" t="s">
        <v>1348</v>
      </c>
      <c r="F2068" s="5" t="s">
        <v>25</v>
      </c>
      <c r="G2068" s="5">
        <v>23</v>
      </c>
      <c r="H2068" s="5">
        <v>30</v>
      </c>
      <c r="I2068" s="5" t="b">
        <v>1</v>
      </c>
      <c r="J2068" s="1" t="s">
        <v>0</v>
      </c>
      <c r="K2068" s="1" t="s">
        <v>32</v>
      </c>
      <c r="L2068" s="1" t="s">
        <v>716</v>
      </c>
      <c r="M2068" s="1" t="s">
        <v>1170</v>
      </c>
      <c r="N2068" s="1"/>
      <c r="O2068" s="1"/>
      <c r="P2068" s="1"/>
      <c r="Q2068" s="1" t="s">
        <v>1341</v>
      </c>
      <c r="R2068" s="1" t="s">
        <v>1341</v>
      </c>
      <c r="S2068" s="5">
        <v>1</v>
      </c>
    </row>
    <row r="2069" spans="1:19" hidden="1" x14ac:dyDescent="0.25">
      <c r="A2069" s="1" t="s">
        <v>1099</v>
      </c>
      <c r="B2069" s="1" t="s">
        <v>1341</v>
      </c>
      <c r="C2069" s="5">
        <v>5</v>
      </c>
      <c r="D2069" s="1" t="s">
        <v>13</v>
      </c>
      <c r="E2069" s="1" t="s">
        <v>939</v>
      </c>
      <c r="F2069" s="5" t="s">
        <v>25</v>
      </c>
      <c r="G2069" s="5">
        <v>0</v>
      </c>
      <c r="H2069" s="5">
        <v>3</v>
      </c>
      <c r="I2069" s="5" t="b">
        <v>1</v>
      </c>
      <c r="J2069" s="1" t="s">
        <v>10</v>
      </c>
      <c r="K2069" s="1" t="s">
        <v>32</v>
      </c>
      <c r="L2069" s="1" t="s">
        <v>716</v>
      </c>
      <c r="M2069" s="1" t="s">
        <v>1170</v>
      </c>
      <c r="N2069" s="1"/>
      <c r="O2069" s="1"/>
      <c r="P2069" s="1"/>
      <c r="Q2069" s="1" t="s">
        <v>1341</v>
      </c>
      <c r="R2069" s="1" t="s">
        <v>1341</v>
      </c>
      <c r="S2069" s="5">
        <v>3</v>
      </c>
    </row>
    <row r="2070" spans="1:19" hidden="1" x14ac:dyDescent="0.25">
      <c r="A2070" s="1" t="s">
        <v>1099</v>
      </c>
      <c r="B2070" s="1" t="s">
        <v>1341</v>
      </c>
      <c r="C2070" s="5">
        <v>5</v>
      </c>
      <c r="D2070" s="1" t="s">
        <v>1157</v>
      </c>
      <c r="E2070" s="1" t="s">
        <v>930</v>
      </c>
      <c r="F2070" s="5" t="s">
        <v>26</v>
      </c>
      <c r="G2070" s="5">
        <v>50</v>
      </c>
      <c r="H2070" s="5">
        <v>60</v>
      </c>
      <c r="I2070" s="5" t="b">
        <v>0</v>
      </c>
      <c r="J2070" s="1" t="s">
        <v>1269</v>
      </c>
      <c r="K2070" s="1" t="s">
        <v>32</v>
      </c>
      <c r="L2070" s="1" t="s">
        <v>716</v>
      </c>
      <c r="M2070" s="1" t="s">
        <v>1170</v>
      </c>
      <c r="N2070" s="1"/>
      <c r="O2070" s="1"/>
      <c r="P2070" s="1"/>
      <c r="Q2070" s="1" t="s">
        <v>1341</v>
      </c>
      <c r="R2070" s="1" t="s">
        <v>1341</v>
      </c>
      <c r="S2070" s="5">
        <v>8</v>
      </c>
    </row>
    <row r="2071" spans="1:19" hidden="1" x14ac:dyDescent="0.25">
      <c r="A2071" s="1" t="s">
        <v>1099</v>
      </c>
      <c r="B2071" s="1" t="s">
        <v>1332</v>
      </c>
      <c r="C2071" s="5">
        <v>2</v>
      </c>
      <c r="D2071" s="1" t="s">
        <v>11</v>
      </c>
      <c r="E2071" s="1" t="s">
        <v>988</v>
      </c>
      <c r="F2071" s="5" t="s">
        <v>24</v>
      </c>
      <c r="G2071" s="5">
        <v>45</v>
      </c>
      <c r="H2071" s="5">
        <v>55</v>
      </c>
      <c r="I2071" s="5" t="b">
        <v>1</v>
      </c>
      <c r="J2071" s="1" t="s">
        <v>0</v>
      </c>
      <c r="K2071" s="1" t="s">
        <v>32</v>
      </c>
      <c r="L2071" s="1"/>
      <c r="M2071" s="1"/>
      <c r="N2071" s="1"/>
      <c r="O2071" s="1"/>
      <c r="P2071" s="1"/>
      <c r="Q2071" s="1" t="s">
        <v>1332</v>
      </c>
      <c r="R2071" s="1" t="s">
        <v>1332</v>
      </c>
      <c r="S2071" s="5">
        <v>1</v>
      </c>
    </row>
    <row r="2072" spans="1:19" hidden="1" x14ac:dyDescent="0.25">
      <c r="A2072" s="1" t="s">
        <v>1099</v>
      </c>
      <c r="B2072" s="1" t="s">
        <v>1332</v>
      </c>
      <c r="C2072" s="5">
        <v>2</v>
      </c>
      <c r="D2072" s="1" t="s">
        <v>1260</v>
      </c>
      <c r="E2072" s="1" t="s">
        <v>991</v>
      </c>
      <c r="F2072" s="5" t="s">
        <v>25</v>
      </c>
      <c r="G2072" s="5">
        <v>2</v>
      </c>
      <c r="H2072" s="5">
        <v>3</v>
      </c>
      <c r="I2072" s="5" t="b">
        <v>1</v>
      </c>
      <c r="J2072" s="1" t="s">
        <v>1261</v>
      </c>
      <c r="K2072" s="1" t="s">
        <v>32</v>
      </c>
      <c r="L2072" s="1"/>
      <c r="M2072" s="1"/>
      <c r="N2072" s="1"/>
      <c r="O2072" s="1"/>
      <c r="P2072" s="1"/>
      <c r="Q2072" s="1" t="s">
        <v>1332</v>
      </c>
      <c r="R2072" s="1" t="s">
        <v>1332</v>
      </c>
      <c r="S2072" s="5">
        <v>2</v>
      </c>
    </row>
    <row r="2073" spans="1:19" hidden="1" x14ac:dyDescent="0.25">
      <c r="A2073" s="1" t="s">
        <v>1099</v>
      </c>
      <c r="B2073" s="1" t="s">
        <v>1332</v>
      </c>
      <c r="C2073" s="5">
        <v>2</v>
      </c>
      <c r="D2073" s="1" t="s">
        <v>13</v>
      </c>
      <c r="E2073" s="1" t="s">
        <v>951</v>
      </c>
      <c r="F2073" s="5" t="s">
        <v>25</v>
      </c>
      <c r="G2073" s="5">
        <v>15</v>
      </c>
      <c r="H2073" s="5">
        <v>20</v>
      </c>
      <c r="I2073" s="5" t="b">
        <v>1</v>
      </c>
      <c r="J2073" s="1" t="s">
        <v>10</v>
      </c>
      <c r="K2073" s="1" t="s">
        <v>32</v>
      </c>
      <c r="L2073" s="1"/>
      <c r="M2073" s="1"/>
      <c r="N2073" s="1"/>
      <c r="O2073" s="1"/>
      <c r="P2073" s="1"/>
      <c r="Q2073" s="1" t="s">
        <v>1332</v>
      </c>
      <c r="R2073" s="1" t="s">
        <v>1332</v>
      </c>
      <c r="S2073" s="5">
        <v>3</v>
      </c>
    </row>
    <row r="2074" spans="1:19" hidden="1" x14ac:dyDescent="0.25">
      <c r="A2074" s="1" t="s">
        <v>1099</v>
      </c>
      <c r="B2074" s="1" t="s">
        <v>1332</v>
      </c>
      <c r="C2074" s="5">
        <v>2</v>
      </c>
      <c r="D2074" s="1" t="s">
        <v>1263</v>
      </c>
      <c r="E2074" s="1" t="s">
        <v>941</v>
      </c>
      <c r="F2074" s="5" t="s">
        <v>25</v>
      </c>
      <c r="G2074" s="5">
        <v>1</v>
      </c>
      <c r="H2074" s="5">
        <v>4</v>
      </c>
      <c r="I2074" s="5" t="b">
        <v>1</v>
      </c>
      <c r="J2074" s="1" t="s">
        <v>1264</v>
      </c>
      <c r="K2074" s="1" t="s">
        <v>32</v>
      </c>
      <c r="L2074" s="1"/>
      <c r="M2074" s="1"/>
      <c r="N2074" s="1"/>
      <c r="O2074" s="1"/>
      <c r="P2074" s="1"/>
      <c r="Q2074" s="1" t="s">
        <v>1332</v>
      </c>
      <c r="R2074" s="1" t="s">
        <v>1332</v>
      </c>
      <c r="S2074" s="5">
        <v>4</v>
      </c>
    </row>
    <row r="2075" spans="1:19" hidden="1" x14ac:dyDescent="0.25">
      <c r="A2075" s="1" t="s">
        <v>1099</v>
      </c>
      <c r="B2075" s="1" t="s">
        <v>1332</v>
      </c>
      <c r="C2075" s="5">
        <v>2</v>
      </c>
      <c r="D2075" s="1" t="s">
        <v>29</v>
      </c>
      <c r="E2075" s="1" t="s">
        <v>1333</v>
      </c>
      <c r="F2075" s="5" t="s">
        <v>25</v>
      </c>
      <c r="G2075" s="5">
        <v>9</v>
      </c>
      <c r="H2075" s="5">
        <v>16</v>
      </c>
      <c r="I2075" s="5" t="b">
        <v>1</v>
      </c>
      <c r="J2075" s="1" t="s">
        <v>1153</v>
      </c>
      <c r="K2075" s="1" t="s">
        <v>32</v>
      </c>
      <c r="L2075" s="1"/>
      <c r="M2075" s="1"/>
      <c r="N2075" s="1"/>
      <c r="O2075" s="1"/>
      <c r="P2075" s="1"/>
      <c r="Q2075" s="1" t="s">
        <v>1332</v>
      </c>
      <c r="R2075" s="1" t="s">
        <v>1332</v>
      </c>
      <c r="S2075" s="5">
        <v>5</v>
      </c>
    </row>
    <row r="2076" spans="1:19" hidden="1" x14ac:dyDescent="0.25">
      <c r="A2076" s="1" t="s">
        <v>1099</v>
      </c>
      <c r="B2076" s="1" t="s">
        <v>1332</v>
      </c>
      <c r="C2076" s="5">
        <v>2</v>
      </c>
      <c r="D2076" s="1" t="s">
        <v>35</v>
      </c>
      <c r="E2076" s="1" t="s">
        <v>945</v>
      </c>
      <c r="F2076" s="5" t="s">
        <v>24</v>
      </c>
      <c r="G2076" s="5">
        <v>15</v>
      </c>
      <c r="H2076" s="5">
        <v>25</v>
      </c>
      <c r="I2076" s="5" t="b">
        <v>1</v>
      </c>
      <c r="J2076" s="1" t="s">
        <v>1323</v>
      </c>
      <c r="K2076" s="1" t="s">
        <v>32</v>
      </c>
      <c r="L2076" s="1"/>
      <c r="M2076" s="1"/>
      <c r="N2076" s="1"/>
      <c r="O2076" s="1"/>
      <c r="P2076" s="1"/>
      <c r="Q2076" s="1" t="s">
        <v>1332</v>
      </c>
      <c r="R2076" s="1" t="s">
        <v>1332</v>
      </c>
      <c r="S2076" s="5">
        <v>7</v>
      </c>
    </row>
    <row r="2077" spans="1:19" hidden="1" x14ac:dyDescent="0.25">
      <c r="A2077" s="1" t="s">
        <v>1099</v>
      </c>
      <c r="B2077" s="1" t="s">
        <v>1332</v>
      </c>
      <c r="C2077" s="5">
        <v>2</v>
      </c>
      <c r="D2077" s="1" t="s">
        <v>1157</v>
      </c>
      <c r="E2077" s="1" t="s">
        <v>1335</v>
      </c>
      <c r="F2077" s="5" t="s">
        <v>26</v>
      </c>
      <c r="G2077" s="5">
        <v>1</v>
      </c>
      <c r="H2077" s="5">
        <v>3</v>
      </c>
      <c r="I2077" s="5" t="b">
        <v>0</v>
      </c>
      <c r="J2077" s="1" t="s">
        <v>1269</v>
      </c>
      <c r="K2077" s="1" t="s">
        <v>32</v>
      </c>
      <c r="L2077" s="1"/>
      <c r="M2077" s="1"/>
      <c r="N2077" s="1"/>
      <c r="O2077" s="1"/>
      <c r="P2077" s="1"/>
      <c r="Q2077" s="1" t="s">
        <v>1332</v>
      </c>
      <c r="R2077" s="1" t="s">
        <v>1332</v>
      </c>
      <c r="S2077" s="5">
        <v>8</v>
      </c>
    </row>
    <row r="2078" spans="1:19" hidden="1" x14ac:dyDescent="0.25">
      <c r="A2078" s="1" t="s">
        <v>1099</v>
      </c>
      <c r="B2078" s="1" t="s">
        <v>1332</v>
      </c>
      <c r="C2078" s="5">
        <v>2</v>
      </c>
      <c r="D2078" s="1" t="s">
        <v>1286</v>
      </c>
      <c r="E2078" s="1" t="s">
        <v>986</v>
      </c>
      <c r="F2078" s="5" t="s">
        <v>27</v>
      </c>
      <c r="G2078" s="5">
        <v>1</v>
      </c>
      <c r="H2078" s="5">
        <v>2</v>
      </c>
      <c r="I2078" s="5" t="b">
        <v>0</v>
      </c>
      <c r="J2078" s="1" t="s">
        <v>1288</v>
      </c>
      <c r="K2078" s="1" t="s">
        <v>32</v>
      </c>
      <c r="L2078" s="1"/>
      <c r="M2078" s="1"/>
      <c r="N2078" s="1"/>
      <c r="O2078" s="1"/>
      <c r="P2078" s="1"/>
      <c r="Q2078" s="1" t="s">
        <v>1332</v>
      </c>
      <c r="R2078" s="1" t="s">
        <v>1332</v>
      </c>
      <c r="S2078" s="5">
        <v>9</v>
      </c>
    </row>
    <row r="2079" spans="1:19" hidden="1" x14ac:dyDescent="0.25">
      <c r="A2079" s="1" t="s">
        <v>1099</v>
      </c>
      <c r="B2079" s="1" t="s">
        <v>1332</v>
      </c>
      <c r="C2079" s="5">
        <v>2</v>
      </c>
      <c r="D2079" s="1" t="s">
        <v>1193</v>
      </c>
      <c r="E2079" s="1" t="s">
        <v>1271</v>
      </c>
      <c r="F2079" s="5" t="s">
        <v>27</v>
      </c>
      <c r="G2079" s="5">
        <v>0</v>
      </c>
      <c r="H2079" s="5">
        <v>1</v>
      </c>
      <c r="I2079" s="5" t="b">
        <v>0</v>
      </c>
      <c r="J2079" s="1" t="s">
        <v>1272</v>
      </c>
      <c r="K2079" s="1" t="s">
        <v>32</v>
      </c>
      <c r="L2079" s="1"/>
      <c r="M2079" s="1"/>
      <c r="N2079" s="1"/>
      <c r="O2079" s="1"/>
      <c r="P2079" s="1"/>
      <c r="Q2079" s="1" t="s">
        <v>1332</v>
      </c>
      <c r="R2079" s="1" t="s">
        <v>1332</v>
      </c>
      <c r="S2079" s="5">
        <v>10</v>
      </c>
    </row>
    <row r="2080" spans="1:19" x14ac:dyDescent="0.25">
      <c r="A2080" s="1" t="s">
        <v>1099</v>
      </c>
      <c r="B2080" s="1" t="s">
        <v>1332</v>
      </c>
      <c r="C2080" s="5">
        <v>2</v>
      </c>
      <c r="D2080" s="1" t="s">
        <v>1444</v>
      </c>
      <c r="E2080" s="1" t="s">
        <v>998</v>
      </c>
      <c r="F2080" s="5" t="s">
        <v>26</v>
      </c>
      <c r="G2080" s="5">
        <v>15</v>
      </c>
      <c r="H2080" s="5">
        <v>25</v>
      </c>
      <c r="I2080" s="5" t="b">
        <v>0</v>
      </c>
      <c r="J2080" s="1" t="s">
        <v>1270</v>
      </c>
      <c r="K2080" s="1" t="s">
        <v>32</v>
      </c>
      <c r="L2080" s="1"/>
      <c r="M2080" s="1"/>
      <c r="N2080" s="1"/>
      <c r="O2080" s="1"/>
      <c r="P2080" s="1"/>
      <c r="Q2080" s="1" t="s">
        <v>1332</v>
      </c>
      <c r="R2080" s="1" t="s">
        <v>1332</v>
      </c>
      <c r="S2080" s="5">
        <v>11</v>
      </c>
    </row>
    <row r="2081" spans="1:19" hidden="1" x14ac:dyDescent="0.25">
      <c r="A2081" s="1" t="s">
        <v>1099</v>
      </c>
      <c r="B2081" s="1" t="s">
        <v>1332</v>
      </c>
      <c r="C2081" s="5">
        <v>2</v>
      </c>
      <c r="D2081" s="1" t="s">
        <v>342</v>
      </c>
      <c r="E2081" s="1" t="s">
        <v>1334</v>
      </c>
      <c r="F2081" s="5" t="s">
        <v>24</v>
      </c>
      <c r="G2081" s="5">
        <v>4</v>
      </c>
      <c r="H2081" s="5">
        <v>4.4000000000000004</v>
      </c>
      <c r="I2081" s="5" t="b">
        <v>1</v>
      </c>
      <c r="J2081" s="1" t="s">
        <v>480</v>
      </c>
      <c r="K2081" s="1" t="s">
        <v>32</v>
      </c>
      <c r="L2081" s="1"/>
      <c r="M2081" s="1"/>
      <c r="N2081" s="1"/>
      <c r="O2081" s="1"/>
      <c r="P2081" s="1"/>
      <c r="Q2081" s="1" t="s">
        <v>1332</v>
      </c>
      <c r="R2081" s="1" t="s">
        <v>1332</v>
      </c>
      <c r="S2081" s="5">
        <v>12</v>
      </c>
    </row>
    <row r="2082" spans="1:19" hidden="1" x14ac:dyDescent="0.25">
      <c r="A2082" s="1" t="s">
        <v>1099</v>
      </c>
      <c r="B2082" s="1" t="s">
        <v>1332</v>
      </c>
      <c r="C2082" s="5">
        <v>2</v>
      </c>
      <c r="D2082" s="1" t="s">
        <v>183</v>
      </c>
      <c r="E2082" s="1" t="s">
        <v>928</v>
      </c>
      <c r="F2082" s="5" t="s">
        <v>26</v>
      </c>
      <c r="G2082" s="5">
        <v>20</v>
      </c>
      <c r="H2082" s="5">
        <v>30</v>
      </c>
      <c r="I2082" s="5" t="b">
        <v>0</v>
      </c>
      <c r="J2082" s="1" t="s">
        <v>1298</v>
      </c>
      <c r="K2082" s="1" t="s">
        <v>32</v>
      </c>
      <c r="L2082" s="1"/>
      <c r="M2082" s="1"/>
      <c r="N2082" s="1"/>
      <c r="O2082" s="1"/>
      <c r="P2082" s="1"/>
      <c r="Q2082" s="1" t="s">
        <v>1332</v>
      </c>
      <c r="R2082" s="1" t="s">
        <v>1332</v>
      </c>
      <c r="S2082" s="5">
        <v>17</v>
      </c>
    </row>
    <row r="2083" spans="1:19" hidden="1" x14ac:dyDescent="0.25">
      <c r="A2083" s="1" t="s">
        <v>1099</v>
      </c>
      <c r="B2083" s="1" t="s">
        <v>1332</v>
      </c>
      <c r="C2083" s="5">
        <v>3</v>
      </c>
      <c r="D2083" s="1" t="s">
        <v>11</v>
      </c>
      <c r="E2083" s="1" t="s">
        <v>943</v>
      </c>
      <c r="F2083" s="5" t="s">
        <v>24</v>
      </c>
      <c r="G2083" s="5">
        <v>30</v>
      </c>
      <c r="H2083" s="5">
        <v>40</v>
      </c>
      <c r="I2083" s="5" t="b">
        <v>1</v>
      </c>
      <c r="J2083" s="1" t="s">
        <v>0</v>
      </c>
      <c r="K2083" s="1" t="s">
        <v>32</v>
      </c>
      <c r="L2083" s="1"/>
      <c r="M2083" s="1"/>
      <c r="N2083" s="1"/>
      <c r="O2083" s="1"/>
      <c r="P2083" s="1"/>
      <c r="Q2083" s="1" t="s">
        <v>1332</v>
      </c>
      <c r="R2083" s="1" t="s">
        <v>1332</v>
      </c>
      <c r="S2083" s="5">
        <v>1</v>
      </c>
    </row>
    <row r="2084" spans="1:19" hidden="1" x14ac:dyDescent="0.25">
      <c r="A2084" s="1" t="s">
        <v>1099</v>
      </c>
      <c r="B2084" s="1" t="s">
        <v>1332</v>
      </c>
      <c r="C2084" s="5">
        <v>3</v>
      </c>
      <c r="D2084" s="1" t="s">
        <v>1260</v>
      </c>
      <c r="E2084" s="1" t="s">
        <v>991</v>
      </c>
      <c r="F2084" s="5" t="s">
        <v>25</v>
      </c>
      <c r="G2084" s="5">
        <v>2</v>
      </c>
      <c r="H2084" s="5">
        <v>3</v>
      </c>
      <c r="I2084" s="5" t="b">
        <v>1</v>
      </c>
      <c r="J2084" s="1" t="s">
        <v>1261</v>
      </c>
      <c r="K2084" s="1" t="s">
        <v>32</v>
      </c>
      <c r="L2084" s="1"/>
      <c r="M2084" s="1"/>
      <c r="N2084" s="1"/>
      <c r="O2084" s="1"/>
      <c r="P2084" s="1"/>
      <c r="Q2084" s="1" t="s">
        <v>1332</v>
      </c>
      <c r="R2084" s="1" t="s">
        <v>1332</v>
      </c>
      <c r="S2084" s="5">
        <v>2</v>
      </c>
    </row>
    <row r="2085" spans="1:19" hidden="1" x14ac:dyDescent="0.25">
      <c r="A2085" s="1" t="s">
        <v>1099</v>
      </c>
      <c r="B2085" s="1" t="s">
        <v>1332</v>
      </c>
      <c r="C2085" s="5">
        <v>3</v>
      </c>
      <c r="D2085" s="1" t="s">
        <v>13</v>
      </c>
      <c r="E2085" s="1" t="s">
        <v>1008</v>
      </c>
      <c r="F2085" s="5" t="s">
        <v>25</v>
      </c>
      <c r="G2085" s="5">
        <v>8</v>
      </c>
      <c r="H2085" s="5">
        <v>15</v>
      </c>
      <c r="I2085" s="5" t="b">
        <v>1</v>
      </c>
      <c r="J2085" s="1" t="s">
        <v>10</v>
      </c>
      <c r="K2085" s="1" t="s">
        <v>32</v>
      </c>
      <c r="L2085" s="1"/>
      <c r="M2085" s="1"/>
      <c r="N2085" s="1"/>
      <c r="O2085" s="1"/>
      <c r="P2085" s="1"/>
      <c r="Q2085" s="1" t="s">
        <v>1332</v>
      </c>
      <c r="R2085" s="1" t="s">
        <v>1332</v>
      </c>
      <c r="S2085" s="5">
        <v>3</v>
      </c>
    </row>
    <row r="2086" spans="1:19" hidden="1" x14ac:dyDescent="0.25">
      <c r="A2086" s="1" t="s">
        <v>1099</v>
      </c>
      <c r="B2086" s="1" t="s">
        <v>1332</v>
      </c>
      <c r="C2086" s="5">
        <v>3</v>
      </c>
      <c r="D2086" s="1" t="s">
        <v>29</v>
      </c>
      <c r="E2086" s="1" t="s">
        <v>961</v>
      </c>
      <c r="F2086" s="5" t="s">
        <v>25</v>
      </c>
      <c r="G2086" s="5">
        <v>3</v>
      </c>
      <c r="H2086" s="5">
        <v>8</v>
      </c>
      <c r="I2086" s="5" t="b">
        <v>1</v>
      </c>
      <c r="J2086" s="1" t="s">
        <v>1153</v>
      </c>
      <c r="K2086" s="1" t="s">
        <v>32</v>
      </c>
      <c r="L2086" s="1"/>
      <c r="M2086" s="1"/>
      <c r="N2086" s="1"/>
      <c r="O2086" s="1"/>
      <c r="P2086" s="1"/>
      <c r="Q2086" s="1" t="s">
        <v>1332</v>
      </c>
      <c r="R2086" s="1" t="s">
        <v>1332</v>
      </c>
      <c r="S2086" s="5">
        <v>5</v>
      </c>
    </row>
    <row r="2087" spans="1:19" hidden="1" x14ac:dyDescent="0.25">
      <c r="A2087" s="1" t="s">
        <v>1099</v>
      </c>
      <c r="B2087" s="1" t="s">
        <v>1332</v>
      </c>
      <c r="C2087" s="5">
        <v>3</v>
      </c>
      <c r="D2087" s="1" t="s">
        <v>35</v>
      </c>
      <c r="E2087" s="1" t="s">
        <v>984</v>
      </c>
      <c r="F2087" s="5" t="s">
        <v>25</v>
      </c>
      <c r="G2087" s="5">
        <v>3</v>
      </c>
      <c r="H2087" s="5">
        <v>10</v>
      </c>
      <c r="I2087" s="5" t="b">
        <v>1</v>
      </c>
      <c r="J2087" s="1" t="s">
        <v>1323</v>
      </c>
      <c r="K2087" s="1" t="s">
        <v>32</v>
      </c>
      <c r="L2087" s="1"/>
      <c r="M2087" s="1"/>
      <c r="N2087" s="1"/>
      <c r="O2087" s="1"/>
      <c r="P2087" s="1"/>
      <c r="Q2087" s="1" t="s">
        <v>1332</v>
      </c>
      <c r="R2087" s="1" t="s">
        <v>1332</v>
      </c>
      <c r="S2087" s="5">
        <v>7</v>
      </c>
    </row>
    <row r="2088" spans="1:19" hidden="1" x14ac:dyDescent="0.25">
      <c r="A2088" s="1" t="s">
        <v>1099</v>
      </c>
      <c r="B2088" s="1" t="s">
        <v>1332</v>
      </c>
      <c r="C2088" s="5">
        <v>3</v>
      </c>
      <c r="D2088" s="1" t="s">
        <v>1157</v>
      </c>
      <c r="E2088" s="1" t="s">
        <v>1336</v>
      </c>
      <c r="F2088" s="5" t="s">
        <v>27</v>
      </c>
      <c r="G2088" s="5">
        <v>3</v>
      </c>
      <c r="H2088" s="5">
        <v>8</v>
      </c>
      <c r="I2088" s="5" t="b">
        <v>0</v>
      </c>
      <c r="J2088" s="1" t="s">
        <v>1269</v>
      </c>
      <c r="K2088" s="1" t="s">
        <v>32</v>
      </c>
      <c r="L2088" s="1"/>
      <c r="M2088" s="1"/>
      <c r="N2088" s="1"/>
      <c r="O2088" s="1"/>
      <c r="P2088" s="1"/>
      <c r="Q2088" s="1" t="s">
        <v>1332</v>
      </c>
      <c r="R2088" s="1" t="s">
        <v>1332</v>
      </c>
      <c r="S2088" s="5">
        <v>8</v>
      </c>
    </row>
    <row r="2089" spans="1:19" hidden="1" x14ac:dyDescent="0.25">
      <c r="A2089" s="1" t="s">
        <v>1099</v>
      </c>
      <c r="B2089" s="1" t="s">
        <v>1332</v>
      </c>
      <c r="C2089" s="5">
        <v>3</v>
      </c>
      <c r="D2089" s="1" t="s">
        <v>1286</v>
      </c>
      <c r="E2089" s="1" t="s">
        <v>1268</v>
      </c>
      <c r="F2089" s="5" t="s">
        <v>27</v>
      </c>
      <c r="G2089" s="5">
        <v>2</v>
      </c>
      <c r="H2089" s="5">
        <v>5</v>
      </c>
      <c r="I2089" s="5" t="b">
        <v>0</v>
      </c>
      <c r="J2089" s="1" t="s">
        <v>1288</v>
      </c>
      <c r="K2089" s="1" t="s">
        <v>32</v>
      </c>
      <c r="L2089" s="1"/>
      <c r="M2089" s="1"/>
      <c r="N2089" s="1"/>
      <c r="O2089" s="1"/>
      <c r="P2089" s="1"/>
      <c r="Q2089" s="1" t="s">
        <v>1332</v>
      </c>
      <c r="R2089" s="1" t="s">
        <v>1332</v>
      </c>
      <c r="S2089" s="5">
        <v>9</v>
      </c>
    </row>
    <row r="2090" spans="1:19" x14ac:dyDescent="0.25">
      <c r="A2090" s="1" t="s">
        <v>1099</v>
      </c>
      <c r="B2090" s="1" t="s">
        <v>1332</v>
      </c>
      <c r="C2090" s="5">
        <v>3</v>
      </c>
      <c r="D2090" s="1" t="s">
        <v>1444</v>
      </c>
      <c r="E2090" s="1" t="s">
        <v>987</v>
      </c>
      <c r="F2090" s="5" t="s">
        <v>26</v>
      </c>
      <c r="G2090" s="5">
        <v>25</v>
      </c>
      <c r="H2090" s="5">
        <v>35</v>
      </c>
      <c r="I2090" s="5" t="b">
        <v>0</v>
      </c>
      <c r="J2090" s="1" t="s">
        <v>1270</v>
      </c>
      <c r="K2090" s="1" t="s">
        <v>32</v>
      </c>
      <c r="L2090" s="1"/>
      <c r="M2090" s="1"/>
      <c r="N2090" s="1"/>
      <c r="O2090" s="1"/>
      <c r="P2090" s="1"/>
      <c r="Q2090" s="1" t="s">
        <v>1332</v>
      </c>
      <c r="R2090" s="1" t="s">
        <v>1332</v>
      </c>
      <c r="S2090" s="5">
        <v>11</v>
      </c>
    </row>
    <row r="2091" spans="1:19" hidden="1" x14ac:dyDescent="0.25">
      <c r="A2091" s="1" t="s">
        <v>1099</v>
      </c>
      <c r="B2091" s="1" t="s">
        <v>1332</v>
      </c>
      <c r="C2091" s="5">
        <v>3</v>
      </c>
      <c r="D2091" s="1" t="s">
        <v>342</v>
      </c>
      <c r="E2091" s="1" t="s">
        <v>1337</v>
      </c>
      <c r="F2091" s="5" t="s">
        <v>25</v>
      </c>
      <c r="G2091" s="5">
        <v>3.5</v>
      </c>
      <c r="H2091" s="5">
        <v>3.8</v>
      </c>
      <c r="I2091" s="5" t="b">
        <v>1</v>
      </c>
      <c r="J2091" s="1" t="s">
        <v>480</v>
      </c>
      <c r="K2091" s="1" t="s">
        <v>32</v>
      </c>
      <c r="L2091" s="1"/>
      <c r="M2091" s="1"/>
      <c r="N2091" s="1"/>
      <c r="O2091" s="1"/>
      <c r="P2091" s="1"/>
      <c r="Q2091" s="1" t="s">
        <v>1332</v>
      </c>
      <c r="R2091" s="1" t="s">
        <v>1332</v>
      </c>
      <c r="S2091" s="5">
        <v>12</v>
      </c>
    </row>
    <row r="2092" spans="1:19" hidden="1" x14ac:dyDescent="0.25">
      <c r="A2092" s="1" t="s">
        <v>1099</v>
      </c>
      <c r="B2092" s="1" t="s">
        <v>1332</v>
      </c>
      <c r="C2092" s="5">
        <v>3</v>
      </c>
      <c r="D2092" s="1" t="s">
        <v>183</v>
      </c>
      <c r="E2092" s="1" t="s">
        <v>925</v>
      </c>
      <c r="F2092" s="5" t="s">
        <v>26</v>
      </c>
      <c r="G2092" s="5">
        <v>30</v>
      </c>
      <c r="H2092" s="5">
        <v>40</v>
      </c>
      <c r="I2092" s="5" t="b">
        <v>0</v>
      </c>
      <c r="J2092" s="1" t="s">
        <v>1298</v>
      </c>
      <c r="K2092" s="1" t="s">
        <v>32</v>
      </c>
      <c r="L2092" s="1"/>
      <c r="M2092" s="1"/>
      <c r="N2092" s="1"/>
      <c r="O2092" s="1"/>
      <c r="P2092" s="1"/>
      <c r="Q2092" s="1" t="s">
        <v>1332</v>
      </c>
      <c r="R2092" s="1" t="s">
        <v>1332</v>
      </c>
      <c r="S2092" s="5">
        <v>17</v>
      </c>
    </row>
    <row r="2093" spans="1:19" hidden="1" x14ac:dyDescent="0.25">
      <c r="A2093" s="1" t="s">
        <v>1099</v>
      </c>
      <c r="B2093" s="1" t="s">
        <v>1332</v>
      </c>
      <c r="C2093" s="5">
        <v>4</v>
      </c>
      <c r="D2093" s="1" t="s">
        <v>11</v>
      </c>
      <c r="E2093" s="1" t="s">
        <v>979</v>
      </c>
      <c r="F2093" s="5" t="s">
        <v>25</v>
      </c>
      <c r="G2093" s="5">
        <v>20</v>
      </c>
      <c r="H2093" s="5">
        <v>25</v>
      </c>
      <c r="I2093" s="5" t="b">
        <v>1</v>
      </c>
      <c r="J2093" s="1" t="s">
        <v>0</v>
      </c>
      <c r="K2093" s="1" t="s">
        <v>32</v>
      </c>
      <c r="L2093" s="1"/>
      <c r="M2093" s="1"/>
      <c r="N2093" s="1"/>
      <c r="O2093" s="1"/>
      <c r="P2093" s="1"/>
      <c r="Q2093" s="1" t="s">
        <v>1332</v>
      </c>
      <c r="R2093" s="1" t="s">
        <v>1332</v>
      </c>
      <c r="S2093" s="5">
        <v>1</v>
      </c>
    </row>
    <row r="2094" spans="1:19" hidden="1" x14ac:dyDescent="0.25">
      <c r="A2094" s="1" t="s">
        <v>1099</v>
      </c>
      <c r="B2094" s="1" t="s">
        <v>1332</v>
      </c>
      <c r="C2094" s="5">
        <v>4</v>
      </c>
      <c r="D2094" s="1" t="s">
        <v>1260</v>
      </c>
      <c r="E2094" s="1" t="s">
        <v>1275</v>
      </c>
      <c r="F2094" s="5" t="s">
        <v>25</v>
      </c>
      <c r="G2094" s="5">
        <v>-0.5</v>
      </c>
      <c r="H2094" s="5">
        <v>2</v>
      </c>
      <c r="I2094" s="5" t="b">
        <v>1</v>
      </c>
      <c r="J2094" s="1" t="s">
        <v>1261</v>
      </c>
      <c r="K2094" s="1" t="s">
        <v>32</v>
      </c>
      <c r="L2094" s="1"/>
      <c r="M2094" s="1"/>
      <c r="N2094" s="1"/>
      <c r="O2094" s="1"/>
      <c r="P2094" s="1"/>
      <c r="Q2094" s="1" t="s">
        <v>1332</v>
      </c>
      <c r="R2094" s="1" t="s">
        <v>1332</v>
      </c>
      <c r="S2094" s="5">
        <v>2</v>
      </c>
    </row>
    <row r="2095" spans="1:19" hidden="1" x14ac:dyDescent="0.25">
      <c r="A2095" s="1" t="s">
        <v>1099</v>
      </c>
      <c r="B2095" s="1" t="s">
        <v>1332</v>
      </c>
      <c r="C2095" s="5">
        <v>4</v>
      </c>
      <c r="D2095" s="1" t="s">
        <v>13</v>
      </c>
      <c r="E2095" s="1" t="s">
        <v>961</v>
      </c>
      <c r="F2095" s="5" t="s">
        <v>25</v>
      </c>
      <c r="G2095" s="5">
        <v>3</v>
      </c>
      <c r="H2095" s="5">
        <v>8</v>
      </c>
      <c r="I2095" s="5" t="b">
        <v>1</v>
      </c>
      <c r="J2095" s="1" t="s">
        <v>10</v>
      </c>
      <c r="K2095" s="1" t="s">
        <v>32</v>
      </c>
      <c r="L2095" s="1"/>
      <c r="M2095" s="1"/>
      <c r="N2095" s="1"/>
      <c r="O2095" s="1"/>
      <c r="P2095" s="1"/>
      <c r="Q2095" s="1" t="s">
        <v>1332</v>
      </c>
      <c r="R2095" s="1" t="s">
        <v>1332</v>
      </c>
      <c r="S2095" s="5">
        <v>3</v>
      </c>
    </row>
    <row r="2096" spans="1:19" hidden="1" x14ac:dyDescent="0.25">
      <c r="A2096" s="1" t="s">
        <v>1099</v>
      </c>
      <c r="B2096" s="1" t="s">
        <v>1332</v>
      </c>
      <c r="C2096" s="5">
        <v>4</v>
      </c>
      <c r="D2096" s="1" t="s">
        <v>35</v>
      </c>
      <c r="E2096" s="1" t="s">
        <v>939</v>
      </c>
      <c r="F2096" s="5" t="s">
        <v>25</v>
      </c>
      <c r="G2096" s="5">
        <v>0</v>
      </c>
      <c r="H2096" s="5">
        <v>3</v>
      </c>
      <c r="I2096" s="5" t="b">
        <v>1</v>
      </c>
      <c r="J2096" s="1" t="s">
        <v>1323</v>
      </c>
      <c r="K2096" s="1" t="s">
        <v>32</v>
      </c>
      <c r="L2096" s="1" t="s">
        <v>716</v>
      </c>
      <c r="M2096" s="1" t="s">
        <v>1170</v>
      </c>
      <c r="N2096" s="1"/>
      <c r="O2096" s="1"/>
      <c r="P2096" s="1"/>
      <c r="Q2096" s="1" t="s">
        <v>1332</v>
      </c>
      <c r="R2096" s="1" t="s">
        <v>1332</v>
      </c>
      <c r="S2096" s="5">
        <v>7</v>
      </c>
    </row>
    <row r="2097" spans="1:19" hidden="1" x14ac:dyDescent="0.25">
      <c r="A2097" s="1" t="s">
        <v>1099</v>
      </c>
      <c r="B2097" s="1" t="s">
        <v>1332</v>
      </c>
      <c r="C2097" s="5">
        <v>4</v>
      </c>
      <c r="D2097" s="1" t="s">
        <v>1157</v>
      </c>
      <c r="E2097" s="1" t="s">
        <v>992</v>
      </c>
      <c r="F2097" s="5" t="s">
        <v>26</v>
      </c>
      <c r="G2097" s="5">
        <v>10</v>
      </c>
      <c r="H2097" s="5">
        <v>20</v>
      </c>
      <c r="I2097" s="5" t="b">
        <v>0</v>
      </c>
      <c r="J2097" s="1" t="s">
        <v>1269</v>
      </c>
      <c r="K2097" s="1" t="s">
        <v>32</v>
      </c>
      <c r="L2097" s="1" t="s">
        <v>716</v>
      </c>
      <c r="M2097" s="1" t="s">
        <v>1170</v>
      </c>
      <c r="N2097" s="1"/>
      <c r="O2097" s="1"/>
      <c r="P2097" s="1"/>
      <c r="Q2097" s="1" t="s">
        <v>1332</v>
      </c>
      <c r="R2097" s="1" t="s">
        <v>1332</v>
      </c>
      <c r="S2097" s="5">
        <v>8</v>
      </c>
    </row>
    <row r="2098" spans="1:19" hidden="1" x14ac:dyDescent="0.25">
      <c r="A2098" s="1" t="s">
        <v>1099</v>
      </c>
      <c r="B2098" s="1" t="s">
        <v>1332</v>
      </c>
      <c r="C2098" s="5">
        <v>4</v>
      </c>
      <c r="D2098" s="1" t="s">
        <v>1286</v>
      </c>
      <c r="E2098" s="1" t="s">
        <v>1328</v>
      </c>
      <c r="F2098" s="5" t="s">
        <v>27</v>
      </c>
      <c r="G2098" s="5">
        <v>5</v>
      </c>
      <c r="H2098" s="5">
        <v>8</v>
      </c>
      <c r="I2098" s="5" t="b">
        <v>0</v>
      </c>
      <c r="J2098" s="1" t="s">
        <v>1288</v>
      </c>
      <c r="K2098" s="1" t="s">
        <v>32</v>
      </c>
      <c r="L2098" s="1" t="s">
        <v>716</v>
      </c>
      <c r="M2098" s="1" t="s">
        <v>1170</v>
      </c>
      <c r="N2098" s="1"/>
      <c r="O2098" s="1"/>
      <c r="P2098" s="1"/>
      <c r="Q2098" s="1" t="s">
        <v>1332</v>
      </c>
      <c r="R2098" s="1" t="s">
        <v>1332</v>
      </c>
      <c r="S2098" s="5">
        <v>9</v>
      </c>
    </row>
    <row r="2099" spans="1:19" x14ac:dyDescent="0.25">
      <c r="A2099" s="1" t="s">
        <v>1099</v>
      </c>
      <c r="B2099" s="1" t="s">
        <v>1332</v>
      </c>
      <c r="C2099" s="5">
        <v>4</v>
      </c>
      <c r="D2099" s="1" t="s">
        <v>1444</v>
      </c>
      <c r="E2099" s="1" t="s">
        <v>946</v>
      </c>
      <c r="F2099" s="5" t="s">
        <v>26</v>
      </c>
      <c r="G2099" s="5">
        <v>40</v>
      </c>
      <c r="H2099" s="5">
        <v>50</v>
      </c>
      <c r="I2099" s="5" t="b">
        <v>0</v>
      </c>
      <c r="J2099" s="1" t="s">
        <v>1270</v>
      </c>
      <c r="K2099" s="1" t="s">
        <v>32</v>
      </c>
      <c r="L2099" s="1" t="s">
        <v>716</v>
      </c>
      <c r="M2099" s="1" t="s">
        <v>1170</v>
      </c>
      <c r="N2099" s="1"/>
      <c r="O2099" s="1"/>
      <c r="P2099" s="1"/>
      <c r="Q2099" s="1" t="s">
        <v>1332</v>
      </c>
      <c r="R2099" s="1" t="s">
        <v>1332</v>
      </c>
      <c r="S2099" s="5">
        <v>11</v>
      </c>
    </row>
    <row r="2100" spans="1:19" hidden="1" x14ac:dyDescent="0.25">
      <c r="A2100" s="1" t="s">
        <v>1099</v>
      </c>
      <c r="B2100" s="1" t="s">
        <v>1332</v>
      </c>
      <c r="C2100" s="5">
        <v>4</v>
      </c>
      <c r="D2100" s="1" t="s">
        <v>342</v>
      </c>
      <c r="E2100" s="1" t="s">
        <v>1338</v>
      </c>
      <c r="F2100" s="5" t="s">
        <v>24</v>
      </c>
      <c r="G2100" s="5">
        <v>2.2999999999999998</v>
      </c>
      <c r="H2100" s="5">
        <v>3</v>
      </c>
      <c r="I2100" s="5" t="b">
        <v>1</v>
      </c>
      <c r="J2100" s="1" t="s">
        <v>480</v>
      </c>
      <c r="K2100" s="1" t="s">
        <v>32</v>
      </c>
      <c r="L2100" s="1" t="s">
        <v>716</v>
      </c>
      <c r="M2100" s="1" t="s">
        <v>1170</v>
      </c>
      <c r="N2100" s="1"/>
      <c r="O2100" s="1"/>
      <c r="P2100" s="1"/>
      <c r="Q2100" s="1" t="s">
        <v>1332</v>
      </c>
      <c r="R2100" s="1" t="s">
        <v>1332</v>
      </c>
      <c r="S2100" s="5">
        <v>12</v>
      </c>
    </row>
    <row r="2101" spans="1:19" hidden="1" x14ac:dyDescent="0.25">
      <c r="A2101" s="1" t="s">
        <v>1099</v>
      </c>
      <c r="B2101" s="1" t="s">
        <v>1332</v>
      </c>
      <c r="C2101" s="5">
        <v>5</v>
      </c>
      <c r="D2101" s="1" t="s">
        <v>11</v>
      </c>
      <c r="E2101" s="1" t="s">
        <v>969</v>
      </c>
      <c r="F2101" s="5" t="s">
        <v>24</v>
      </c>
      <c r="G2101" s="5">
        <v>10</v>
      </c>
      <c r="H2101" s="5">
        <v>20</v>
      </c>
      <c r="I2101" s="5" t="b">
        <v>1</v>
      </c>
      <c r="J2101" s="1" t="s">
        <v>0</v>
      </c>
      <c r="K2101" s="1" t="s">
        <v>32</v>
      </c>
      <c r="L2101" s="1" t="s">
        <v>716</v>
      </c>
      <c r="M2101" s="1" t="s">
        <v>1170</v>
      </c>
      <c r="N2101" s="1"/>
      <c r="O2101" s="1"/>
      <c r="P2101" s="1"/>
      <c r="Q2101" s="1" t="s">
        <v>1332</v>
      </c>
      <c r="R2101" s="1" t="s">
        <v>1332</v>
      </c>
      <c r="S2101" s="5">
        <v>1</v>
      </c>
    </row>
    <row r="2102" spans="1:19" hidden="1" x14ac:dyDescent="0.25">
      <c r="A2102" s="1" t="s">
        <v>1099</v>
      </c>
      <c r="B2102" s="1" t="s">
        <v>1332</v>
      </c>
      <c r="C2102" s="5">
        <v>5</v>
      </c>
      <c r="D2102" s="1" t="s">
        <v>13</v>
      </c>
      <c r="E2102" s="1" t="s">
        <v>989</v>
      </c>
      <c r="F2102" s="5" t="s">
        <v>24</v>
      </c>
      <c r="G2102" s="5">
        <v>0</v>
      </c>
      <c r="H2102" s="5">
        <v>2</v>
      </c>
      <c r="I2102" s="5" t="b">
        <v>1</v>
      </c>
      <c r="J2102" s="1" t="s">
        <v>10</v>
      </c>
      <c r="K2102" s="1" t="s">
        <v>32</v>
      </c>
      <c r="L2102" s="1"/>
      <c r="M2102" s="1"/>
      <c r="N2102" s="1"/>
      <c r="O2102" s="1"/>
      <c r="P2102" s="1"/>
      <c r="Q2102" s="1" t="s">
        <v>1332</v>
      </c>
      <c r="R2102" s="1" t="s">
        <v>1332</v>
      </c>
      <c r="S2102" s="5">
        <v>3</v>
      </c>
    </row>
    <row r="2103" spans="1:19" hidden="1" x14ac:dyDescent="0.25">
      <c r="A2103" s="1" t="s">
        <v>1099</v>
      </c>
      <c r="B2103" s="1" t="s">
        <v>1332</v>
      </c>
      <c r="C2103" s="5">
        <v>5</v>
      </c>
      <c r="D2103" s="1" t="s">
        <v>1157</v>
      </c>
      <c r="E2103" s="1" t="s">
        <v>987</v>
      </c>
      <c r="F2103" s="5" t="s">
        <v>26</v>
      </c>
      <c r="G2103" s="5">
        <v>25</v>
      </c>
      <c r="H2103" s="5">
        <v>35</v>
      </c>
      <c r="I2103" s="5" t="b">
        <v>0</v>
      </c>
      <c r="J2103" s="1" t="s">
        <v>1269</v>
      </c>
      <c r="K2103" s="1" t="s">
        <v>32</v>
      </c>
      <c r="L2103" s="1" t="s">
        <v>716</v>
      </c>
      <c r="M2103" s="1" t="s">
        <v>1170</v>
      </c>
      <c r="N2103" s="1"/>
      <c r="O2103" s="1"/>
      <c r="P2103" s="1"/>
      <c r="Q2103" s="1" t="s">
        <v>1332</v>
      </c>
      <c r="R2103" s="1" t="s">
        <v>1332</v>
      </c>
      <c r="S2103" s="5">
        <v>8</v>
      </c>
    </row>
    <row r="2104" spans="1:19" hidden="1" x14ac:dyDescent="0.25">
      <c r="A2104" s="1" t="s">
        <v>1099</v>
      </c>
      <c r="B2104" s="1" t="s">
        <v>1332</v>
      </c>
      <c r="C2104" s="5">
        <v>5</v>
      </c>
      <c r="D2104" s="1" t="s">
        <v>1286</v>
      </c>
      <c r="E2104" s="1" t="s">
        <v>1340</v>
      </c>
      <c r="F2104" s="5" t="s">
        <v>27</v>
      </c>
      <c r="G2104" s="5">
        <v>7</v>
      </c>
      <c r="H2104" s="5">
        <v>10</v>
      </c>
      <c r="I2104" s="5" t="b">
        <v>0</v>
      </c>
      <c r="J2104" s="1" t="s">
        <v>1288</v>
      </c>
      <c r="K2104" s="1" t="s">
        <v>32</v>
      </c>
      <c r="L2104" s="1" t="s">
        <v>716</v>
      </c>
      <c r="M2104" s="1" t="s">
        <v>1170</v>
      </c>
      <c r="N2104" s="1"/>
      <c r="O2104" s="1"/>
      <c r="P2104" s="1"/>
      <c r="Q2104" s="1" t="s">
        <v>1332</v>
      </c>
      <c r="R2104" s="1" t="s">
        <v>1332</v>
      </c>
      <c r="S2104" s="5">
        <v>9</v>
      </c>
    </row>
    <row r="2105" spans="1:19" hidden="1" x14ac:dyDescent="0.25">
      <c r="A2105" s="1" t="s">
        <v>1099</v>
      </c>
      <c r="B2105" s="1" t="s">
        <v>1332</v>
      </c>
      <c r="C2105" s="5">
        <v>5</v>
      </c>
      <c r="D2105" s="1" t="s">
        <v>342</v>
      </c>
      <c r="E2105" s="1" t="s">
        <v>1339</v>
      </c>
      <c r="F2105" s="5" t="s">
        <v>24</v>
      </c>
      <c r="G2105" s="5">
        <v>1.5</v>
      </c>
      <c r="H2105" s="5">
        <v>2.2999999999999998</v>
      </c>
      <c r="I2105" s="5" t="b">
        <v>1</v>
      </c>
      <c r="J2105" s="1" t="s">
        <v>480</v>
      </c>
      <c r="K2105" s="1" t="s">
        <v>32</v>
      </c>
      <c r="L2105" s="1" t="s">
        <v>716</v>
      </c>
      <c r="M2105" s="1" t="s">
        <v>1170</v>
      </c>
      <c r="N2105" s="1"/>
      <c r="O2105" s="1"/>
      <c r="P2105" s="1"/>
      <c r="Q2105" s="1" t="s">
        <v>1332</v>
      </c>
      <c r="R2105" s="1" t="s">
        <v>1332</v>
      </c>
      <c r="S2105" s="5">
        <v>12</v>
      </c>
    </row>
    <row r="2106" spans="1:19" hidden="1" x14ac:dyDescent="0.25">
      <c r="A2106" s="1" t="s">
        <v>1099</v>
      </c>
      <c r="B2106" s="1" t="s">
        <v>1296</v>
      </c>
      <c r="C2106" s="5">
        <v>2</v>
      </c>
      <c r="D2106" s="1" t="s">
        <v>1260</v>
      </c>
      <c r="E2106" s="1" t="s">
        <v>991</v>
      </c>
      <c r="F2106" s="5" t="s">
        <v>25</v>
      </c>
      <c r="G2106" s="5">
        <v>2</v>
      </c>
      <c r="H2106" s="5">
        <v>3</v>
      </c>
      <c r="I2106" s="5" t="b">
        <v>1</v>
      </c>
      <c r="J2106" s="1" t="s">
        <v>1261</v>
      </c>
      <c r="K2106" s="1" t="s">
        <v>32</v>
      </c>
      <c r="L2106" s="1"/>
      <c r="M2106" s="1"/>
      <c r="N2106" s="1"/>
      <c r="O2106" s="1"/>
      <c r="P2106" s="1"/>
      <c r="Q2106" s="1" t="s">
        <v>1296</v>
      </c>
      <c r="R2106" s="1" t="s">
        <v>1296</v>
      </c>
      <c r="S2106" s="5">
        <v>2</v>
      </c>
    </row>
    <row r="2107" spans="1:19" hidden="1" x14ac:dyDescent="0.25">
      <c r="A2107" s="1" t="s">
        <v>1099</v>
      </c>
      <c r="B2107" s="1" t="s">
        <v>1296</v>
      </c>
      <c r="C2107" s="5">
        <v>2</v>
      </c>
      <c r="D2107" s="1" t="s">
        <v>13</v>
      </c>
      <c r="E2107" s="1" t="s">
        <v>945</v>
      </c>
      <c r="F2107" s="5" t="s">
        <v>24</v>
      </c>
      <c r="G2107" s="5">
        <v>15</v>
      </c>
      <c r="H2107" s="5">
        <v>25</v>
      </c>
      <c r="I2107" s="5" t="b">
        <v>1</v>
      </c>
      <c r="J2107" s="1" t="s">
        <v>10</v>
      </c>
      <c r="K2107" s="1" t="s">
        <v>32</v>
      </c>
      <c r="L2107" s="1"/>
      <c r="M2107" s="1"/>
      <c r="N2107" s="1"/>
      <c r="O2107" s="1"/>
      <c r="P2107" s="1"/>
      <c r="Q2107" s="1" t="s">
        <v>1296</v>
      </c>
      <c r="R2107" s="1" t="s">
        <v>1296</v>
      </c>
      <c r="S2107" s="5">
        <v>3</v>
      </c>
    </row>
    <row r="2108" spans="1:19" hidden="1" x14ac:dyDescent="0.25">
      <c r="A2108" s="1" t="s">
        <v>1099</v>
      </c>
      <c r="B2108" s="1" t="s">
        <v>1296</v>
      </c>
      <c r="C2108" s="5">
        <v>2</v>
      </c>
      <c r="D2108" s="1" t="s">
        <v>1263</v>
      </c>
      <c r="E2108" s="1" t="s">
        <v>961</v>
      </c>
      <c r="F2108" s="5" t="s">
        <v>25</v>
      </c>
      <c r="G2108" s="5">
        <v>3</v>
      </c>
      <c r="H2108" s="5">
        <v>8</v>
      </c>
      <c r="I2108" s="5" t="b">
        <v>1</v>
      </c>
      <c r="J2108" s="1" t="s">
        <v>1264</v>
      </c>
      <c r="K2108" s="1" t="s">
        <v>32</v>
      </c>
      <c r="L2108" s="1"/>
      <c r="M2108" s="1"/>
      <c r="N2108" s="1"/>
      <c r="O2108" s="1"/>
      <c r="P2108" s="1"/>
      <c r="Q2108" s="1" t="s">
        <v>1296</v>
      </c>
      <c r="R2108" s="1" t="s">
        <v>1296</v>
      </c>
      <c r="S2108" s="5">
        <v>4</v>
      </c>
    </row>
    <row r="2109" spans="1:19" hidden="1" x14ac:dyDescent="0.25">
      <c r="A2109" s="1" t="s">
        <v>1099</v>
      </c>
      <c r="B2109" s="1" t="s">
        <v>1296</v>
      </c>
      <c r="C2109" s="5">
        <v>2</v>
      </c>
      <c r="D2109" s="1" t="s">
        <v>29</v>
      </c>
      <c r="E2109" s="1" t="s">
        <v>1114</v>
      </c>
      <c r="F2109" s="5" t="s">
        <v>25</v>
      </c>
      <c r="G2109" s="5">
        <v>13</v>
      </c>
      <c r="H2109" s="5">
        <v>20</v>
      </c>
      <c r="I2109" s="5" t="b">
        <v>1</v>
      </c>
      <c r="J2109" s="1" t="s">
        <v>1153</v>
      </c>
      <c r="K2109" s="1" t="s">
        <v>32</v>
      </c>
      <c r="L2109" s="1"/>
      <c r="M2109" s="1"/>
      <c r="N2109" s="1"/>
      <c r="O2109" s="1"/>
      <c r="P2109" s="1"/>
      <c r="Q2109" s="1" t="s">
        <v>1296</v>
      </c>
      <c r="R2109" s="1" t="s">
        <v>1296</v>
      </c>
      <c r="S2109" s="5">
        <v>5</v>
      </c>
    </row>
    <row r="2110" spans="1:19" hidden="1" x14ac:dyDescent="0.25">
      <c r="A2110" s="1" t="s">
        <v>1099</v>
      </c>
      <c r="B2110" s="1" t="s">
        <v>1296</v>
      </c>
      <c r="C2110" s="5">
        <v>2</v>
      </c>
      <c r="D2110" s="1" t="s">
        <v>1154</v>
      </c>
      <c r="E2110" s="1" t="s">
        <v>945</v>
      </c>
      <c r="F2110" s="5" t="s">
        <v>24</v>
      </c>
      <c r="G2110" s="5">
        <v>15</v>
      </c>
      <c r="H2110" s="5">
        <v>25</v>
      </c>
      <c r="I2110" s="5" t="b">
        <v>1</v>
      </c>
      <c r="J2110" s="1" t="s">
        <v>1156</v>
      </c>
      <c r="K2110" s="1" t="s">
        <v>32</v>
      </c>
      <c r="L2110" s="1"/>
      <c r="M2110" s="1"/>
      <c r="N2110" s="1"/>
      <c r="O2110" s="1"/>
      <c r="P2110" s="1"/>
      <c r="Q2110" s="1" t="s">
        <v>1296</v>
      </c>
      <c r="R2110" s="1" t="s">
        <v>1296</v>
      </c>
      <c r="S2110" s="5">
        <v>6</v>
      </c>
    </row>
    <row r="2111" spans="1:19" hidden="1" x14ac:dyDescent="0.25">
      <c r="A2111" s="1" t="s">
        <v>1099</v>
      </c>
      <c r="B2111" s="1" t="s">
        <v>1296</v>
      </c>
      <c r="C2111" s="5">
        <v>2</v>
      </c>
      <c r="D2111" s="1" t="s">
        <v>1193</v>
      </c>
      <c r="E2111" s="1" t="s">
        <v>1271</v>
      </c>
      <c r="F2111" s="5" t="s">
        <v>27</v>
      </c>
      <c r="G2111" s="5">
        <v>0</v>
      </c>
      <c r="H2111" s="5">
        <v>1</v>
      </c>
      <c r="I2111" s="5" t="b">
        <v>0</v>
      </c>
      <c r="J2111" s="1" t="s">
        <v>1272</v>
      </c>
      <c r="K2111" s="1" t="s">
        <v>32</v>
      </c>
      <c r="L2111" s="1"/>
      <c r="M2111" s="1"/>
      <c r="N2111" s="1"/>
      <c r="O2111" s="1"/>
      <c r="P2111" s="1"/>
      <c r="Q2111" s="1" t="s">
        <v>1296</v>
      </c>
      <c r="R2111" s="1" t="s">
        <v>1296</v>
      </c>
      <c r="S2111" s="5">
        <v>10</v>
      </c>
    </row>
    <row r="2112" spans="1:19" hidden="1" x14ac:dyDescent="0.25">
      <c r="A2112" s="1" t="s">
        <v>1099</v>
      </c>
      <c r="B2112" s="1" t="s">
        <v>1296</v>
      </c>
      <c r="C2112" s="5">
        <v>2</v>
      </c>
      <c r="D2112" s="1" t="s">
        <v>311</v>
      </c>
      <c r="E2112" s="1" t="s">
        <v>987</v>
      </c>
      <c r="F2112" s="5" t="s">
        <v>26</v>
      </c>
      <c r="G2112" s="5">
        <v>25</v>
      </c>
      <c r="H2112" s="5">
        <v>35</v>
      </c>
      <c r="I2112" s="5" t="b">
        <v>0</v>
      </c>
      <c r="J2112" s="1" t="s">
        <v>1290</v>
      </c>
      <c r="K2112" s="1" t="s">
        <v>32</v>
      </c>
      <c r="L2112" s="1"/>
      <c r="M2112" s="1"/>
      <c r="N2112" s="1"/>
      <c r="O2112" s="1"/>
      <c r="P2112" s="1"/>
      <c r="Q2112" s="1" t="s">
        <v>1296</v>
      </c>
      <c r="R2112" s="1" t="s">
        <v>1296</v>
      </c>
      <c r="S2112" s="5">
        <v>13</v>
      </c>
    </row>
    <row r="2113" spans="1:19" hidden="1" x14ac:dyDescent="0.25">
      <c r="A2113" s="1" t="s">
        <v>1099</v>
      </c>
      <c r="B2113" s="1" t="s">
        <v>1296</v>
      </c>
      <c r="C2113" s="5">
        <v>2</v>
      </c>
      <c r="D2113" s="1" t="s">
        <v>183</v>
      </c>
      <c r="E2113" s="1" t="s">
        <v>928</v>
      </c>
      <c r="F2113" s="5" t="s">
        <v>26</v>
      </c>
      <c r="G2113" s="5">
        <v>20</v>
      </c>
      <c r="H2113" s="5">
        <v>30</v>
      </c>
      <c r="I2113" s="5" t="b">
        <v>0</v>
      </c>
      <c r="J2113" s="1" t="s">
        <v>1298</v>
      </c>
      <c r="K2113" s="1" t="s">
        <v>32</v>
      </c>
      <c r="L2113" s="1"/>
      <c r="M2113" s="1"/>
      <c r="N2113" s="1"/>
      <c r="O2113" s="1"/>
      <c r="P2113" s="1"/>
      <c r="Q2113" s="1" t="s">
        <v>1296</v>
      </c>
      <c r="R2113" s="1" t="s">
        <v>1296</v>
      </c>
      <c r="S2113" s="5">
        <v>17</v>
      </c>
    </row>
    <row r="2114" spans="1:19" hidden="1" x14ac:dyDescent="0.25">
      <c r="A2114" s="1" t="s">
        <v>1099</v>
      </c>
      <c r="B2114" s="1" t="s">
        <v>1296</v>
      </c>
      <c r="C2114" s="5">
        <v>2</v>
      </c>
      <c r="D2114" s="1" t="s">
        <v>498</v>
      </c>
      <c r="E2114" s="1" t="s">
        <v>971</v>
      </c>
      <c r="F2114" s="5" t="s">
        <v>25</v>
      </c>
      <c r="G2114" s="5">
        <v>5</v>
      </c>
      <c r="H2114" s="5">
        <v>10</v>
      </c>
      <c r="I2114" s="5" t="b">
        <v>1</v>
      </c>
      <c r="J2114" s="1" t="s">
        <v>1297</v>
      </c>
      <c r="K2114" s="1" t="s">
        <v>32</v>
      </c>
      <c r="L2114" s="1"/>
      <c r="M2114" s="1"/>
      <c r="N2114" s="1"/>
      <c r="O2114" s="1"/>
      <c r="P2114" s="1"/>
      <c r="Q2114" s="1" t="s">
        <v>1296</v>
      </c>
      <c r="R2114" s="1" t="s">
        <v>1296</v>
      </c>
      <c r="S2114" s="5">
        <v>19</v>
      </c>
    </row>
    <row r="2115" spans="1:19" hidden="1" x14ac:dyDescent="0.25">
      <c r="A2115" s="1" t="s">
        <v>1099</v>
      </c>
      <c r="B2115" s="1" t="s">
        <v>1296</v>
      </c>
      <c r="C2115" s="5">
        <v>3</v>
      </c>
      <c r="D2115" s="1" t="s">
        <v>1260</v>
      </c>
      <c r="E2115" s="1" t="s">
        <v>991</v>
      </c>
      <c r="F2115" s="5" t="s">
        <v>25</v>
      </c>
      <c r="G2115" s="5">
        <v>2</v>
      </c>
      <c r="H2115" s="5">
        <v>3</v>
      </c>
      <c r="I2115" s="5" t="b">
        <v>1</v>
      </c>
      <c r="J2115" s="1" t="s">
        <v>1261</v>
      </c>
      <c r="K2115" s="1" t="s">
        <v>32</v>
      </c>
      <c r="L2115" s="1"/>
      <c r="M2115" s="1"/>
      <c r="N2115" s="1"/>
      <c r="O2115" s="1"/>
      <c r="P2115" s="1"/>
      <c r="Q2115" s="1" t="s">
        <v>1296</v>
      </c>
      <c r="R2115" s="1" t="s">
        <v>1296</v>
      </c>
      <c r="S2115" s="5">
        <v>2</v>
      </c>
    </row>
    <row r="2116" spans="1:19" hidden="1" x14ac:dyDescent="0.25">
      <c r="A2116" s="1" t="s">
        <v>1099</v>
      </c>
      <c r="B2116" s="1" t="s">
        <v>1296</v>
      </c>
      <c r="C2116" s="5">
        <v>3</v>
      </c>
      <c r="D2116" s="1" t="s">
        <v>13</v>
      </c>
      <c r="E2116" s="1" t="s">
        <v>1299</v>
      </c>
      <c r="F2116" s="5" t="s">
        <v>24</v>
      </c>
      <c r="G2116" s="5">
        <v>5</v>
      </c>
      <c r="H2116" s="5">
        <v>15</v>
      </c>
      <c r="I2116" s="5" t="b">
        <v>1</v>
      </c>
      <c r="J2116" s="1" t="s">
        <v>10</v>
      </c>
      <c r="K2116" s="1" t="s">
        <v>32</v>
      </c>
      <c r="L2116" s="1"/>
      <c r="M2116" s="1"/>
      <c r="N2116" s="1"/>
      <c r="O2116" s="1"/>
      <c r="P2116" s="1"/>
      <c r="Q2116" s="1" t="s">
        <v>1296</v>
      </c>
      <c r="R2116" s="1" t="s">
        <v>1296</v>
      </c>
      <c r="S2116" s="5">
        <v>3</v>
      </c>
    </row>
    <row r="2117" spans="1:19" hidden="1" x14ac:dyDescent="0.25">
      <c r="A2117" s="1" t="s">
        <v>1099</v>
      </c>
      <c r="B2117" s="1" t="s">
        <v>1296</v>
      </c>
      <c r="C2117" s="5">
        <v>3</v>
      </c>
      <c r="D2117" s="1" t="s">
        <v>1263</v>
      </c>
      <c r="E2117" s="1" t="s">
        <v>725</v>
      </c>
      <c r="F2117" s="5" t="s">
        <v>25</v>
      </c>
      <c r="G2117" s="5">
        <v>0</v>
      </c>
      <c r="H2117" s="5">
        <v>1</v>
      </c>
      <c r="I2117" s="5" t="b">
        <v>1</v>
      </c>
      <c r="J2117" s="1" t="s">
        <v>1264</v>
      </c>
      <c r="K2117" s="1" t="s">
        <v>32</v>
      </c>
      <c r="L2117" s="1"/>
      <c r="M2117" s="1"/>
      <c r="N2117" s="1"/>
      <c r="O2117" s="1"/>
      <c r="P2117" s="1"/>
      <c r="Q2117" s="1" t="s">
        <v>1296</v>
      </c>
      <c r="R2117" s="1" t="s">
        <v>1296</v>
      </c>
      <c r="S2117" s="5">
        <v>4</v>
      </c>
    </row>
    <row r="2118" spans="1:19" hidden="1" x14ac:dyDescent="0.25">
      <c r="A2118" s="1" t="s">
        <v>1099</v>
      </c>
      <c r="B2118" s="1" t="s">
        <v>1296</v>
      </c>
      <c r="C2118" s="5">
        <v>3</v>
      </c>
      <c r="D2118" s="1" t="s">
        <v>29</v>
      </c>
      <c r="E2118" s="1" t="s">
        <v>1300</v>
      </c>
      <c r="F2118" s="5" t="s">
        <v>24</v>
      </c>
      <c r="G2118" s="5">
        <v>3</v>
      </c>
      <c r="H2118" s="5">
        <v>13</v>
      </c>
      <c r="I2118" s="5" t="b">
        <v>1</v>
      </c>
      <c r="J2118" s="1" t="s">
        <v>1153</v>
      </c>
      <c r="K2118" s="1" t="s">
        <v>32</v>
      </c>
      <c r="L2118" s="1"/>
      <c r="M2118" s="1"/>
      <c r="N2118" s="1"/>
      <c r="O2118" s="1"/>
      <c r="P2118" s="1"/>
      <c r="Q2118" s="1" t="s">
        <v>1296</v>
      </c>
      <c r="R2118" s="1" t="s">
        <v>1296</v>
      </c>
      <c r="S2118" s="5">
        <v>5</v>
      </c>
    </row>
    <row r="2119" spans="1:19" hidden="1" x14ac:dyDescent="0.25">
      <c r="A2119" s="1" t="s">
        <v>1099</v>
      </c>
      <c r="B2119" s="1" t="s">
        <v>1296</v>
      </c>
      <c r="C2119" s="5">
        <v>3</v>
      </c>
      <c r="D2119" s="1" t="s">
        <v>1154</v>
      </c>
      <c r="E2119" s="1" t="s">
        <v>971</v>
      </c>
      <c r="F2119" s="5" t="s">
        <v>25</v>
      </c>
      <c r="G2119" s="5">
        <v>5</v>
      </c>
      <c r="H2119" s="5">
        <v>10</v>
      </c>
      <c r="I2119" s="5" t="b">
        <v>1</v>
      </c>
      <c r="J2119" s="1" t="s">
        <v>1156</v>
      </c>
      <c r="K2119" s="1" t="s">
        <v>32</v>
      </c>
      <c r="L2119" s="1"/>
      <c r="M2119" s="1"/>
      <c r="N2119" s="1"/>
      <c r="O2119" s="1"/>
      <c r="P2119" s="1"/>
      <c r="Q2119" s="1" t="s">
        <v>1296</v>
      </c>
      <c r="R2119" s="1" t="s">
        <v>1296</v>
      </c>
      <c r="S2119" s="5">
        <v>6</v>
      </c>
    </row>
    <row r="2120" spans="1:19" hidden="1" x14ac:dyDescent="0.25">
      <c r="A2120" s="1" t="s">
        <v>1099</v>
      </c>
      <c r="B2120" s="1" t="s">
        <v>1296</v>
      </c>
      <c r="C2120" s="5">
        <v>3</v>
      </c>
      <c r="D2120" s="1" t="s">
        <v>311</v>
      </c>
      <c r="E2120" s="1" t="s">
        <v>948</v>
      </c>
      <c r="F2120" s="5" t="s">
        <v>26</v>
      </c>
      <c r="G2120" s="5">
        <v>35</v>
      </c>
      <c r="H2120" s="5">
        <v>45</v>
      </c>
      <c r="I2120" s="5" t="b">
        <v>0</v>
      </c>
      <c r="J2120" s="1" t="s">
        <v>1290</v>
      </c>
      <c r="K2120" s="1" t="s">
        <v>32</v>
      </c>
      <c r="L2120" s="1"/>
      <c r="M2120" s="1"/>
      <c r="N2120" s="1"/>
      <c r="O2120" s="1"/>
      <c r="P2120" s="1"/>
      <c r="Q2120" s="1" t="s">
        <v>1296</v>
      </c>
      <c r="R2120" s="1" t="s">
        <v>1296</v>
      </c>
      <c r="S2120" s="5">
        <v>13</v>
      </c>
    </row>
    <row r="2121" spans="1:19" hidden="1" x14ac:dyDescent="0.25">
      <c r="A2121" s="1" t="s">
        <v>1099</v>
      </c>
      <c r="B2121" s="1" t="s">
        <v>1296</v>
      </c>
      <c r="C2121" s="5">
        <v>3</v>
      </c>
      <c r="D2121" s="1" t="s">
        <v>498</v>
      </c>
      <c r="E2121" s="1" t="s">
        <v>941</v>
      </c>
      <c r="F2121" s="5" t="s">
        <v>25</v>
      </c>
      <c r="G2121" s="5">
        <v>1</v>
      </c>
      <c r="H2121" s="5">
        <v>4</v>
      </c>
      <c r="I2121" s="5" t="b">
        <v>1</v>
      </c>
      <c r="J2121" s="1" t="s">
        <v>1297</v>
      </c>
      <c r="K2121" s="1" t="s">
        <v>32</v>
      </c>
      <c r="L2121" s="1"/>
      <c r="M2121" s="1"/>
      <c r="N2121" s="1"/>
      <c r="O2121" s="1"/>
      <c r="P2121" s="1"/>
      <c r="Q2121" s="1" t="s">
        <v>1296</v>
      </c>
      <c r="R2121" s="1" t="s">
        <v>1296</v>
      </c>
      <c r="S2121" s="5">
        <v>19</v>
      </c>
    </row>
    <row r="2122" spans="1:19" hidden="1" x14ac:dyDescent="0.25">
      <c r="A2122" s="1" t="s">
        <v>1099</v>
      </c>
      <c r="B2122" s="1" t="s">
        <v>1296</v>
      </c>
      <c r="C2122" s="5">
        <v>4</v>
      </c>
      <c r="D2122" s="1" t="s">
        <v>1260</v>
      </c>
      <c r="E2122" s="1" t="s">
        <v>1275</v>
      </c>
      <c r="F2122" s="5" t="s">
        <v>25</v>
      </c>
      <c r="G2122" s="5">
        <v>-0.5</v>
      </c>
      <c r="H2122" s="5">
        <v>2</v>
      </c>
      <c r="I2122" s="5" t="b">
        <v>1</v>
      </c>
      <c r="J2122" s="1" t="s">
        <v>1261</v>
      </c>
      <c r="K2122" s="1" t="s">
        <v>32</v>
      </c>
      <c r="L2122" s="1"/>
      <c r="M2122" s="1"/>
      <c r="N2122" s="1"/>
      <c r="O2122" s="1"/>
      <c r="P2122" s="1"/>
      <c r="Q2122" s="1" t="s">
        <v>1296</v>
      </c>
      <c r="R2122" s="1" t="s">
        <v>1296</v>
      </c>
      <c r="S2122" s="5">
        <v>2</v>
      </c>
    </row>
    <row r="2123" spans="1:19" hidden="1" x14ac:dyDescent="0.25">
      <c r="A2123" s="1" t="s">
        <v>1099</v>
      </c>
      <c r="B2123" s="1" t="s">
        <v>1296</v>
      </c>
      <c r="C2123" s="5">
        <v>4</v>
      </c>
      <c r="D2123" s="1" t="s">
        <v>13</v>
      </c>
      <c r="E2123" s="1" t="s">
        <v>904</v>
      </c>
      <c r="F2123" s="5" t="s">
        <v>24</v>
      </c>
      <c r="G2123" s="5">
        <v>1</v>
      </c>
      <c r="H2123" s="5">
        <v>5</v>
      </c>
      <c r="I2123" s="5" t="b">
        <v>1</v>
      </c>
      <c r="J2123" s="1" t="s">
        <v>10</v>
      </c>
      <c r="K2123" s="1" t="s">
        <v>32</v>
      </c>
      <c r="L2123" s="1"/>
      <c r="M2123" s="1"/>
      <c r="N2123" s="1"/>
      <c r="O2123" s="1"/>
      <c r="P2123" s="1"/>
      <c r="Q2123" s="1" t="s">
        <v>1296</v>
      </c>
      <c r="R2123" s="1" t="s">
        <v>1296</v>
      </c>
      <c r="S2123" s="5">
        <v>3</v>
      </c>
    </row>
    <row r="2124" spans="1:19" hidden="1" x14ac:dyDescent="0.25">
      <c r="A2124" s="1" t="s">
        <v>1099</v>
      </c>
      <c r="B2124" s="1" t="s">
        <v>1296</v>
      </c>
      <c r="C2124" s="5">
        <v>4</v>
      </c>
      <c r="D2124" s="1" t="s">
        <v>29</v>
      </c>
      <c r="E2124" s="1" t="s">
        <v>939</v>
      </c>
      <c r="F2124" s="5" t="s">
        <v>25</v>
      </c>
      <c r="G2124" s="5">
        <v>0</v>
      </c>
      <c r="H2124" s="5">
        <v>3</v>
      </c>
      <c r="I2124" s="5" t="b">
        <v>1</v>
      </c>
      <c r="J2124" s="1" t="s">
        <v>1153</v>
      </c>
      <c r="K2124" s="1" t="s">
        <v>32</v>
      </c>
      <c r="L2124" s="1"/>
      <c r="M2124" s="1"/>
      <c r="N2124" s="1"/>
      <c r="O2124" s="1"/>
      <c r="P2124" s="1"/>
      <c r="Q2124" s="1" t="s">
        <v>1296</v>
      </c>
      <c r="R2124" s="1" t="s">
        <v>1296</v>
      </c>
      <c r="S2124" s="5">
        <v>5</v>
      </c>
    </row>
    <row r="2125" spans="1:19" hidden="1" x14ac:dyDescent="0.25">
      <c r="A2125" s="1" t="s">
        <v>1099</v>
      </c>
      <c r="B2125" s="1" t="s">
        <v>1296</v>
      </c>
      <c r="C2125" s="5">
        <v>5</v>
      </c>
      <c r="D2125" s="1" t="s">
        <v>13</v>
      </c>
      <c r="E2125" s="1" t="s">
        <v>725</v>
      </c>
      <c r="F2125" s="5" t="s">
        <v>25</v>
      </c>
      <c r="G2125" s="5">
        <v>0</v>
      </c>
      <c r="H2125" s="5">
        <v>1</v>
      </c>
      <c r="I2125" s="5" t="b">
        <v>1</v>
      </c>
      <c r="J2125" s="1" t="s">
        <v>10</v>
      </c>
      <c r="K2125" s="1" t="s">
        <v>32</v>
      </c>
      <c r="L2125" s="1"/>
      <c r="M2125" s="1"/>
      <c r="N2125" s="1"/>
      <c r="O2125" s="1"/>
      <c r="P2125" s="1"/>
      <c r="Q2125" s="1" t="s">
        <v>1296</v>
      </c>
      <c r="R2125" s="1" t="s">
        <v>1296</v>
      </c>
      <c r="S2125" s="5">
        <v>3</v>
      </c>
    </row>
    <row r="2126" spans="1:19" hidden="1" x14ac:dyDescent="0.25">
      <c r="A2126" s="1" t="s">
        <v>1099</v>
      </c>
      <c r="B2126" s="1" t="s">
        <v>1301</v>
      </c>
      <c r="C2126" s="5">
        <v>2</v>
      </c>
      <c r="D2126" s="1" t="s">
        <v>1260</v>
      </c>
      <c r="E2126" s="1" t="s">
        <v>991</v>
      </c>
      <c r="F2126" s="5" t="s">
        <v>25</v>
      </c>
      <c r="G2126" s="5">
        <v>2</v>
      </c>
      <c r="H2126" s="5">
        <v>3</v>
      </c>
      <c r="I2126" s="5" t="b">
        <v>1</v>
      </c>
      <c r="J2126" s="1" t="s">
        <v>1261</v>
      </c>
      <c r="K2126" s="1" t="s">
        <v>32</v>
      </c>
      <c r="L2126" s="1"/>
      <c r="M2126" s="1"/>
      <c r="N2126" s="1"/>
      <c r="O2126" s="1"/>
      <c r="P2126" s="1"/>
      <c r="Q2126" s="1" t="s">
        <v>1301</v>
      </c>
      <c r="R2126" s="1" t="s">
        <v>1301</v>
      </c>
      <c r="S2126" s="5">
        <v>2</v>
      </c>
    </row>
    <row r="2127" spans="1:19" hidden="1" x14ac:dyDescent="0.25">
      <c r="A2127" s="1" t="s">
        <v>1099</v>
      </c>
      <c r="B2127" s="1" t="s">
        <v>1301</v>
      </c>
      <c r="C2127" s="5">
        <v>2</v>
      </c>
      <c r="D2127" s="1" t="s">
        <v>13</v>
      </c>
      <c r="E2127" s="1" t="s">
        <v>945</v>
      </c>
      <c r="F2127" s="5" t="s">
        <v>24</v>
      </c>
      <c r="G2127" s="5">
        <v>15</v>
      </c>
      <c r="H2127" s="5">
        <v>25</v>
      </c>
      <c r="I2127" s="5" t="b">
        <v>1</v>
      </c>
      <c r="J2127" s="1" t="s">
        <v>10</v>
      </c>
      <c r="K2127" s="1" t="s">
        <v>32</v>
      </c>
      <c r="L2127" s="1"/>
      <c r="M2127" s="1"/>
      <c r="N2127" s="1"/>
      <c r="O2127" s="1"/>
      <c r="P2127" s="1"/>
      <c r="Q2127" s="1" t="s">
        <v>1301</v>
      </c>
      <c r="R2127" s="1" t="s">
        <v>1301</v>
      </c>
      <c r="S2127" s="5">
        <v>3</v>
      </c>
    </row>
    <row r="2128" spans="1:19" hidden="1" x14ac:dyDescent="0.25">
      <c r="A2128" s="1" t="s">
        <v>1099</v>
      </c>
      <c r="B2128" s="1" t="s">
        <v>1301</v>
      </c>
      <c r="C2128" s="5">
        <v>2</v>
      </c>
      <c r="D2128" s="1" t="s">
        <v>1263</v>
      </c>
      <c r="E2128" s="1" t="s">
        <v>1015</v>
      </c>
      <c r="F2128" s="5" t="s">
        <v>25</v>
      </c>
      <c r="G2128" s="5">
        <v>3</v>
      </c>
      <c r="H2128" s="5">
        <v>6</v>
      </c>
      <c r="I2128" s="5" t="b">
        <v>1</v>
      </c>
      <c r="J2128" s="1" t="s">
        <v>1264</v>
      </c>
      <c r="K2128" s="1" t="s">
        <v>32</v>
      </c>
      <c r="L2128" s="1"/>
      <c r="M2128" s="1"/>
      <c r="N2128" s="1"/>
      <c r="O2128" s="1"/>
      <c r="P2128" s="1"/>
      <c r="Q2128" s="1" t="s">
        <v>1301</v>
      </c>
      <c r="R2128" s="1" t="s">
        <v>1301</v>
      </c>
      <c r="S2128" s="5">
        <v>4</v>
      </c>
    </row>
    <row r="2129" spans="1:19" hidden="1" x14ac:dyDescent="0.25">
      <c r="A2129" s="1" t="s">
        <v>1099</v>
      </c>
      <c r="B2129" s="1" t="s">
        <v>1301</v>
      </c>
      <c r="C2129" s="5">
        <v>2</v>
      </c>
      <c r="D2129" s="1" t="s">
        <v>29</v>
      </c>
      <c r="E2129" s="1" t="s">
        <v>1114</v>
      </c>
      <c r="F2129" s="5" t="s">
        <v>25</v>
      </c>
      <c r="G2129" s="5">
        <v>13</v>
      </c>
      <c r="H2129" s="5">
        <v>20</v>
      </c>
      <c r="I2129" s="5" t="b">
        <v>1</v>
      </c>
      <c r="J2129" s="1" t="s">
        <v>1153</v>
      </c>
      <c r="K2129" s="1" t="s">
        <v>32</v>
      </c>
      <c r="L2129" s="1"/>
      <c r="M2129" s="1"/>
      <c r="N2129" s="1"/>
      <c r="O2129" s="1"/>
      <c r="P2129" s="1"/>
      <c r="Q2129" s="1" t="s">
        <v>1301</v>
      </c>
      <c r="R2129" s="1" t="s">
        <v>1301</v>
      </c>
      <c r="S2129" s="5">
        <v>5</v>
      </c>
    </row>
    <row r="2130" spans="1:19" hidden="1" x14ac:dyDescent="0.25">
      <c r="A2130" s="1" t="s">
        <v>1099</v>
      </c>
      <c r="B2130" s="1" t="s">
        <v>1301</v>
      </c>
      <c r="C2130" s="5">
        <v>2</v>
      </c>
      <c r="D2130" s="1" t="s">
        <v>1154</v>
      </c>
      <c r="E2130" s="1" t="s">
        <v>969</v>
      </c>
      <c r="F2130" s="5" t="s">
        <v>24</v>
      </c>
      <c r="G2130" s="5">
        <v>10</v>
      </c>
      <c r="H2130" s="5">
        <v>20</v>
      </c>
      <c r="I2130" s="5" t="b">
        <v>1</v>
      </c>
      <c r="J2130" s="1" t="s">
        <v>1156</v>
      </c>
      <c r="K2130" s="1" t="s">
        <v>32</v>
      </c>
      <c r="L2130" s="1"/>
      <c r="M2130" s="1"/>
      <c r="N2130" s="1"/>
      <c r="O2130" s="1"/>
      <c r="P2130" s="1"/>
      <c r="Q2130" s="1" t="s">
        <v>1301</v>
      </c>
      <c r="R2130" s="1" t="s">
        <v>1301</v>
      </c>
      <c r="S2130" s="5">
        <v>6</v>
      </c>
    </row>
    <row r="2131" spans="1:19" hidden="1" x14ac:dyDescent="0.25">
      <c r="A2131" s="1" t="s">
        <v>1099</v>
      </c>
      <c r="B2131" s="1" t="s">
        <v>1301</v>
      </c>
      <c r="C2131" s="5">
        <v>2</v>
      </c>
      <c r="D2131" s="1" t="s">
        <v>1193</v>
      </c>
      <c r="E2131" s="1" t="s">
        <v>1271</v>
      </c>
      <c r="F2131" s="5" t="s">
        <v>27</v>
      </c>
      <c r="G2131" s="5">
        <v>0</v>
      </c>
      <c r="H2131" s="5">
        <v>1</v>
      </c>
      <c r="I2131" s="5" t="b">
        <v>0</v>
      </c>
      <c r="J2131" s="1" t="s">
        <v>1272</v>
      </c>
      <c r="K2131" s="1" t="s">
        <v>32</v>
      </c>
      <c r="L2131" s="1"/>
      <c r="M2131" s="1"/>
      <c r="N2131" s="1"/>
      <c r="O2131" s="1"/>
      <c r="P2131" s="1"/>
      <c r="Q2131" s="1" t="s">
        <v>1301</v>
      </c>
      <c r="R2131" s="1" t="s">
        <v>1301</v>
      </c>
      <c r="S2131" s="5">
        <v>10</v>
      </c>
    </row>
    <row r="2132" spans="1:19" hidden="1" x14ac:dyDescent="0.25">
      <c r="A2132" s="1" t="s">
        <v>1099</v>
      </c>
      <c r="B2132" s="1" t="s">
        <v>1301</v>
      </c>
      <c r="C2132" s="5">
        <v>2</v>
      </c>
      <c r="D2132" s="1" t="s">
        <v>311</v>
      </c>
      <c r="E2132" s="1" t="s">
        <v>954</v>
      </c>
      <c r="F2132" s="5" t="s">
        <v>26</v>
      </c>
      <c r="G2132" s="5">
        <v>45</v>
      </c>
      <c r="H2132" s="5">
        <v>55</v>
      </c>
      <c r="I2132" s="5" t="b">
        <v>0</v>
      </c>
      <c r="J2132" s="1" t="s">
        <v>1290</v>
      </c>
      <c r="K2132" s="1" t="s">
        <v>32</v>
      </c>
      <c r="L2132" s="1"/>
      <c r="M2132" s="1"/>
      <c r="N2132" s="1"/>
      <c r="O2132" s="1"/>
      <c r="P2132" s="1"/>
      <c r="Q2132" s="1" t="s">
        <v>1301</v>
      </c>
      <c r="R2132" s="1" t="s">
        <v>1301</v>
      </c>
      <c r="S2132" s="5">
        <v>13</v>
      </c>
    </row>
    <row r="2133" spans="1:19" hidden="1" x14ac:dyDescent="0.25">
      <c r="A2133" s="1" t="s">
        <v>1099</v>
      </c>
      <c r="B2133" s="1" t="s">
        <v>1301</v>
      </c>
      <c r="C2133" s="5">
        <v>2</v>
      </c>
      <c r="D2133" s="1" t="s">
        <v>183</v>
      </c>
      <c r="E2133" s="1" t="s">
        <v>987</v>
      </c>
      <c r="F2133" s="5" t="s">
        <v>26</v>
      </c>
      <c r="G2133" s="5">
        <v>25</v>
      </c>
      <c r="H2133" s="5">
        <v>35</v>
      </c>
      <c r="I2133" s="5" t="b">
        <v>0</v>
      </c>
      <c r="J2133" s="1" t="s">
        <v>1298</v>
      </c>
      <c r="K2133" s="1" t="s">
        <v>32</v>
      </c>
      <c r="L2133" s="1"/>
      <c r="M2133" s="1"/>
      <c r="N2133" s="1"/>
      <c r="O2133" s="1"/>
      <c r="P2133" s="1"/>
      <c r="Q2133" s="1" t="s">
        <v>1301</v>
      </c>
      <c r="R2133" s="1" t="s">
        <v>1301</v>
      </c>
      <c r="S2133" s="5">
        <v>17</v>
      </c>
    </row>
    <row r="2134" spans="1:19" hidden="1" x14ac:dyDescent="0.25">
      <c r="A2134" s="1" t="s">
        <v>1099</v>
      </c>
      <c r="B2134" s="1" t="s">
        <v>1301</v>
      </c>
      <c r="C2134" s="5">
        <v>3</v>
      </c>
      <c r="D2134" s="1" t="s">
        <v>1260</v>
      </c>
      <c r="E2134" s="1" t="s">
        <v>991</v>
      </c>
      <c r="F2134" s="5" t="s">
        <v>25</v>
      </c>
      <c r="G2134" s="5">
        <v>2</v>
      </c>
      <c r="H2134" s="5">
        <v>3</v>
      </c>
      <c r="I2134" s="5" t="b">
        <v>1</v>
      </c>
      <c r="J2134" s="1" t="s">
        <v>1261</v>
      </c>
      <c r="K2134" s="1" t="s">
        <v>32</v>
      </c>
      <c r="L2134" s="1"/>
      <c r="M2134" s="1"/>
      <c r="N2134" s="1"/>
      <c r="O2134" s="1"/>
      <c r="P2134" s="1"/>
      <c r="Q2134" s="1" t="s">
        <v>1301</v>
      </c>
      <c r="R2134" s="1" t="s">
        <v>1301</v>
      </c>
      <c r="S2134" s="5">
        <v>2</v>
      </c>
    </row>
    <row r="2135" spans="1:19" hidden="1" x14ac:dyDescent="0.25">
      <c r="A2135" s="1" t="s">
        <v>1099</v>
      </c>
      <c r="B2135" s="1" t="s">
        <v>1301</v>
      </c>
      <c r="C2135" s="5">
        <v>3</v>
      </c>
      <c r="D2135" s="1" t="s">
        <v>13</v>
      </c>
      <c r="E2135" s="1" t="s">
        <v>1302</v>
      </c>
      <c r="F2135" s="5" t="s">
        <v>25</v>
      </c>
      <c r="G2135" s="5">
        <v>6</v>
      </c>
      <c r="H2135" s="5">
        <v>15</v>
      </c>
      <c r="I2135" s="5" t="b">
        <v>1</v>
      </c>
      <c r="J2135" s="1" t="s">
        <v>10</v>
      </c>
      <c r="K2135" s="1" t="s">
        <v>32</v>
      </c>
      <c r="L2135" s="1"/>
      <c r="M2135" s="1"/>
      <c r="N2135" s="1"/>
      <c r="O2135" s="1"/>
      <c r="P2135" s="1"/>
      <c r="Q2135" s="1" t="s">
        <v>1301</v>
      </c>
      <c r="R2135" s="1" t="s">
        <v>1301</v>
      </c>
      <c r="S2135" s="5">
        <v>3</v>
      </c>
    </row>
    <row r="2136" spans="1:19" hidden="1" x14ac:dyDescent="0.25">
      <c r="A2136" s="1" t="s">
        <v>1099</v>
      </c>
      <c r="B2136" s="1" t="s">
        <v>1301</v>
      </c>
      <c r="C2136" s="5">
        <v>3</v>
      </c>
      <c r="D2136" s="1" t="s">
        <v>1263</v>
      </c>
      <c r="E2136" s="1" t="s">
        <v>939</v>
      </c>
      <c r="F2136" s="5" t="s">
        <v>25</v>
      </c>
      <c r="G2136" s="5">
        <v>0</v>
      </c>
      <c r="H2136" s="5">
        <v>3</v>
      </c>
      <c r="I2136" s="5" t="b">
        <v>1</v>
      </c>
      <c r="J2136" s="1" t="s">
        <v>1264</v>
      </c>
      <c r="K2136" s="1" t="s">
        <v>32</v>
      </c>
      <c r="L2136" s="1"/>
      <c r="M2136" s="1"/>
      <c r="N2136" s="1"/>
      <c r="O2136" s="1"/>
      <c r="P2136" s="1"/>
      <c r="Q2136" s="1" t="s">
        <v>1301</v>
      </c>
      <c r="R2136" s="1" t="s">
        <v>1301</v>
      </c>
      <c r="S2136" s="5">
        <v>4</v>
      </c>
    </row>
    <row r="2137" spans="1:19" hidden="1" x14ac:dyDescent="0.25">
      <c r="A2137" s="1" t="s">
        <v>1099</v>
      </c>
      <c r="B2137" s="1" t="s">
        <v>1301</v>
      </c>
      <c r="C2137" s="5">
        <v>3</v>
      </c>
      <c r="D2137" s="1" t="s">
        <v>29</v>
      </c>
      <c r="E2137" s="1" t="s">
        <v>1303</v>
      </c>
      <c r="F2137" s="5" t="s">
        <v>25</v>
      </c>
      <c r="G2137" s="5">
        <v>4</v>
      </c>
      <c r="H2137" s="5">
        <v>11</v>
      </c>
      <c r="I2137" s="5" t="b">
        <v>1</v>
      </c>
      <c r="J2137" s="1" t="s">
        <v>1153</v>
      </c>
      <c r="K2137" s="1" t="s">
        <v>32</v>
      </c>
      <c r="L2137" s="1"/>
      <c r="M2137" s="1"/>
      <c r="N2137" s="1"/>
      <c r="O2137" s="1"/>
      <c r="P2137" s="1"/>
      <c r="Q2137" s="1" t="s">
        <v>1301</v>
      </c>
      <c r="R2137" s="1" t="s">
        <v>1301</v>
      </c>
      <c r="S2137" s="5">
        <v>5</v>
      </c>
    </row>
    <row r="2138" spans="1:19" hidden="1" x14ac:dyDescent="0.25">
      <c r="A2138" s="1" t="s">
        <v>1099</v>
      </c>
      <c r="B2138" s="1" t="s">
        <v>1301</v>
      </c>
      <c r="C2138" s="5">
        <v>3</v>
      </c>
      <c r="D2138" s="1" t="s">
        <v>1154</v>
      </c>
      <c r="E2138" s="1" t="s">
        <v>1304</v>
      </c>
      <c r="F2138" s="5" t="s">
        <v>25</v>
      </c>
      <c r="G2138" s="5">
        <v>0</v>
      </c>
      <c r="H2138" s="5">
        <v>9</v>
      </c>
      <c r="I2138" s="5" t="b">
        <v>1</v>
      </c>
      <c r="J2138" s="1" t="s">
        <v>1156</v>
      </c>
      <c r="K2138" s="1" t="s">
        <v>32</v>
      </c>
      <c r="L2138" s="1"/>
      <c r="M2138" s="1"/>
      <c r="N2138" s="1"/>
      <c r="O2138" s="1"/>
      <c r="P2138" s="1"/>
      <c r="Q2138" s="1" t="s">
        <v>1301</v>
      </c>
      <c r="R2138" s="1" t="s">
        <v>1301</v>
      </c>
      <c r="S2138" s="5">
        <v>6</v>
      </c>
    </row>
    <row r="2139" spans="1:19" hidden="1" x14ac:dyDescent="0.25">
      <c r="A2139" s="1" t="s">
        <v>1099</v>
      </c>
      <c r="B2139" s="1" t="s">
        <v>1301</v>
      </c>
      <c r="C2139" s="5">
        <v>4</v>
      </c>
      <c r="D2139" s="1" t="s">
        <v>1260</v>
      </c>
      <c r="E2139" s="1" t="s">
        <v>1275</v>
      </c>
      <c r="F2139" s="5" t="s">
        <v>25</v>
      </c>
      <c r="G2139" s="5">
        <v>-0.5</v>
      </c>
      <c r="H2139" s="5">
        <v>2</v>
      </c>
      <c r="I2139" s="5" t="b">
        <v>1</v>
      </c>
      <c r="J2139" s="1" t="s">
        <v>1261</v>
      </c>
      <c r="K2139" s="1" t="s">
        <v>32</v>
      </c>
      <c r="L2139" s="1"/>
      <c r="M2139" s="1"/>
      <c r="N2139" s="1"/>
      <c r="O2139" s="1"/>
      <c r="P2139" s="1"/>
      <c r="Q2139" s="1" t="s">
        <v>1301</v>
      </c>
      <c r="R2139" s="1" t="s">
        <v>1301</v>
      </c>
      <c r="S2139" s="5">
        <v>2</v>
      </c>
    </row>
    <row r="2140" spans="1:19" hidden="1" x14ac:dyDescent="0.25">
      <c r="A2140" s="1" t="s">
        <v>1099</v>
      </c>
      <c r="B2140" s="1" t="s">
        <v>1301</v>
      </c>
      <c r="C2140" s="5">
        <v>4</v>
      </c>
      <c r="D2140" s="1" t="s">
        <v>13</v>
      </c>
      <c r="E2140" s="1" t="s">
        <v>1305</v>
      </c>
      <c r="F2140" s="5" t="s">
        <v>25</v>
      </c>
      <c r="G2140" s="5">
        <v>1</v>
      </c>
      <c r="H2140" s="5">
        <v>6</v>
      </c>
      <c r="I2140" s="5" t="b">
        <v>1</v>
      </c>
      <c r="J2140" s="1" t="s">
        <v>10</v>
      </c>
      <c r="K2140" s="1" t="s">
        <v>32</v>
      </c>
      <c r="L2140" s="1"/>
      <c r="M2140" s="1"/>
      <c r="N2140" s="1"/>
      <c r="O2140" s="1"/>
      <c r="P2140" s="1"/>
      <c r="Q2140" s="1" t="s">
        <v>1301</v>
      </c>
      <c r="R2140" s="1" t="s">
        <v>1301</v>
      </c>
      <c r="S2140" s="5">
        <v>3</v>
      </c>
    </row>
    <row r="2141" spans="1:19" hidden="1" x14ac:dyDescent="0.25">
      <c r="A2141" s="1" t="s">
        <v>1099</v>
      </c>
      <c r="B2141" s="1" t="s">
        <v>1301</v>
      </c>
      <c r="C2141" s="5">
        <v>4</v>
      </c>
      <c r="D2141" s="1" t="s">
        <v>29</v>
      </c>
      <c r="E2141" s="1" t="s">
        <v>939</v>
      </c>
      <c r="F2141" s="5" t="s">
        <v>25</v>
      </c>
      <c r="G2141" s="5">
        <v>0</v>
      </c>
      <c r="H2141" s="5">
        <v>3</v>
      </c>
      <c r="I2141" s="5" t="b">
        <v>1</v>
      </c>
      <c r="J2141" s="1" t="s">
        <v>1153</v>
      </c>
      <c r="K2141" s="1" t="s">
        <v>32</v>
      </c>
      <c r="L2141" s="1"/>
      <c r="M2141" s="1"/>
      <c r="N2141" s="1"/>
      <c r="O2141" s="1"/>
      <c r="P2141" s="1"/>
      <c r="Q2141" s="1" t="s">
        <v>1301</v>
      </c>
      <c r="R2141" s="1" t="s">
        <v>1301</v>
      </c>
      <c r="S2141" s="5">
        <v>5</v>
      </c>
    </row>
    <row r="2142" spans="1:19" hidden="1" x14ac:dyDescent="0.25">
      <c r="A2142" s="1" t="s">
        <v>1099</v>
      </c>
      <c r="B2142" s="1" t="s">
        <v>1301</v>
      </c>
      <c r="C2142" s="5">
        <v>5</v>
      </c>
      <c r="D2142" s="1" t="s">
        <v>13</v>
      </c>
      <c r="E2142" s="1" t="s">
        <v>725</v>
      </c>
      <c r="F2142" s="5" t="s">
        <v>25</v>
      </c>
      <c r="G2142" s="5">
        <v>0</v>
      </c>
      <c r="H2142" s="5">
        <v>1</v>
      </c>
      <c r="I2142" s="5" t="b">
        <v>1</v>
      </c>
      <c r="J2142" s="1" t="s">
        <v>10</v>
      </c>
      <c r="K2142" s="1" t="s">
        <v>32</v>
      </c>
      <c r="L2142" s="1"/>
      <c r="M2142" s="1"/>
      <c r="N2142" s="1"/>
      <c r="O2142" s="1"/>
      <c r="P2142" s="1"/>
      <c r="Q2142" s="1" t="s">
        <v>1301</v>
      </c>
      <c r="R2142" s="1" t="s">
        <v>1301</v>
      </c>
      <c r="S2142" s="5">
        <v>3</v>
      </c>
    </row>
    <row r="2143" spans="1:19" hidden="1" x14ac:dyDescent="0.25">
      <c r="A2143" s="1" t="s">
        <v>1099</v>
      </c>
      <c r="B2143" s="1" t="s">
        <v>1284</v>
      </c>
      <c r="C2143" s="5">
        <v>2</v>
      </c>
      <c r="D2143" s="1" t="s">
        <v>11</v>
      </c>
      <c r="E2143" s="1" t="s">
        <v>993</v>
      </c>
      <c r="F2143" s="5" t="s">
        <v>25</v>
      </c>
      <c r="G2143" s="5">
        <v>30</v>
      </c>
      <c r="H2143" s="5">
        <v>35</v>
      </c>
      <c r="I2143" s="5" t="b">
        <v>1</v>
      </c>
      <c r="J2143" s="1" t="s">
        <v>0</v>
      </c>
      <c r="K2143" s="1" t="s">
        <v>32</v>
      </c>
      <c r="L2143" s="1"/>
      <c r="M2143" s="1"/>
      <c r="N2143" s="1"/>
      <c r="O2143" s="1"/>
      <c r="P2143" s="1"/>
      <c r="Q2143" s="1" t="s">
        <v>1284</v>
      </c>
      <c r="R2143" s="1" t="s">
        <v>1284</v>
      </c>
      <c r="S2143" s="5">
        <v>1</v>
      </c>
    </row>
    <row r="2144" spans="1:19" hidden="1" x14ac:dyDescent="0.25">
      <c r="A2144" s="1" t="s">
        <v>1099</v>
      </c>
      <c r="B2144" s="1" t="s">
        <v>1284</v>
      </c>
      <c r="C2144" s="5">
        <v>2</v>
      </c>
      <c r="D2144" s="1" t="s">
        <v>1260</v>
      </c>
      <c r="E2144" s="1" t="s">
        <v>991</v>
      </c>
      <c r="F2144" s="5" t="s">
        <v>25</v>
      </c>
      <c r="G2144" s="5">
        <v>2</v>
      </c>
      <c r="H2144" s="5">
        <v>3</v>
      </c>
      <c r="I2144" s="5" t="b">
        <v>1</v>
      </c>
      <c r="J2144" s="1" t="s">
        <v>1261</v>
      </c>
      <c r="K2144" s="1" t="s">
        <v>32</v>
      </c>
      <c r="L2144" s="1"/>
      <c r="M2144" s="1"/>
      <c r="N2144" s="1"/>
      <c r="O2144" s="1"/>
      <c r="P2144" s="1"/>
      <c r="Q2144" s="1" t="s">
        <v>1284</v>
      </c>
      <c r="R2144" s="1" t="s">
        <v>1284</v>
      </c>
      <c r="S2144" s="5">
        <v>2</v>
      </c>
    </row>
    <row r="2145" spans="1:19" hidden="1" x14ac:dyDescent="0.25">
      <c r="A2145" s="1" t="s">
        <v>1099</v>
      </c>
      <c r="B2145" s="1" t="s">
        <v>1284</v>
      </c>
      <c r="C2145" s="5">
        <v>2</v>
      </c>
      <c r="D2145" s="1" t="s">
        <v>13</v>
      </c>
      <c r="E2145" s="1" t="s">
        <v>958</v>
      </c>
      <c r="F2145" s="5" t="s">
        <v>25</v>
      </c>
      <c r="G2145" s="5">
        <v>18</v>
      </c>
      <c r="H2145" s="5">
        <v>25</v>
      </c>
      <c r="I2145" s="5" t="b">
        <v>1</v>
      </c>
      <c r="J2145" s="1" t="s">
        <v>10</v>
      </c>
      <c r="K2145" s="1" t="s">
        <v>32</v>
      </c>
      <c r="L2145" s="1"/>
      <c r="M2145" s="1"/>
      <c r="N2145" s="1"/>
      <c r="O2145" s="1"/>
      <c r="P2145" s="1"/>
      <c r="Q2145" s="1" t="s">
        <v>1284</v>
      </c>
      <c r="R2145" s="1" t="s">
        <v>1284</v>
      </c>
      <c r="S2145" s="5">
        <v>3</v>
      </c>
    </row>
    <row r="2146" spans="1:19" hidden="1" x14ac:dyDescent="0.25">
      <c r="A2146" s="1" t="s">
        <v>1099</v>
      </c>
      <c r="B2146" s="1" t="s">
        <v>1284</v>
      </c>
      <c r="C2146" s="5">
        <v>2</v>
      </c>
      <c r="D2146" s="1" t="s">
        <v>29</v>
      </c>
      <c r="E2146" s="1" t="s">
        <v>1282</v>
      </c>
      <c r="F2146" s="5" t="s">
        <v>25</v>
      </c>
      <c r="G2146" s="5">
        <v>6</v>
      </c>
      <c r="H2146" s="5">
        <v>11</v>
      </c>
      <c r="I2146" s="5" t="b">
        <v>1</v>
      </c>
      <c r="J2146" s="1" t="s">
        <v>1153</v>
      </c>
      <c r="K2146" s="1" t="s">
        <v>32</v>
      </c>
      <c r="L2146" s="1"/>
      <c r="M2146" s="1"/>
      <c r="N2146" s="1"/>
      <c r="O2146" s="1"/>
      <c r="P2146" s="1"/>
      <c r="Q2146" s="1" t="s">
        <v>1284</v>
      </c>
      <c r="R2146" s="1" t="s">
        <v>1284</v>
      </c>
      <c r="S2146" s="5">
        <v>5</v>
      </c>
    </row>
    <row r="2147" spans="1:19" hidden="1" x14ac:dyDescent="0.25">
      <c r="A2147" s="1" t="s">
        <v>1099</v>
      </c>
      <c r="B2147" s="1" t="s">
        <v>1284</v>
      </c>
      <c r="C2147" s="5">
        <v>2</v>
      </c>
      <c r="D2147" s="1" t="s">
        <v>1154</v>
      </c>
      <c r="E2147" s="1" t="s">
        <v>1285</v>
      </c>
      <c r="F2147" s="5" t="s">
        <v>24</v>
      </c>
      <c r="G2147" s="5">
        <v>12</v>
      </c>
      <c r="H2147" s="5">
        <v>22</v>
      </c>
      <c r="I2147" s="5" t="b">
        <v>1</v>
      </c>
      <c r="J2147" s="1" t="s">
        <v>1156</v>
      </c>
      <c r="K2147" s="1" t="s">
        <v>32</v>
      </c>
      <c r="L2147" s="1"/>
      <c r="M2147" s="1"/>
      <c r="N2147" s="1"/>
      <c r="O2147" s="1"/>
      <c r="P2147" s="1"/>
      <c r="Q2147" s="1" t="s">
        <v>1284</v>
      </c>
      <c r="R2147" s="1" t="s">
        <v>1284</v>
      </c>
      <c r="S2147" s="5">
        <v>6</v>
      </c>
    </row>
    <row r="2148" spans="1:19" hidden="1" x14ac:dyDescent="0.25">
      <c r="A2148" s="1" t="s">
        <v>1099</v>
      </c>
      <c r="B2148" s="1" t="s">
        <v>1284</v>
      </c>
      <c r="C2148" s="5">
        <v>2</v>
      </c>
      <c r="D2148" s="1" t="s">
        <v>1157</v>
      </c>
      <c r="E2148" s="1" t="s">
        <v>1287</v>
      </c>
      <c r="F2148" s="5" t="s">
        <v>27</v>
      </c>
      <c r="G2148" s="5">
        <v>0</v>
      </c>
      <c r="H2148" s="5">
        <v>3</v>
      </c>
      <c r="I2148" s="5" t="b">
        <v>0</v>
      </c>
      <c r="J2148" s="1" t="s">
        <v>1269</v>
      </c>
      <c r="K2148" s="1" t="s">
        <v>32</v>
      </c>
      <c r="L2148" s="1"/>
      <c r="M2148" s="1"/>
      <c r="N2148" s="1"/>
      <c r="O2148" s="1"/>
      <c r="P2148" s="1"/>
      <c r="Q2148" s="1" t="s">
        <v>1284</v>
      </c>
      <c r="R2148" s="1" t="s">
        <v>1284</v>
      </c>
      <c r="S2148" s="5">
        <v>8</v>
      </c>
    </row>
    <row r="2149" spans="1:19" hidden="1" x14ac:dyDescent="0.25">
      <c r="A2149" s="1" t="s">
        <v>1099</v>
      </c>
      <c r="B2149" s="1" t="s">
        <v>1284</v>
      </c>
      <c r="C2149" s="5">
        <v>2</v>
      </c>
      <c r="D2149" s="1" t="s">
        <v>1286</v>
      </c>
      <c r="E2149" s="1" t="s">
        <v>1287</v>
      </c>
      <c r="F2149" s="5" t="s">
        <v>27</v>
      </c>
      <c r="G2149" s="5">
        <v>0</v>
      </c>
      <c r="H2149" s="5">
        <v>3</v>
      </c>
      <c r="I2149" s="5" t="b">
        <v>0</v>
      </c>
      <c r="J2149" s="1" t="s">
        <v>1288</v>
      </c>
      <c r="K2149" s="1" t="s">
        <v>32</v>
      </c>
      <c r="L2149" s="1"/>
      <c r="M2149" s="1"/>
      <c r="N2149" s="1"/>
      <c r="O2149" s="1"/>
      <c r="P2149" s="1"/>
      <c r="Q2149" s="1" t="s">
        <v>1284</v>
      </c>
      <c r="R2149" s="1" t="s">
        <v>1284</v>
      </c>
      <c r="S2149" s="5">
        <v>9</v>
      </c>
    </row>
    <row r="2150" spans="1:19" hidden="1" x14ac:dyDescent="0.25">
      <c r="A2150" s="1" t="s">
        <v>1099</v>
      </c>
      <c r="B2150" s="1" t="s">
        <v>1284</v>
      </c>
      <c r="C2150" s="5">
        <v>2</v>
      </c>
      <c r="D2150" s="1" t="s">
        <v>1193</v>
      </c>
      <c r="E2150" s="1" t="s">
        <v>1271</v>
      </c>
      <c r="F2150" s="5" t="s">
        <v>27</v>
      </c>
      <c r="G2150" s="5">
        <v>0</v>
      </c>
      <c r="H2150" s="5">
        <v>1</v>
      </c>
      <c r="I2150" s="5" t="b">
        <v>0</v>
      </c>
      <c r="J2150" s="1" t="s">
        <v>1272</v>
      </c>
      <c r="K2150" s="1" t="s">
        <v>32</v>
      </c>
      <c r="L2150" s="1"/>
      <c r="M2150" s="1"/>
      <c r="N2150" s="1"/>
      <c r="O2150" s="1"/>
      <c r="P2150" s="1"/>
      <c r="Q2150" s="1" t="s">
        <v>1284</v>
      </c>
      <c r="R2150" s="1" t="s">
        <v>1284</v>
      </c>
      <c r="S2150" s="5">
        <v>10</v>
      </c>
    </row>
    <row r="2151" spans="1:19" x14ac:dyDescent="0.25">
      <c r="A2151" s="1" t="s">
        <v>1099</v>
      </c>
      <c r="B2151" s="1" t="s">
        <v>1284</v>
      </c>
      <c r="C2151" s="5">
        <v>2</v>
      </c>
      <c r="D2151" s="1" t="s">
        <v>1444</v>
      </c>
      <c r="E2151" s="1" t="s">
        <v>1289</v>
      </c>
      <c r="F2151" s="5" t="s">
        <v>27</v>
      </c>
      <c r="G2151" s="5">
        <v>0</v>
      </c>
      <c r="H2151" s="5">
        <v>5</v>
      </c>
      <c r="I2151" s="5" t="b">
        <v>0</v>
      </c>
      <c r="J2151" s="1" t="s">
        <v>1270</v>
      </c>
      <c r="K2151" s="1" t="s">
        <v>32</v>
      </c>
      <c r="L2151" s="1"/>
      <c r="M2151" s="1"/>
      <c r="N2151" s="1"/>
      <c r="O2151" s="1"/>
      <c r="P2151" s="1"/>
      <c r="Q2151" s="1" t="s">
        <v>1284</v>
      </c>
      <c r="R2151" s="1" t="s">
        <v>1284</v>
      </c>
      <c r="S2151" s="5">
        <v>11</v>
      </c>
    </row>
    <row r="2152" spans="1:19" hidden="1" x14ac:dyDescent="0.25">
      <c r="A2152" s="1" t="s">
        <v>1099</v>
      </c>
      <c r="B2152" s="1" t="s">
        <v>1284</v>
      </c>
      <c r="C2152" s="5">
        <v>2</v>
      </c>
      <c r="D2152" s="1" t="s">
        <v>311</v>
      </c>
      <c r="E2152" s="1" t="s">
        <v>1279</v>
      </c>
      <c r="F2152" s="5" t="s">
        <v>27</v>
      </c>
      <c r="G2152" s="5">
        <v>30</v>
      </c>
      <c r="H2152" s="5">
        <v>35</v>
      </c>
      <c r="I2152" s="5" t="b">
        <v>0</v>
      </c>
      <c r="J2152" s="1" t="s">
        <v>1290</v>
      </c>
      <c r="K2152" s="1" t="s">
        <v>32</v>
      </c>
      <c r="L2152" s="1"/>
      <c r="M2152" s="1"/>
      <c r="N2152" s="1"/>
      <c r="O2152" s="1"/>
      <c r="P2152" s="1"/>
      <c r="Q2152" s="1" t="s">
        <v>1284</v>
      </c>
      <c r="R2152" s="1" t="s">
        <v>1284</v>
      </c>
      <c r="S2152" s="5">
        <v>13</v>
      </c>
    </row>
    <row r="2153" spans="1:19" hidden="1" x14ac:dyDescent="0.25">
      <c r="A2153" s="1" t="s">
        <v>1099</v>
      </c>
      <c r="B2153" s="1" t="s">
        <v>1284</v>
      </c>
      <c r="C2153" s="5">
        <v>3</v>
      </c>
      <c r="D2153" s="1" t="s">
        <v>11</v>
      </c>
      <c r="E2153" s="1" t="s">
        <v>950</v>
      </c>
      <c r="F2153" s="5" t="s">
        <v>25</v>
      </c>
      <c r="G2153" s="5">
        <v>25</v>
      </c>
      <c r="H2153" s="5">
        <v>30</v>
      </c>
      <c r="I2153" s="5" t="b">
        <v>1</v>
      </c>
      <c r="J2153" s="1" t="s">
        <v>0</v>
      </c>
      <c r="K2153" s="1" t="s">
        <v>32</v>
      </c>
      <c r="L2153" s="1"/>
      <c r="M2153" s="1"/>
      <c r="N2153" s="1"/>
      <c r="O2153" s="1"/>
      <c r="P2153" s="1"/>
      <c r="Q2153" s="1" t="s">
        <v>1284</v>
      </c>
      <c r="R2153" s="1" t="s">
        <v>1284</v>
      </c>
      <c r="S2153" s="5">
        <v>1</v>
      </c>
    </row>
    <row r="2154" spans="1:19" hidden="1" x14ac:dyDescent="0.25">
      <c r="A2154" s="1" t="s">
        <v>1099</v>
      </c>
      <c r="B2154" s="1" t="s">
        <v>1284</v>
      </c>
      <c r="C2154" s="5">
        <v>3</v>
      </c>
      <c r="D2154" s="1" t="s">
        <v>1260</v>
      </c>
      <c r="E2154" s="1" t="s">
        <v>991</v>
      </c>
      <c r="F2154" s="5" t="s">
        <v>25</v>
      </c>
      <c r="G2154" s="5">
        <v>2</v>
      </c>
      <c r="H2154" s="5">
        <v>3</v>
      </c>
      <c r="I2154" s="5" t="b">
        <v>1</v>
      </c>
      <c r="J2154" s="1" t="s">
        <v>1261</v>
      </c>
      <c r="K2154" s="1" t="s">
        <v>32</v>
      </c>
      <c r="L2154" s="1"/>
      <c r="M2154" s="1"/>
      <c r="N2154" s="1"/>
      <c r="O2154" s="1"/>
      <c r="P2154" s="1"/>
      <c r="Q2154" s="1" t="s">
        <v>1284</v>
      </c>
      <c r="R2154" s="1" t="s">
        <v>1284</v>
      </c>
      <c r="S2154" s="5">
        <v>2</v>
      </c>
    </row>
    <row r="2155" spans="1:19" hidden="1" x14ac:dyDescent="0.25">
      <c r="A2155" s="1" t="s">
        <v>1099</v>
      </c>
      <c r="B2155" s="1" t="s">
        <v>1284</v>
      </c>
      <c r="C2155" s="5">
        <v>3</v>
      </c>
      <c r="D2155" s="1" t="s">
        <v>13</v>
      </c>
      <c r="E2155" s="1" t="s">
        <v>1291</v>
      </c>
      <c r="F2155" s="5" t="s">
        <v>24</v>
      </c>
      <c r="G2155" s="5">
        <v>8</v>
      </c>
      <c r="H2155" s="5">
        <v>18</v>
      </c>
      <c r="I2155" s="5" t="b">
        <v>1</v>
      </c>
      <c r="J2155" s="1" t="s">
        <v>10</v>
      </c>
      <c r="K2155" s="1" t="s">
        <v>32</v>
      </c>
      <c r="L2155" s="1"/>
      <c r="M2155" s="1"/>
      <c r="N2155" s="1"/>
      <c r="O2155" s="1"/>
      <c r="P2155" s="1"/>
      <c r="Q2155" s="1" t="s">
        <v>1284</v>
      </c>
      <c r="R2155" s="1" t="s">
        <v>1284</v>
      </c>
      <c r="S2155" s="5">
        <v>3</v>
      </c>
    </row>
    <row r="2156" spans="1:19" hidden="1" x14ac:dyDescent="0.25">
      <c r="A2156" s="1" t="s">
        <v>1099</v>
      </c>
      <c r="B2156" s="1" t="s">
        <v>1284</v>
      </c>
      <c r="C2156" s="5">
        <v>3</v>
      </c>
      <c r="D2156" s="1" t="s">
        <v>29</v>
      </c>
      <c r="E2156" s="1" t="s">
        <v>1003</v>
      </c>
      <c r="F2156" s="5" t="s">
        <v>24</v>
      </c>
      <c r="G2156" s="5">
        <v>2</v>
      </c>
      <c r="H2156" s="5">
        <v>6</v>
      </c>
      <c r="I2156" s="5" t="b">
        <v>1</v>
      </c>
      <c r="J2156" s="1" t="s">
        <v>1153</v>
      </c>
      <c r="K2156" s="1" t="s">
        <v>32</v>
      </c>
      <c r="L2156" s="1"/>
      <c r="M2156" s="1"/>
      <c r="N2156" s="1"/>
      <c r="O2156" s="1"/>
      <c r="P2156" s="1"/>
      <c r="Q2156" s="1" t="s">
        <v>1284</v>
      </c>
      <c r="R2156" s="1" t="s">
        <v>1284</v>
      </c>
      <c r="S2156" s="5">
        <v>5</v>
      </c>
    </row>
    <row r="2157" spans="1:19" hidden="1" x14ac:dyDescent="0.25">
      <c r="A2157" s="1" t="s">
        <v>1099</v>
      </c>
      <c r="B2157" s="1" t="s">
        <v>1284</v>
      </c>
      <c r="C2157" s="5">
        <v>3</v>
      </c>
      <c r="D2157" s="1" t="s">
        <v>1154</v>
      </c>
      <c r="E2157" s="1" t="s">
        <v>1292</v>
      </c>
      <c r="F2157" s="5" t="s">
        <v>25</v>
      </c>
      <c r="G2157" s="5">
        <v>5</v>
      </c>
      <c r="H2157" s="5">
        <v>12</v>
      </c>
      <c r="I2157" s="5" t="b">
        <v>1</v>
      </c>
      <c r="J2157" s="1" t="s">
        <v>1156</v>
      </c>
      <c r="K2157" s="1" t="s">
        <v>32</v>
      </c>
      <c r="L2157" s="1"/>
      <c r="M2157" s="1"/>
      <c r="N2157" s="1"/>
      <c r="O2157" s="1"/>
      <c r="P2157" s="1"/>
      <c r="Q2157" s="1" t="s">
        <v>1284</v>
      </c>
      <c r="R2157" s="1" t="s">
        <v>1284</v>
      </c>
      <c r="S2157" s="5">
        <v>6</v>
      </c>
    </row>
    <row r="2158" spans="1:19" hidden="1" x14ac:dyDescent="0.25">
      <c r="A2158" s="1" t="s">
        <v>1099</v>
      </c>
      <c r="B2158" s="1" t="s">
        <v>1284</v>
      </c>
      <c r="C2158" s="5">
        <v>3</v>
      </c>
      <c r="D2158" s="1" t="s">
        <v>1157</v>
      </c>
      <c r="E2158" s="1" t="s">
        <v>1004</v>
      </c>
      <c r="F2158" s="5" t="s">
        <v>27</v>
      </c>
      <c r="G2158" s="5">
        <v>2</v>
      </c>
      <c r="H2158" s="5">
        <v>7</v>
      </c>
      <c r="I2158" s="5" t="b">
        <v>0</v>
      </c>
      <c r="J2158" s="1" t="s">
        <v>1269</v>
      </c>
      <c r="K2158" s="1" t="s">
        <v>32</v>
      </c>
      <c r="L2158" s="1"/>
      <c r="M2158" s="1"/>
      <c r="N2158" s="1"/>
      <c r="O2158" s="1"/>
      <c r="P2158" s="1"/>
      <c r="Q2158" s="1" t="s">
        <v>1284</v>
      </c>
      <c r="R2158" s="1" t="s">
        <v>1284</v>
      </c>
      <c r="S2158" s="5">
        <v>8</v>
      </c>
    </row>
    <row r="2159" spans="1:19" hidden="1" x14ac:dyDescent="0.25">
      <c r="A2159" s="1" t="s">
        <v>1099</v>
      </c>
      <c r="B2159" s="1" t="s">
        <v>1284</v>
      </c>
      <c r="C2159" s="5">
        <v>3</v>
      </c>
      <c r="D2159" s="1" t="s">
        <v>1286</v>
      </c>
      <c r="E2159" s="1" t="s">
        <v>1293</v>
      </c>
      <c r="F2159" s="5" t="s">
        <v>26</v>
      </c>
      <c r="G2159" s="5">
        <v>3</v>
      </c>
      <c r="H2159" s="5">
        <v>5</v>
      </c>
      <c r="I2159" s="5" t="b">
        <v>0</v>
      </c>
      <c r="J2159" s="1" t="s">
        <v>1288</v>
      </c>
      <c r="K2159" s="1" t="s">
        <v>32</v>
      </c>
      <c r="L2159" s="1"/>
      <c r="M2159" s="1"/>
      <c r="N2159" s="1"/>
      <c r="O2159" s="1"/>
      <c r="P2159" s="1"/>
      <c r="Q2159" s="1" t="s">
        <v>1284</v>
      </c>
      <c r="R2159" s="1" t="s">
        <v>1284</v>
      </c>
      <c r="S2159" s="5">
        <v>9</v>
      </c>
    </row>
    <row r="2160" spans="1:19" x14ac:dyDescent="0.25">
      <c r="A2160" s="1" t="s">
        <v>1099</v>
      </c>
      <c r="B2160" s="1" t="s">
        <v>1284</v>
      </c>
      <c r="C2160" s="5">
        <v>3</v>
      </c>
      <c r="D2160" s="1" t="s">
        <v>1444</v>
      </c>
      <c r="E2160" s="1" t="s">
        <v>990</v>
      </c>
      <c r="F2160" s="5" t="s">
        <v>27</v>
      </c>
      <c r="G2160" s="5">
        <v>5</v>
      </c>
      <c r="H2160" s="5">
        <v>10</v>
      </c>
      <c r="I2160" s="5" t="b">
        <v>0</v>
      </c>
      <c r="J2160" s="1" t="s">
        <v>1270</v>
      </c>
      <c r="K2160" s="1" t="s">
        <v>32</v>
      </c>
      <c r="L2160" s="1"/>
      <c r="M2160" s="1"/>
      <c r="N2160" s="1"/>
      <c r="O2160" s="1"/>
      <c r="P2160" s="1"/>
      <c r="Q2160" s="1" t="s">
        <v>1284</v>
      </c>
      <c r="R2160" s="1" t="s">
        <v>1284</v>
      </c>
      <c r="S2160" s="5">
        <v>11</v>
      </c>
    </row>
    <row r="2161" spans="1:19" hidden="1" x14ac:dyDescent="0.25">
      <c r="A2161" s="1" t="s">
        <v>1099</v>
      </c>
      <c r="B2161" s="1" t="s">
        <v>1284</v>
      </c>
      <c r="C2161" s="5">
        <v>3</v>
      </c>
      <c r="D2161" s="1" t="s">
        <v>311</v>
      </c>
      <c r="E2161" s="1" t="s">
        <v>1294</v>
      </c>
      <c r="F2161" s="5" t="s">
        <v>27</v>
      </c>
      <c r="G2161" s="5">
        <v>35</v>
      </c>
      <c r="H2161" s="5">
        <v>40</v>
      </c>
      <c r="I2161" s="5" t="b">
        <v>0</v>
      </c>
      <c r="J2161" s="1" t="s">
        <v>1290</v>
      </c>
      <c r="K2161" s="1" t="s">
        <v>32</v>
      </c>
      <c r="L2161" s="1"/>
      <c r="M2161" s="1"/>
      <c r="N2161" s="1"/>
      <c r="O2161" s="1"/>
      <c r="P2161" s="1"/>
      <c r="Q2161" s="1" t="s">
        <v>1284</v>
      </c>
      <c r="R2161" s="1" t="s">
        <v>1284</v>
      </c>
      <c r="S2161" s="5">
        <v>13</v>
      </c>
    </row>
    <row r="2162" spans="1:19" hidden="1" x14ac:dyDescent="0.25">
      <c r="A2162" s="1" t="s">
        <v>1099</v>
      </c>
      <c r="B2162" s="1" t="s">
        <v>1284</v>
      </c>
      <c r="C2162" s="5">
        <v>4</v>
      </c>
      <c r="D2162" s="1" t="s">
        <v>11</v>
      </c>
      <c r="E2162" s="1" t="s">
        <v>979</v>
      </c>
      <c r="F2162" s="5" t="s">
        <v>25</v>
      </c>
      <c r="G2162" s="5">
        <v>20</v>
      </c>
      <c r="H2162" s="5">
        <v>25</v>
      </c>
      <c r="I2162" s="5" t="b">
        <v>1</v>
      </c>
      <c r="J2162" s="1" t="s">
        <v>0</v>
      </c>
      <c r="K2162" s="1" t="s">
        <v>32</v>
      </c>
      <c r="L2162" s="1"/>
      <c r="M2162" s="1"/>
      <c r="N2162" s="1"/>
      <c r="O2162" s="1"/>
      <c r="P2162" s="1"/>
      <c r="Q2162" s="1" t="s">
        <v>1284</v>
      </c>
      <c r="R2162" s="1" t="s">
        <v>1284</v>
      </c>
      <c r="S2162" s="5">
        <v>1</v>
      </c>
    </row>
    <row r="2163" spans="1:19" hidden="1" x14ac:dyDescent="0.25">
      <c r="A2163" s="1" t="s">
        <v>1099</v>
      </c>
      <c r="B2163" s="1" t="s">
        <v>1284</v>
      </c>
      <c r="C2163" s="5">
        <v>4</v>
      </c>
      <c r="D2163" s="1" t="s">
        <v>1260</v>
      </c>
      <c r="E2163" s="1" t="s">
        <v>1275</v>
      </c>
      <c r="F2163" s="5" t="s">
        <v>25</v>
      </c>
      <c r="G2163" s="5">
        <v>-0.5</v>
      </c>
      <c r="H2163" s="5">
        <v>2</v>
      </c>
      <c r="I2163" s="5" t="b">
        <v>1</v>
      </c>
      <c r="J2163" s="1" t="s">
        <v>1261</v>
      </c>
      <c r="K2163" s="1" t="s">
        <v>32</v>
      </c>
      <c r="L2163" s="1"/>
      <c r="M2163" s="1"/>
      <c r="N2163" s="1"/>
      <c r="O2163" s="1"/>
      <c r="P2163" s="1"/>
      <c r="Q2163" s="1" t="s">
        <v>1284</v>
      </c>
      <c r="R2163" s="1" t="s">
        <v>1284</v>
      </c>
      <c r="S2163" s="5">
        <v>2</v>
      </c>
    </row>
    <row r="2164" spans="1:19" hidden="1" x14ac:dyDescent="0.25">
      <c r="A2164" s="1" t="s">
        <v>1099</v>
      </c>
      <c r="B2164" s="1" t="s">
        <v>1284</v>
      </c>
      <c r="C2164" s="5">
        <v>4</v>
      </c>
      <c r="D2164" s="1" t="s">
        <v>13</v>
      </c>
      <c r="E2164" s="1" t="s">
        <v>971</v>
      </c>
      <c r="F2164" s="5" t="s">
        <v>25</v>
      </c>
      <c r="G2164" s="5">
        <v>5</v>
      </c>
      <c r="H2164" s="5">
        <v>10</v>
      </c>
      <c r="I2164" s="5" t="b">
        <v>1</v>
      </c>
      <c r="J2164" s="1" t="s">
        <v>10</v>
      </c>
      <c r="K2164" s="1" t="s">
        <v>32</v>
      </c>
      <c r="L2164" s="1"/>
      <c r="M2164" s="1"/>
      <c r="N2164" s="1"/>
      <c r="O2164" s="1"/>
      <c r="P2164" s="1"/>
      <c r="Q2164" s="1" t="s">
        <v>1284</v>
      </c>
      <c r="R2164" s="1" t="s">
        <v>1284</v>
      </c>
      <c r="S2164" s="5">
        <v>3</v>
      </c>
    </row>
    <row r="2165" spans="1:19" hidden="1" x14ac:dyDescent="0.25">
      <c r="A2165" s="1" t="s">
        <v>1099</v>
      </c>
      <c r="B2165" s="1" t="s">
        <v>1284</v>
      </c>
      <c r="C2165" s="5">
        <v>4</v>
      </c>
      <c r="D2165" s="1" t="s">
        <v>29</v>
      </c>
      <c r="E2165" s="1" t="s">
        <v>989</v>
      </c>
      <c r="F2165" s="5" t="s">
        <v>24</v>
      </c>
      <c r="G2165" s="5">
        <v>0</v>
      </c>
      <c r="H2165" s="5">
        <v>2</v>
      </c>
      <c r="I2165" s="5" t="b">
        <v>1</v>
      </c>
      <c r="J2165" s="1" t="s">
        <v>1153</v>
      </c>
      <c r="K2165" s="1" t="s">
        <v>32</v>
      </c>
      <c r="L2165" s="1" t="s">
        <v>716</v>
      </c>
      <c r="M2165" s="1" t="s">
        <v>1170</v>
      </c>
      <c r="N2165" s="1"/>
      <c r="O2165" s="1"/>
      <c r="P2165" s="1"/>
      <c r="Q2165" s="1" t="s">
        <v>1284</v>
      </c>
      <c r="R2165" s="1" t="s">
        <v>1284</v>
      </c>
      <c r="S2165" s="5">
        <v>5</v>
      </c>
    </row>
    <row r="2166" spans="1:19" hidden="1" x14ac:dyDescent="0.25">
      <c r="A2166" s="1" t="s">
        <v>1099</v>
      </c>
      <c r="B2166" s="1" t="s">
        <v>1284</v>
      </c>
      <c r="C2166" s="5">
        <v>4</v>
      </c>
      <c r="D2166" s="1" t="s">
        <v>1157</v>
      </c>
      <c r="E2166" s="1" t="s">
        <v>928</v>
      </c>
      <c r="F2166" s="5" t="s">
        <v>26</v>
      </c>
      <c r="G2166" s="5">
        <v>20</v>
      </c>
      <c r="H2166" s="5">
        <v>30</v>
      </c>
      <c r="I2166" s="5" t="b">
        <v>0</v>
      </c>
      <c r="J2166" s="1" t="s">
        <v>1269</v>
      </c>
      <c r="K2166" s="1" t="s">
        <v>32</v>
      </c>
      <c r="L2166" s="1" t="s">
        <v>716</v>
      </c>
      <c r="M2166" s="1" t="s">
        <v>1170</v>
      </c>
      <c r="N2166" s="1"/>
      <c r="O2166" s="1"/>
      <c r="P2166" s="1"/>
      <c r="Q2166" s="1" t="s">
        <v>1284</v>
      </c>
      <c r="R2166" s="1" t="s">
        <v>1284</v>
      </c>
      <c r="S2166" s="5">
        <v>8</v>
      </c>
    </row>
    <row r="2167" spans="1:19" hidden="1" x14ac:dyDescent="0.25">
      <c r="A2167" s="1" t="s">
        <v>1099</v>
      </c>
      <c r="B2167" s="1" t="s">
        <v>1284</v>
      </c>
      <c r="C2167" s="5">
        <v>4</v>
      </c>
      <c r="D2167" s="1" t="s">
        <v>1286</v>
      </c>
      <c r="E2167" s="1" t="s">
        <v>1295</v>
      </c>
      <c r="F2167" s="5" t="s">
        <v>27</v>
      </c>
      <c r="G2167" s="5">
        <v>5</v>
      </c>
      <c r="H2167" s="5">
        <v>12</v>
      </c>
      <c r="I2167" s="5" t="b">
        <v>0</v>
      </c>
      <c r="J2167" s="1" t="s">
        <v>1288</v>
      </c>
      <c r="K2167" s="1" t="s">
        <v>32</v>
      </c>
      <c r="L2167" s="1" t="s">
        <v>716</v>
      </c>
      <c r="M2167" s="1" t="s">
        <v>1170</v>
      </c>
      <c r="N2167" s="1"/>
      <c r="O2167" s="1"/>
      <c r="P2167" s="1"/>
      <c r="Q2167" s="1" t="s">
        <v>1284</v>
      </c>
      <c r="R2167" s="1" t="s">
        <v>1284</v>
      </c>
      <c r="S2167" s="5">
        <v>9</v>
      </c>
    </row>
    <row r="2168" spans="1:19" x14ac:dyDescent="0.25">
      <c r="A2168" s="1" t="s">
        <v>1099</v>
      </c>
      <c r="B2168" s="1" t="s">
        <v>1284</v>
      </c>
      <c r="C2168" s="5">
        <v>4</v>
      </c>
      <c r="D2168" s="1" t="s">
        <v>1444</v>
      </c>
      <c r="E2168" s="1" t="s">
        <v>925</v>
      </c>
      <c r="F2168" s="5" t="s">
        <v>26</v>
      </c>
      <c r="G2168" s="5">
        <v>30</v>
      </c>
      <c r="H2168" s="5">
        <v>40</v>
      </c>
      <c r="I2168" s="5" t="b">
        <v>0</v>
      </c>
      <c r="J2168" s="1" t="s">
        <v>1270</v>
      </c>
      <c r="K2168" s="1" t="s">
        <v>32</v>
      </c>
      <c r="L2168" s="1" t="s">
        <v>716</v>
      </c>
      <c r="M2168" s="1" t="s">
        <v>1170</v>
      </c>
      <c r="N2168" s="1"/>
      <c r="O2168" s="1"/>
      <c r="P2168" s="1"/>
      <c r="Q2168" s="1" t="s">
        <v>1284</v>
      </c>
      <c r="R2168" s="1" t="s">
        <v>1284</v>
      </c>
      <c r="S2168" s="5">
        <v>11</v>
      </c>
    </row>
    <row r="2169" spans="1:19" hidden="1" x14ac:dyDescent="0.25">
      <c r="A2169" s="1" t="s">
        <v>1099</v>
      </c>
      <c r="B2169" s="1" t="s">
        <v>1284</v>
      </c>
      <c r="C2169" s="5">
        <v>4</v>
      </c>
      <c r="D2169" s="1" t="s">
        <v>311</v>
      </c>
      <c r="E2169" s="1" t="s">
        <v>995</v>
      </c>
      <c r="F2169" s="5" t="s">
        <v>27</v>
      </c>
      <c r="G2169" s="5">
        <v>40</v>
      </c>
      <c r="H2169" s="5">
        <v>45</v>
      </c>
      <c r="I2169" s="5" t="b">
        <v>0</v>
      </c>
      <c r="J2169" s="1" t="s">
        <v>1290</v>
      </c>
      <c r="K2169" s="1" t="s">
        <v>32</v>
      </c>
      <c r="L2169" s="1" t="s">
        <v>716</v>
      </c>
      <c r="M2169" s="1" t="s">
        <v>1170</v>
      </c>
      <c r="N2169" s="1"/>
      <c r="O2169" s="1"/>
      <c r="P2169" s="1"/>
      <c r="Q2169" s="1" t="s">
        <v>1284</v>
      </c>
      <c r="R2169" s="1" t="s">
        <v>1284</v>
      </c>
      <c r="S2169" s="5">
        <v>13</v>
      </c>
    </row>
    <row r="2170" spans="1:19" hidden="1" x14ac:dyDescent="0.25">
      <c r="A2170" s="1" t="s">
        <v>1099</v>
      </c>
      <c r="B2170" s="1" t="s">
        <v>1284</v>
      </c>
      <c r="C2170" s="5">
        <v>5</v>
      </c>
      <c r="D2170" s="1" t="s">
        <v>11</v>
      </c>
      <c r="E2170" s="1" t="s">
        <v>951</v>
      </c>
      <c r="F2170" s="5" t="s">
        <v>25</v>
      </c>
      <c r="G2170" s="5">
        <v>15</v>
      </c>
      <c r="H2170" s="5">
        <v>20</v>
      </c>
      <c r="I2170" s="5" t="b">
        <v>1</v>
      </c>
      <c r="J2170" s="1" t="s">
        <v>0</v>
      </c>
      <c r="K2170" s="1" t="s">
        <v>32</v>
      </c>
      <c r="L2170" s="1"/>
      <c r="M2170" s="1"/>
      <c r="N2170" s="1"/>
      <c r="O2170" s="1"/>
      <c r="P2170" s="1"/>
      <c r="Q2170" s="1" t="s">
        <v>1284</v>
      </c>
      <c r="R2170" s="1" t="s">
        <v>1284</v>
      </c>
      <c r="S2170" s="5">
        <v>1</v>
      </c>
    </row>
    <row r="2171" spans="1:19" hidden="1" x14ac:dyDescent="0.25">
      <c r="A2171" s="1" t="s">
        <v>1099</v>
      </c>
      <c r="B2171" s="1" t="s">
        <v>1284</v>
      </c>
      <c r="C2171" s="5">
        <v>5</v>
      </c>
      <c r="D2171" s="1" t="s">
        <v>1260</v>
      </c>
      <c r="E2171" s="1" t="s">
        <v>725</v>
      </c>
      <c r="F2171" s="5" t="s">
        <v>25</v>
      </c>
      <c r="G2171" s="5">
        <v>0</v>
      </c>
      <c r="H2171" s="5">
        <v>1</v>
      </c>
      <c r="I2171" s="5" t="b">
        <v>1</v>
      </c>
      <c r="J2171" s="1" t="s">
        <v>1261</v>
      </c>
      <c r="K2171" s="1" t="s">
        <v>32</v>
      </c>
      <c r="L2171" s="1"/>
      <c r="M2171" s="1"/>
      <c r="N2171" s="1"/>
      <c r="O2171" s="1"/>
      <c r="P2171" s="1"/>
      <c r="Q2171" s="1" t="s">
        <v>1284</v>
      </c>
      <c r="R2171" s="1" t="s">
        <v>1284</v>
      </c>
      <c r="S2171" s="5">
        <v>2</v>
      </c>
    </row>
    <row r="2172" spans="1:19" hidden="1" x14ac:dyDescent="0.25">
      <c r="A2172" s="1" t="s">
        <v>1099</v>
      </c>
      <c r="B2172" s="1" t="s">
        <v>1284</v>
      </c>
      <c r="C2172" s="5">
        <v>5</v>
      </c>
      <c r="D2172" s="1" t="s">
        <v>13</v>
      </c>
      <c r="E2172" s="1" t="s">
        <v>941</v>
      </c>
      <c r="F2172" s="5" t="s">
        <v>25</v>
      </c>
      <c r="G2172" s="5">
        <v>1</v>
      </c>
      <c r="H2172" s="5">
        <v>4</v>
      </c>
      <c r="I2172" s="5" t="b">
        <v>1</v>
      </c>
      <c r="J2172" s="1" t="s">
        <v>10</v>
      </c>
      <c r="K2172" s="1" t="s">
        <v>32</v>
      </c>
      <c r="L2172" s="1"/>
      <c r="M2172" s="1"/>
      <c r="N2172" s="1"/>
      <c r="O2172" s="1"/>
      <c r="P2172" s="1"/>
      <c r="Q2172" s="1" t="s">
        <v>1284</v>
      </c>
      <c r="R2172" s="1" t="s">
        <v>1284</v>
      </c>
      <c r="S2172" s="5">
        <v>3</v>
      </c>
    </row>
    <row r="2173" spans="1:19" hidden="1" x14ac:dyDescent="0.25">
      <c r="A2173" s="1" t="s">
        <v>1099</v>
      </c>
      <c r="B2173" s="1" t="s">
        <v>1259</v>
      </c>
      <c r="C2173" s="5">
        <v>2</v>
      </c>
      <c r="D2173" s="1" t="s">
        <v>11</v>
      </c>
      <c r="E2173" s="1" t="s">
        <v>1022</v>
      </c>
      <c r="F2173" s="5" t="s">
        <v>25</v>
      </c>
      <c r="G2173" s="5">
        <v>45</v>
      </c>
      <c r="H2173" s="5">
        <v>50</v>
      </c>
      <c r="I2173" s="5" t="b">
        <v>1</v>
      </c>
      <c r="J2173" s="1" t="s">
        <v>0</v>
      </c>
      <c r="K2173" s="1" t="s">
        <v>32</v>
      </c>
      <c r="L2173" s="1"/>
      <c r="M2173" s="1"/>
      <c r="N2173" s="1"/>
      <c r="O2173" s="1"/>
      <c r="P2173" s="1"/>
      <c r="Q2173" s="1" t="s">
        <v>1259</v>
      </c>
      <c r="R2173" s="1" t="s">
        <v>1259</v>
      </c>
      <c r="S2173" s="5">
        <v>1</v>
      </c>
    </row>
    <row r="2174" spans="1:19" hidden="1" x14ac:dyDescent="0.25">
      <c r="A2174" s="1" t="s">
        <v>1099</v>
      </c>
      <c r="B2174" s="1" t="s">
        <v>1259</v>
      </c>
      <c r="C2174" s="5">
        <v>2</v>
      </c>
      <c r="D2174" s="1" t="s">
        <v>1260</v>
      </c>
      <c r="E2174" s="1" t="s">
        <v>991</v>
      </c>
      <c r="F2174" s="5" t="s">
        <v>25</v>
      </c>
      <c r="G2174" s="5">
        <v>2</v>
      </c>
      <c r="H2174" s="5">
        <v>3</v>
      </c>
      <c r="I2174" s="5" t="b">
        <v>1</v>
      </c>
      <c r="J2174" s="1" t="s">
        <v>1261</v>
      </c>
      <c r="K2174" s="1" t="s">
        <v>32</v>
      </c>
      <c r="L2174" s="1"/>
      <c r="M2174" s="1"/>
      <c r="N2174" s="1"/>
      <c r="O2174" s="1"/>
      <c r="P2174" s="1"/>
      <c r="Q2174" s="1" t="s">
        <v>1259</v>
      </c>
      <c r="R2174" s="1" t="s">
        <v>1259</v>
      </c>
      <c r="S2174" s="5">
        <v>2</v>
      </c>
    </row>
    <row r="2175" spans="1:19" hidden="1" x14ac:dyDescent="0.25">
      <c r="A2175" s="1" t="s">
        <v>1099</v>
      </c>
      <c r="B2175" s="1" t="s">
        <v>1259</v>
      </c>
      <c r="C2175" s="5">
        <v>2</v>
      </c>
      <c r="D2175" s="1" t="s">
        <v>13</v>
      </c>
      <c r="E2175" s="1" t="s">
        <v>1262</v>
      </c>
      <c r="F2175" s="5" t="s">
        <v>24</v>
      </c>
      <c r="G2175" s="5">
        <v>18</v>
      </c>
      <c r="H2175" s="5">
        <v>28</v>
      </c>
      <c r="I2175" s="5" t="b">
        <v>1</v>
      </c>
      <c r="J2175" s="1" t="s">
        <v>10</v>
      </c>
      <c r="K2175" s="1" t="s">
        <v>32</v>
      </c>
      <c r="L2175" s="1"/>
      <c r="M2175" s="1"/>
      <c r="N2175" s="1"/>
      <c r="O2175" s="1"/>
      <c r="P2175" s="1"/>
      <c r="Q2175" s="1" t="s">
        <v>1259</v>
      </c>
      <c r="R2175" s="1" t="s">
        <v>1259</v>
      </c>
      <c r="S2175" s="5">
        <v>3</v>
      </c>
    </row>
    <row r="2176" spans="1:19" hidden="1" x14ac:dyDescent="0.25">
      <c r="A2176" s="1" t="s">
        <v>1099</v>
      </c>
      <c r="B2176" s="1" t="s">
        <v>1259</v>
      </c>
      <c r="C2176" s="5">
        <v>2</v>
      </c>
      <c r="D2176" s="1" t="s">
        <v>1263</v>
      </c>
      <c r="E2176" s="1" t="s">
        <v>725</v>
      </c>
      <c r="F2176" s="5" t="s">
        <v>25</v>
      </c>
      <c r="G2176" s="5">
        <v>0</v>
      </c>
      <c r="H2176" s="5">
        <v>1</v>
      </c>
      <c r="I2176" s="5" t="b">
        <v>1</v>
      </c>
      <c r="J2176" s="1" t="s">
        <v>1264</v>
      </c>
      <c r="K2176" s="1" t="s">
        <v>32</v>
      </c>
      <c r="L2176" s="1"/>
      <c r="M2176" s="1"/>
      <c r="N2176" s="1"/>
      <c r="O2176" s="1"/>
      <c r="P2176" s="1"/>
      <c r="Q2176" s="1" t="s">
        <v>1259</v>
      </c>
      <c r="R2176" s="1" t="s">
        <v>1259</v>
      </c>
      <c r="S2176" s="5">
        <v>4</v>
      </c>
    </row>
    <row r="2177" spans="1:19" hidden="1" x14ac:dyDescent="0.25">
      <c r="A2177" s="1" t="s">
        <v>1099</v>
      </c>
      <c r="B2177" s="1" t="s">
        <v>1259</v>
      </c>
      <c r="C2177" s="5">
        <v>2</v>
      </c>
      <c r="D2177" s="1" t="s">
        <v>29</v>
      </c>
      <c r="E2177" s="1" t="s">
        <v>1265</v>
      </c>
      <c r="F2177" s="5" t="s">
        <v>24</v>
      </c>
      <c r="G2177" s="5">
        <v>7</v>
      </c>
      <c r="H2177" s="5">
        <v>17</v>
      </c>
      <c r="I2177" s="5" t="b">
        <v>1</v>
      </c>
      <c r="J2177" s="1" t="s">
        <v>1153</v>
      </c>
      <c r="K2177" s="1" t="s">
        <v>32</v>
      </c>
      <c r="L2177" s="1"/>
      <c r="M2177" s="1"/>
      <c r="N2177" s="1"/>
      <c r="O2177" s="1"/>
      <c r="P2177" s="1"/>
      <c r="Q2177" s="1" t="s">
        <v>1259</v>
      </c>
      <c r="R2177" s="1" t="s">
        <v>1259</v>
      </c>
      <c r="S2177" s="5">
        <v>5</v>
      </c>
    </row>
    <row r="2178" spans="1:19" hidden="1" x14ac:dyDescent="0.25">
      <c r="A2178" s="1" t="s">
        <v>1099</v>
      </c>
      <c r="B2178" s="1" t="s">
        <v>1259</v>
      </c>
      <c r="C2178" s="5">
        <v>2</v>
      </c>
      <c r="D2178" s="1" t="s">
        <v>1154</v>
      </c>
      <c r="E2178" s="1" t="s">
        <v>945</v>
      </c>
      <c r="F2178" s="5" t="s">
        <v>24</v>
      </c>
      <c r="G2178" s="5">
        <v>15</v>
      </c>
      <c r="H2178" s="5">
        <v>25</v>
      </c>
      <c r="I2178" s="5" t="b">
        <v>1</v>
      </c>
      <c r="J2178" s="1" t="s">
        <v>1156</v>
      </c>
      <c r="K2178" s="1" t="s">
        <v>32</v>
      </c>
      <c r="L2178" s="1"/>
      <c r="M2178" s="1"/>
      <c r="N2178" s="1"/>
      <c r="O2178" s="1"/>
      <c r="P2178" s="1"/>
      <c r="Q2178" s="1" t="s">
        <v>1259</v>
      </c>
      <c r="R2178" s="1" t="s">
        <v>1259</v>
      </c>
      <c r="S2178" s="5">
        <v>6</v>
      </c>
    </row>
    <row r="2179" spans="1:19" hidden="1" x14ac:dyDescent="0.25">
      <c r="A2179" s="1" t="s">
        <v>1099</v>
      </c>
      <c r="B2179" s="1" t="s">
        <v>1259</v>
      </c>
      <c r="C2179" s="5">
        <v>2</v>
      </c>
      <c r="D2179" s="1" t="s">
        <v>1157</v>
      </c>
      <c r="E2179" s="1" t="s">
        <v>1268</v>
      </c>
      <c r="F2179" s="5" t="s">
        <v>27</v>
      </c>
      <c r="G2179" s="5">
        <v>2</v>
      </c>
      <c r="H2179" s="5">
        <v>5</v>
      </c>
      <c r="I2179" s="5" t="b">
        <v>0</v>
      </c>
      <c r="J2179" s="1" t="s">
        <v>1269</v>
      </c>
      <c r="K2179" s="1" t="s">
        <v>32</v>
      </c>
      <c r="L2179" s="1"/>
      <c r="M2179" s="1"/>
      <c r="N2179" s="1"/>
      <c r="O2179" s="1"/>
      <c r="P2179" s="1"/>
      <c r="Q2179" s="1" t="s">
        <v>1259</v>
      </c>
      <c r="R2179" s="1" t="s">
        <v>1259</v>
      </c>
      <c r="S2179" s="5">
        <v>8</v>
      </c>
    </row>
    <row r="2180" spans="1:19" hidden="1" x14ac:dyDescent="0.25">
      <c r="A2180" s="1" t="s">
        <v>1099</v>
      </c>
      <c r="B2180" s="1" t="s">
        <v>1259</v>
      </c>
      <c r="C2180" s="5">
        <v>2</v>
      </c>
      <c r="D2180" s="1" t="s">
        <v>1193</v>
      </c>
      <c r="E2180" s="1" t="s">
        <v>1271</v>
      </c>
      <c r="F2180" s="5" t="s">
        <v>27</v>
      </c>
      <c r="G2180" s="5">
        <v>0</v>
      </c>
      <c r="H2180" s="5">
        <v>1</v>
      </c>
      <c r="I2180" s="5" t="b">
        <v>0</v>
      </c>
      <c r="J2180" s="1" t="s">
        <v>1272</v>
      </c>
      <c r="K2180" s="1" t="s">
        <v>32</v>
      </c>
      <c r="L2180" s="1"/>
      <c r="M2180" s="1"/>
      <c r="N2180" s="1"/>
      <c r="O2180" s="1"/>
      <c r="P2180" s="1"/>
      <c r="Q2180" s="1" t="s">
        <v>1259</v>
      </c>
      <c r="R2180" s="1" t="s">
        <v>1259</v>
      </c>
      <c r="S2180" s="5">
        <v>10</v>
      </c>
    </row>
    <row r="2181" spans="1:19" x14ac:dyDescent="0.25">
      <c r="A2181" s="1" t="s">
        <v>1099</v>
      </c>
      <c r="B2181" s="1" t="s">
        <v>1259</v>
      </c>
      <c r="C2181" s="5">
        <v>2</v>
      </c>
      <c r="D2181" s="1" t="s">
        <v>1444</v>
      </c>
      <c r="E2181" s="1" t="s">
        <v>990</v>
      </c>
      <c r="F2181" s="5" t="s">
        <v>27</v>
      </c>
      <c r="G2181" s="5">
        <v>5</v>
      </c>
      <c r="H2181" s="5">
        <v>10</v>
      </c>
      <c r="I2181" s="5" t="b">
        <v>0</v>
      </c>
      <c r="J2181" s="1" t="s">
        <v>1270</v>
      </c>
      <c r="K2181" s="1" t="s">
        <v>32</v>
      </c>
      <c r="L2181" s="1"/>
      <c r="M2181" s="1"/>
      <c r="N2181" s="1"/>
      <c r="O2181" s="1"/>
      <c r="P2181" s="1"/>
      <c r="Q2181" s="1" t="s">
        <v>1259</v>
      </c>
      <c r="R2181" s="1" t="s">
        <v>1259</v>
      </c>
      <c r="S2181" s="5">
        <v>11</v>
      </c>
    </row>
    <row r="2182" spans="1:19" hidden="1" x14ac:dyDescent="0.25">
      <c r="A2182" s="1" t="s">
        <v>1099</v>
      </c>
      <c r="B2182" s="1" t="s">
        <v>1259</v>
      </c>
      <c r="C2182" s="5">
        <v>2</v>
      </c>
      <c r="D2182" s="1" t="s">
        <v>314</v>
      </c>
      <c r="E2182" s="1" t="s">
        <v>1266</v>
      </c>
      <c r="F2182" s="5" t="s">
        <v>27</v>
      </c>
      <c r="G2182" s="5">
        <v>45</v>
      </c>
      <c r="H2182" s="5">
        <v>50</v>
      </c>
      <c r="I2182" s="5" t="b">
        <v>0</v>
      </c>
      <c r="J2182" s="1" t="s">
        <v>1267</v>
      </c>
      <c r="K2182" s="1" t="s">
        <v>32</v>
      </c>
      <c r="L2182" s="1"/>
      <c r="M2182" s="1"/>
      <c r="N2182" s="1"/>
      <c r="O2182" s="1"/>
      <c r="P2182" s="1"/>
      <c r="Q2182" s="1" t="s">
        <v>1259</v>
      </c>
      <c r="R2182" s="1" t="s">
        <v>1259</v>
      </c>
      <c r="S2182" s="5">
        <v>14</v>
      </c>
    </row>
    <row r="2183" spans="1:19" hidden="1" x14ac:dyDescent="0.25">
      <c r="A2183" s="1" t="s">
        <v>1099</v>
      </c>
      <c r="B2183" s="1" t="s">
        <v>1259</v>
      </c>
      <c r="C2183" s="5">
        <v>3</v>
      </c>
      <c r="D2183" s="1" t="s">
        <v>11</v>
      </c>
      <c r="E2183" s="1" t="s">
        <v>1023</v>
      </c>
      <c r="F2183" s="5" t="s">
        <v>25</v>
      </c>
      <c r="G2183" s="5">
        <v>40</v>
      </c>
      <c r="H2183" s="5">
        <v>45</v>
      </c>
      <c r="I2183" s="5" t="b">
        <v>1</v>
      </c>
      <c r="J2183" s="1" t="s">
        <v>0</v>
      </c>
      <c r="K2183" s="1" t="s">
        <v>32</v>
      </c>
      <c r="L2183" s="1"/>
      <c r="M2183" s="1"/>
      <c r="N2183" s="1"/>
      <c r="O2183" s="1"/>
      <c r="P2183" s="1"/>
      <c r="Q2183" s="1" t="s">
        <v>1259</v>
      </c>
      <c r="R2183" s="1" t="s">
        <v>1259</v>
      </c>
      <c r="S2183" s="5">
        <v>1</v>
      </c>
    </row>
    <row r="2184" spans="1:19" hidden="1" x14ac:dyDescent="0.25">
      <c r="A2184" s="1" t="s">
        <v>1099</v>
      </c>
      <c r="B2184" s="1" t="s">
        <v>1259</v>
      </c>
      <c r="C2184" s="5">
        <v>3</v>
      </c>
      <c r="D2184" s="1" t="s">
        <v>1260</v>
      </c>
      <c r="E2184" s="1" t="s">
        <v>991</v>
      </c>
      <c r="F2184" s="5" t="s">
        <v>25</v>
      </c>
      <c r="G2184" s="5">
        <v>2</v>
      </c>
      <c r="H2184" s="5">
        <v>3</v>
      </c>
      <c r="I2184" s="5" t="b">
        <v>1</v>
      </c>
      <c r="J2184" s="1" t="s">
        <v>1261</v>
      </c>
      <c r="K2184" s="1" t="s">
        <v>32</v>
      </c>
      <c r="L2184" s="1"/>
      <c r="M2184" s="1"/>
      <c r="N2184" s="1"/>
      <c r="O2184" s="1"/>
      <c r="P2184" s="1"/>
      <c r="Q2184" s="1" t="s">
        <v>1259</v>
      </c>
      <c r="R2184" s="1" t="s">
        <v>1259</v>
      </c>
      <c r="S2184" s="5">
        <v>2</v>
      </c>
    </row>
    <row r="2185" spans="1:19" hidden="1" x14ac:dyDescent="0.25">
      <c r="A2185" s="1" t="s">
        <v>1099</v>
      </c>
      <c r="B2185" s="1" t="s">
        <v>1259</v>
      </c>
      <c r="C2185" s="5">
        <v>3</v>
      </c>
      <c r="D2185" s="1" t="s">
        <v>13</v>
      </c>
      <c r="E2185" s="1" t="s">
        <v>1273</v>
      </c>
      <c r="F2185" s="5" t="s">
        <v>25</v>
      </c>
      <c r="G2185" s="5">
        <v>11</v>
      </c>
      <c r="H2185" s="5">
        <v>18</v>
      </c>
      <c r="I2185" s="5" t="b">
        <v>1</v>
      </c>
      <c r="J2185" s="1" t="s">
        <v>10</v>
      </c>
      <c r="K2185" s="1" t="s">
        <v>32</v>
      </c>
      <c r="L2185" s="1"/>
      <c r="M2185" s="1"/>
      <c r="N2185" s="1"/>
      <c r="O2185" s="1"/>
      <c r="P2185" s="1"/>
      <c r="Q2185" s="1" t="s">
        <v>1259</v>
      </c>
      <c r="R2185" s="1" t="s">
        <v>1259</v>
      </c>
      <c r="S2185" s="5">
        <v>3</v>
      </c>
    </row>
    <row r="2186" spans="1:19" hidden="1" x14ac:dyDescent="0.25">
      <c r="A2186" s="1" t="s">
        <v>1099</v>
      </c>
      <c r="B2186" s="1" t="s">
        <v>1259</v>
      </c>
      <c r="C2186" s="5">
        <v>3</v>
      </c>
      <c r="D2186" s="1" t="s">
        <v>29</v>
      </c>
      <c r="E2186" s="1" t="s">
        <v>916</v>
      </c>
      <c r="F2186" s="5" t="s">
        <v>24</v>
      </c>
      <c r="G2186" s="5">
        <v>3</v>
      </c>
      <c r="H2186" s="5">
        <v>7</v>
      </c>
      <c r="I2186" s="5" t="b">
        <v>1</v>
      </c>
      <c r="J2186" s="1" t="s">
        <v>1153</v>
      </c>
      <c r="K2186" s="1" t="s">
        <v>32</v>
      </c>
      <c r="L2186" s="1"/>
      <c r="M2186" s="1"/>
      <c r="N2186" s="1"/>
      <c r="O2186" s="1"/>
      <c r="P2186" s="1"/>
      <c r="Q2186" s="1" t="s">
        <v>1259</v>
      </c>
      <c r="R2186" s="1" t="s">
        <v>1259</v>
      </c>
      <c r="S2186" s="5">
        <v>5</v>
      </c>
    </row>
    <row r="2187" spans="1:19" hidden="1" x14ac:dyDescent="0.25">
      <c r="A2187" s="1" t="s">
        <v>1099</v>
      </c>
      <c r="B2187" s="1" t="s">
        <v>1259</v>
      </c>
      <c r="C2187" s="5">
        <v>3</v>
      </c>
      <c r="D2187" s="1" t="s">
        <v>1154</v>
      </c>
      <c r="E2187" s="1" t="s">
        <v>904</v>
      </c>
      <c r="F2187" s="5" t="s">
        <v>24</v>
      </c>
      <c r="G2187" s="5">
        <v>1</v>
      </c>
      <c r="H2187" s="5">
        <v>5</v>
      </c>
      <c r="I2187" s="5" t="b">
        <v>1</v>
      </c>
      <c r="J2187" s="1" t="s">
        <v>1156</v>
      </c>
      <c r="K2187" s="1" t="s">
        <v>32</v>
      </c>
      <c r="L2187" s="1"/>
      <c r="M2187" s="1"/>
      <c r="N2187" s="1"/>
      <c r="O2187" s="1"/>
      <c r="P2187" s="1"/>
      <c r="Q2187" s="1" t="s">
        <v>1259</v>
      </c>
      <c r="R2187" s="1" t="s">
        <v>1259</v>
      </c>
      <c r="S2187" s="5">
        <v>6</v>
      </c>
    </row>
    <row r="2188" spans="1:19" hidden="1" x14ac:dyDescent="0.25">
      <c r="A2188" s="1" t="s">
        <v>1099</v>
      </c>
      <c r="B2188" s="1" t="s">
        <v>1259</v>
      </c>
      <c r="C2188" s="5">
        <v>3</v>
      </c>
      <c r="D2188" s="1" t="s">
        <v>1157</v>
      </c>
      <c r="E2188" s="1" t="s">
        <v>990</v>
      </c>
      <c r="F2188" s="5" t="s">
        <v>27</v>
      </c>
      <c r="G2188" s="5">
        <v>5</v>
      </c>
      <c r="H2188" s="5">
        <v>10</v>
      </c>
      <c r="I2188" s="5" t="b">
        <v>0</v>
      </c>
      <c r="J2188" s="1" t="s">
        <v>1269</v>
      </c>
      <c r="K2188" s="1" t="s">
        <v>32</v>
      </c>
      <c r="L2188" s="1"/>
      <c r="M2188" s="1"/>
      <c r="N2188" s="1"/>
      <c r="O2188" s="1"/>
      <c r="P2188" s="1"/>
      <c r="Q2188" s="1" t="s">
        <v>1259</v>
      </c>
      <c r="R2188" s="1" t="s">
        <v>1259</v>
      </c>
      <c r="S2188" s="5">
        <v>8</v>
      </c>
    </row>
    <row r="2189" spans="1:19" x14ac:dyDescent="0.25">
      <c r="A2189" s="1" t="s">
        <v>1099</v>
      </c>
      <c r="B2189" s="1" t="s">
        <v>1259</v>
      </c>
      <c r="C2189" s="5">
        <v>3</v>
      </c>
      <c r="D2189" s="1" t="s">
        <v>1444</v>
      </c>
      <c r="E2189" s="1" t="s">
        <v>992</v>
      </c>
      <c r="F2189" s="5" t="s">
        <v>26</v>
      </c>
      <c r="G2189" s="5">
        <v>10</v>
      </c>
      <c r="H2189" s="5">
        <v>20</v>
      </c>
      <c r="I2189" s="5" t="b">
        <v>0</v>
      </c>
      <c r="J2189" s="1" t="s">
        <v>1270</v>
      </c>
      <c r="K2189" s="1" t="s">
        <v>32</v>
      </c>
      <c r="L2189" s="1"/>
      <c r="M2189" s="1"/>
      <c r="N2189" s="1"/>
      <c r="O2189" s="1"/>
      <c r="P2189" s="1"/>
      <c r="Q2189" s="1" t="s">
        <v>1259</v>
      </c>
      <c r="R2189" s="1" t="s">
        <v>1259</v>
      </c>
      <c r="S2189" s="5">
        <v>11</v>
      </c>
    </row>
    <row r="2190" spans="1:19" hidden="1" x14ac:dyDescent="0.25">
      <c r="A2190" s="1" t="s">
        <v>1099</v>
      </c>
      <c r="B2190" s="1" t="s">
        <v>1259</v>
      </c>
      <c r="C2190" s="5">
        <v>3</v>
      </c>
      <c r="D2190" s="1" t="s">
        <v>314</v>
      </c>
      <c r="E2190" s="1" t="s">
        <v>1274</v>
      </c>
      <c r="F2190" s="5" t="s">
        <v>27</v>
      </c>
      <c r="G2190" s="5">
        <v>50</v>
      </c>
      <c r="H2190" s="5">
        <v>55</v>
      </c>
      <c r="I2190" s="5" t="b">
        <v>0</v>
      </c>
      <c r="J2190" s="1" t="s">
        <v>1267</v>
      </c>
      <c r="K2190" s="1" t="s">
        <v>32</v>
      </c>
      <c r="L2190" s="1"/>
      <c r="M2190" s="1"/>
      <c r="N2190" s="1"/>
      <c r="O2190" s="1"/>
      <c r="P2190" s="1"/>
      <c r="Q2190" s="1" t="s">
        <v>1259</v>
      </c>
      <c r="R2190" s="1" t="s">
        <v>1259</v>
      </c>
      <c r="S2190" s="5">
        <v>14</v>
      </c>
    </row>
    <row r="2191" spans="1:19" hidden="1" x14ac:dyDescent="0.25">
      <c r="A2191" s="1" t="s">
        <v>1099</v>
      </c>
      <c r="B2191" s="1" t="s">
        <v>1259</v>
      </c>
      <c r="C2191" s="5">
        <v>4</v>
      </c>
      <c r="D2191" s="1" t="s">
        <v>11</v>
      </c>
      <c r="E2191" s="1" t="s">
        <v>943</v>
      </c>
      <c r="F2191" s="5" t="s">
        <v>24</v>
      </c>
      <c r="G2191" s="5">
        <v>30</v>
      </c>
      <c r="H2191" s="5">
        <v>40</v>
      </c>
      <c r="I2191" s="5" t="b">
        <v>1</v>
      </c>
      <c r="J2191" s="1" t="s">
        <v>0</v>
      </c>
      <c r="K2191" s="1" t="s">
        <v>32</v>
      </c>
      <c r="L2191" s="1"/>
      <c r="M2191" s="1"/>
      <c r="N2191" s="1"/>
      <c r="O2191" s="1"/>
      <c r="P2191" s="1"/>
      <c r="Q2191" s="1" t="s">
        <v>1259</v>
      </c>
      <c r="R2191" s="1" t="s">
        <v>1259</v>
      </c>
      <c r="S2191" s="5">
        <v>1</v>
      </c>
    </row>
    <row r="2192" spans="1:19" hidden="1" x14ac:dyDescent="0.25">
      <c r="A2192" s="1" t="s">
        <v>1099</v>
      </c>
      <c r="B2192" s="1" t="s">
        <v>1259</v>
      </c>
      <c r="C2192" s="5">
        <v>4</v>
      </c>
      <c r="D2192" s="1" t="s">
        <v>1260</v>
      </c>
      <c r="E2192" s="1" t="s">
        <v>1275</v>
      </c>
      <c r="F2192" s="5" t="s">
        <v>25</v>
      </c>
      <c r="G2192" s="5">
        <v>-0.5</v>
      </c>
      <c r="H2192" s="5">
        <v>2</v>
      </c>
      <c r="I2192" s="5" t="b">
        <v>1</v>
      </c>
      <c r="J2192" s="1" t="s">
        <v>1261</v>
      </c>
      <c r="K2192" s="1" t="s">
        <v>32</v>
      </c>
      <c r="L2192" s="1"/>
      <c r="M2192" s="1"/>
      <c r="N2192" s="1"/>
      <c r="O2192" s="1"/>
      <c r="P2192" s="1"/>
      <c r="Q2192" s="1" t="s">
        <v>1259</v>
      </c>
      <c r="R2192" s="1" t="s">
        <v>1259</v>
      </c>
      <c r="S2192" s="5">
        <v>2</v>
      </c>
    </row>
    <row r="2193" spans="1:19" hidden="1" x14ac:dyDescent="0.25">
      <c r="A2193" s="1" t="s">
        <v>1099</v>
      </c>
      <c r="B2193" s="1" t="s">
        <v>1259</v>
      </c>
      <c r="C2193" s="5">
        <v>4</v>
      </c>
      <c r="D2193" s="1" t="s">
        <v>13</v>
      </c>
      <c r="E2193" s="1" t="s">
        <v>963</v>
      </c>
      <c r="F2193" s="5" t="s">
        <v>25</v>
      </c>
      <c r="G2193" s="5">
        <v>2</v>
      </c>
      <c r="H2193" s="5">
        <v>7</v>
      </c>
      <c r="I2193" s="5" t="b">
        <v>1</v>
      </c>
      <c r="J2193" s="1" t="s">
        <v>10</v>
      </c>
      <c r="K2193" s="1" t="s">
        <v>32</v>
      </c>
      <c r="L2193" s="1"/>
      <c r="M2193" s="1"/>
      <c r="N2193" s="1"/>
      <c r="O2193" s="1"/>
      <c r="P2193" s="1"/>
      <c r="Q2193" s="1" t="s">
        <v>1259</v>
      </c>
      <c r="R2193" s="1" t="s">
        <v>1259</v>
      </c>
      <c r="S2193" s="5">
        <v>3</v>
      </c>
    </row>
    <row r="2194" spans="1:19" hidden="1" x14ac:dyDescent="0.25">
      <c r="A2194" s="1" t="s">
        <v>1099</v>
      </c>
      <c r="B2194" s="1" t="s">
        <v>1259</v>
      </c>
      <c r="C2194" s="5">
        <v>4</v>
      </c>
      <c r="D2194" s="1" t="s">
        <v>29</v>
      </c>
      <c r="E2194" s="1" t="s">
        <v>989</v>
      </c>
      <c r="F2194" s="5" t="s">
        <v>24</v>
      </c>
      <c r="G2194" s="5">
        <v>0</v>
      </c>
      <c r="H2194" s="5">
        <v>2</v>
      </c>
      <c r="I2194" s="5" t="b">
        <v>1</v>
      </c>
      <c r="J2194" s="1" t="s">
        <v>1153</v>
      </c>
      <c r="K2194" s="1" t="s">
        <v>32</v>
      </c>
      <c r="L2194" s="1" t="s">
        <v>716</v>
      </c>
      <c r="M2194" s="1" t="s">
        <v>1170</v>
      </c>
      <c r="N2194" s="1"/>
      <c r="O2194" s="1"/>
      <c r="P2194" s="1"/>
      <c r="Q2194" s="1" t="s">
        <v>1259</v>
      </c>
      <c r="R2194" s="1" t="s">
        <v>1259</v>
      </c>
      <c r="S2194" s="5">
        <v>5</v>
      </c>
    </row>
    <row r="2195" spans="1:19" hidden="1" x14ac:dyDescent="0.25">
      <c r="A2195" s="1" t="s">
        <v>1099</v>
      </c>
      <c r="B2195" s="1" t="s">
        <v>1259</v>
      </c>
      <c r="C2195" s="5">
        <v>4</v>
      </c>
      <c r="D2195" s="1" t="s">
        <v>1157</v>
      </c>
      <c r="E2195" s="1" t="s">
        <v>998</v>
      </c>
      <c r="F2195" s="5" t="s">
        <v>26</v>
      </c>
      <c r="G2195" s="5">
        <v>15</v>
      </c>
      <c r="H2195" s="5">
        <v>25</v>
      </c>
      <c r="I2195" s="5" t="b">
        <v>0</v>
      </c>
      <c r="J2195" s="1" t="s">
        <v>1269</v>
      </c>
      <c r="K2195" s="1" t="s">
        <v>32</v>
      </c>
      <c r="L2195" s="1" t="s">
        <v>716</v>
      </c>
      <c r="M2195" s="1" t="s">
        <v>1170</v>
      </c>
      <c r="N2195" s="1"/>
      <c r="O2195" s="1"/>
      <c r="P2195" s="1"/>
      <c r="Q2195" s="1" t="s">
        <v>1259</v>
      </c>
      <c r="R2195" s="1" t="s">
        <v>1259</v>
      </c>
      <c r="S2195" s="5">
        <v>8</v>
      </c>
    </row>
    <row r="2196" spans="1:19" x14ac:dyDescent="0.25">
      <c r="A2196" s="1" t="s">
        <v>1099</v>
      </c>
      <c r="B2196" s="1" t="s">
        <v>1259</v>
      </c>
      <c r="C2196" s="5">
        <v>4</v>
      </c>
      <c r="D2196" s="1" t="s">
        <v>1444</v>
      </c>
      <c r="E2196" s="1" t="s">
        <v>925</v>
      </c>
      <c r="F2196" s="5" t="s">
        <v>26</v>
      </c>
      <c r="G2196" s="5">
        <v>30</v>
      </c>
      <c r="H2196" s="5">
        <v>40</v>
      </c>
      <c r="I2196" s="5" t="b">
        <v>0</v>
      </c>
      <c r="J2196" s="1" t="s">
        <v>1270</v>
      </c>
      <c r="K2196" s="1" t="s">
        <v>32</v>
      </c>
      <c r="L2196" s="1" t="s">
        <v>716</v>
      </c>
      <c r="M2196" s="1" t="s">
        <v>1170</v>
      </c>
      <c r="N2196" s="1"/>
      <c r="O2196" s="1"/>
      <c r="P2196" s="1"/>
      <c r="Q2196" s="1" t="s">
        <v>1259</v>
      </c>
      <c r="R2196" s="1" t="s">
        <v>1259</v>
      </c>
      <c r="S2196" s="5">
        <v>11</v>
      </c>
    </row>
    <row r="2197" spans="1:19" hidden="1" x14ac:dyDescent="0.25">
      <c r="A2197" s="1" t="s">
        <v>1099</v>
      </c>
      <c r="B2197" s="1" t="s">
        <v>1259</v>
      </c>
      <c r="C2197" s="5">
        <v>4</v>
      </c>
      <c r="D2197" s="1" t="s">
        <v>314</v>
      </c>
      <c r="E2197" s="1" t="s">
        <v>1276</v>
      </c>
      <c r="F2197" s="5" t="s">
        <v>27</v>
      </c>
      <c r="G2197" s="5">
        <v>55</v>
      </c>
      <c r="H2197" s="5">
        <v>60</v>
      </c>
      <c r="I2197" s="5" t="b">
        <v>0</v>
      </c>
      <c r="J2197" s="1" t="s">
        <v>1267</v>
      </c>
      <c r="K2197" s="1" t="s">
        <v>32</v>
      </c>
      <c r="L2197" s="1" t="s">
        <v>716</v>
      </c>
      <c r="M2197" s="1" t="s">
        <v>1170</v>
      </c>
      <c r="N2197" s="1"/>
      <c r="O2197" s="1"/>
      <c r="P2197" s="1"/>
      <c r="Q2197" s="1" t="s">
        <v>1259</v>
      </c>
      <c r="R2197" s="1" t="s">
        <v>1259</v>
      </c>
      <c r="S2197" s="5">
        <v>14</v>
      </c>
    </row>
    <row r="2198" spans="1:19" hidden="1" x14ac:dyDescent="0.25">
      <c r="A2198" s="1" t="s">
        <v>1099</v>
      </c>
      <c r="B2198" s="1" t="s">
        <v>1259</v>
      </c>
      <c r="C2198" s="5">
        <v>5</v>
      </c>
      <c r="D2198" s="1" t="s">
        <v>11</v>
      </c>
      <c r="E2198" s="1" t="s">
        <v>969</v>
      </c>
      <c r="F2198" s="5" t="s">
        <v>24</v>
      </c>
      <c r="G2198" s="5">
        <v>10</v>
      </c>
      <c r="H2198" s="5">
        <v>20</v>
      </c>
      <c r="I2198" s="5" t="b">
        <v>1</v>
      </c>
      <c r="J2198" s="1" t="s">
        <v>0</v>
      </c>
      <c r="K2198" s="1" t="s">
        <v>32</v>
      </c>
      <c r="L2198" s="1"/>
      <c r="M2198" s="1"/>
      <c r="N2198" s="1"/>
      <c r="O2198" s="1"/>
      <c r="P2198" s="1"/>
      <c r="Q2198" s="1" t="s">
        <v>1259</v>
      </c>
      <c r="R2198" s="1" t="s">
        <v>1259</v>
      </c>
      <c r="S2198" s="5">
        <v>1</v>
      </c>
    </row>
    <row r="2199" spans="1:19" hidden="1" x14ac:dyDescent="0.25">
      <c r="A2199" s="1" t="s">
        <v>1099</v>
      </c>
      <c r="B2199" s="1" t="s">
        <v>1259</v>
      </c>
      <c r="C2199" s="5">
        <v>5</v>
      </c>
      <c r="D2199" s="1" t="s">
        <v>1260</v>
      </c>
      <c r="E2199" s="1" t="s">
        <v>725</v>
      </c>
      <c r="F2199" s="5" t="s">
        <v>25</v>
      </c>
      <c r="G2199" s="5">
        <v>0</v>
      </c>
      <c r="H2199" s="5">
        <v>1</v>
      </c>
      <c r="I2199" s="5" t="b">
        <v>1</v>
      </c>
      <c r="J2199" s="1" t="s">
        <v>1261</v>
      </c>
      <c r="K2199" s="1" t="s">
        <v>32</v>
      </c>
      <c r="L2199" s="1"/>
      <c r="M2199" s="1"/>
      <c r="N2199" s="1"/>
      <c r="O2199" s="1"/>
      <c r="P2199" s="1"/>
      <c r="Q2199" s="1" t="s">
        <v>1259</v>
      </c>
      <c r="R2199" s="1" t="s">
        <v>1259</v>
      </c>
      <c r="S2199" s="5">
        <v>2</v>
      </c>
    </row>
    <row r="2200" spans="1:19" hidden="1" x14ac:dyDescent="0.25">
      <c r="A2200" s="1" t="s">
        <v>1099</v>
      </c>
      <c r="B2200" s="1" t="s">
        <v>1259</v>
      </c>
      <c r="C2200" s="5">
        <v>5</v>
      </c>
      <c r="D2200" s="1" t="s">
        <v>13</v>
      </c>
      <c r="E2200" s="1" t="s">
        <v>725</v>
      </c>
      <c r="F2200" s="5" t="s">
        <v>25</v>
      </c>
      <c r="G2200" s="5">
        <v>0</v>
      </c>
      <c r="H2200" s="5">
        <v>1</v>
      </c>
      <c r="I2200" s="5" t="b">
        <v>1</v>
      </c>
      <c r="J2200" s="1" t="s">
        <v>10</v>
      </c>
      <c r="K2200" s="1" t="s">
        <v>32</v>
      </c>
      <c r="L2200" s="1"/>
      <c r="M2200" s="1"/>
      <c r="N2200" s="1"/>
      <c r="O2200" s="1"/>
      <c r="P2200" s="1"/>
      <c r="Q2200" s="1" t="s">
        <v>1259</v>
      </c>
      <c r="R2200" s="1" t="s">
        <v>1259</v>
      </c>
      <c r="S2200" s="5">
        <v>3</v>
      </c>
    </row>
    <row r="2201" spans="1:19" hidden="1" x14ac:dyDescent="0.25">
      <c r="A2201" s="1" t="s">
        <v>1099</v>
      </c>
      <c r="B2201" s="1" t="s">
        <v>1277</v>
      </c>
      <c r="C2201" s="5">
        <v>2</v>
      </c>
      <c r="D2201" s="1" t="s">
        <v>11</v>
      </c>
      <c r="E2201" s="1" t="s">
        <v>988</v>
      </c>
      <c r="F2201" s="5" t="s">
        <v>24</v>
      </c>
      <c r="G2201" s="5">
        <v>45</v>
      </c>
      <c r="H2201" s="5">
        <v>55</v>
      </c>
      <c r="I2201" s="5" t="b">
        <v>1</v>
      </c>
      <c r="J2201" s="1" t="s">
        <v>0</v>
      </c>
      <c r="K2201" s="1" t="s">
        <v>32</v>
      </c>
      <c r="L2201" s="1"/>
      <c r="M2201" s="1"/>
      <c r="N2201" s="1"/>
      <c r="O2201" s="1"/>
      <c r="P2201" s="1"/>
      <c r="Q2201" s="1" t="s">
        <v>1277</v>
      </c>
      <c r="R2201" s="1" t="s">
        <v>1277</v>
      </c>
      <c r="S2201" s="5">
        <v>1</v>
      </c>
    </row>
    <row r="2202" spans="1:19" hidden="1" x14ac:dyDescent="0.25">
      <c r="A2202" s="1" t="s">
        <v>1099</v>
      </c>
      <c r="B2202" s="1" t="s">
        <v>1277</v>
      </c>
      <c r="C2202" s="5">
        <v>2</v>
      </c>
      <c r="D2202" s="1" t="s">
        <v>1260</v>
      </c>
      <c r="E2202" s="1" t="s">
        <v>991</v>
      </c>
      <c r="F2202" s="5" t="s">
        <v>25</v>
      </c>
      <c r="G2202" s="5">
        <v>2</v>
      </c>
      <c r="H2202" s="5">
        <v>3</v>
      </c>
      <c r="I2202" s="5" t="b">
        <v>1</v>
      </c>
      <c r="J2202" s="1" t="s">
        <v>1261</v>
      </c>
      <c r="K2202" s="1" t="s">
        <v>32</v>
      </c>
      <c r="L2202" s="1"/>
      <c r="M2202" s="1"/>
      <c r="N2202" s="1"/>
      <c r="O2202" s="1"/>
      <c r="P2202" s="1"/>
      <c r="Q2202" s="1" t="s">
        <v>1277</v>
      </c>
      <c r="R2202" s="1" t="s">
        <v>1277</v>
      </c>
      <c r="S2202" s="5">
        <v>2</v>
      </c>
    </row>
    <row r="2203" spans="1:19" hidden="1" x14ac:dyDescent="0.25">
      <c r="A2203" s="1" t="s">
        <v>1099</v>
      </c>
      <c r="B2203" s="1" t="s">
        <v>1277</v>
      </c>
      <c r="C2203" s="5">
        <v>2</v>
      </c>
      <c r="D2203" s="1" t="s">
        <v>13</v>
      </c>
      <c r="E2203" s="1" t="s">
        <v>951</v>
      </c>
      <c r="F2203" s="5" t="s">
        <v>25</v>
      </c>
      <c r="G2203" s="5">
        <v>15</v>
      </c>
      <c r="H2203" s="5">
        <v>20</v>
      </c>
      <c r="I2203" s="5" t="b">
        <v>1</v>
      </c>
      <c r="J2203" s="1" t="s">
        <v>10</v>
      </c>
      <c r="K2203" s="1" t="s">
        <v>32</v>
      </c>
      <c r="L2203" s="1"/>
      <c r="M2203" s="1"/>
      <c r="N2203" s="1"/>
      <c r="O2203" s="1"/>
      <c r="P2203" s="1"/>
      <c r="Q2203" s="1" t="s">
        <v>1277</v>
      </c>
      <c r="R2203" s="1" t="s">
        <v>1277</v>
      </c>
      <c r="S2203" s="5">
        <v>3</v>
      </c>
    </row>
    <row r="2204" spans="1:19" hidden="1" x14ac:dyDescent="0.25">
      <c r="A2204" s="1" t="s">
        <v>1099</v>
      </c>
      <c r="B2204" s="1" t="s">
        <v>1277</v>
      </c>
      <c r="C2204" s="5">
        <v>2</v>
      </c>
      <c r="D2204" s="1" t="s">
        <v>1263</v>
      </c>
      <c r="E2204" s="1" t="s">
        <v>725</v>
      </c>
      <c r="F2204" s="5" t="s">
        <v>25</v>
      </c>
      <c r="G2204" s="5">
        <v>0</v>
      </c>
      <c r="H2204" s="5">
        <v>1</v>
      </c>
      <c r="I2204" s="5" t="b">
        <v>1</v>
      </c>
      <c r="J2204" s="1" t="s">
        <v>1264</v>
      </c>
      <c r="K2204" s="1" t="s">
        <v>32</v>
      </c>
      <c r="L2204" s="1"/>
      <c r="M2204" s="1"/>
      <c r="N2204" s="1"/>
      <c r="O2204" s="1"/>
      <c r="P2204" s="1"/>
      <c r="Q2204" s="1" t="s">
        <v>1277</v>
      </c>
      <c r="R2204" s="1" t="s">
        <v>1277</v>
      </c>
      <c r="S2204" s="5">
        <v>4</v>
      </c>
    </row>
    <row r="2205" spans="1:19" hidden="1" x14ac:dyDescent="0.25">
      <c r="A2205" s="1" t="s">
        <v>1099</v>
      </c>
      <c r="B2205" s="1" t="s">
        <v>1277</v>
      </c>
      <c r="C2205" s="5">
        <v>2</v>
      </c>
      <c r="D2205" s="1" t="s">
        <v>29</v>
      </c>
      <c r="E2205" s="1" t="s">
        <v>1278</v>
      </c>
      <c r="F2205" s="5" t="s">
        <v>25</v>
      </c>
      <c r="G2205" s="5">
        <v>7</v>
      </c>
      <c r="H2205" s="5">
        <v>12</v>
      </c>
      <c r="I2205" s="5" t="b">
        <v>1</v>
      </c>
      <c r="J2205" s="1" t="s">
        <v>1153</v>
      </c>
      <c r="K2205" s="1" t="s">
        <v>32</v>
      </c>
      <c r="L2205" s="1"/>
      <c r="M2205" s="1"/>
      <c r="N2205" s="1"/>
      <c r="O2205" s="1"/>
      <c r="P2205" s="1"/>
      <c r="Q2205" s="1" t="s">
        <v>1277</v>
      </c>
      <c r="R2205" s="1" t="s">
        <v>1277</v>
      </c>
      <c r="S2205" s="5">
        <v>5</v>
      </c>
    </row>
    <row r="2206" spans="1:19" hidden="1" x14ac:dyDescent="0.25">
      <c r="A2206" s="1" t="s">
        <v>1099</v>
      </c>
      <c r="B2206" s="1" t="s">
        <v>1277</v>
      </c>
      <c r="C2206" s="5">
        <v>2</v>
      </c>
      <c r="D2206" s="1" t="s">
        <v>1154</v>
      </c>
      <c r="E2206" s="1" t="s">
        <v>1278</v>
      </c>
      <c r="F2206" s="5" t="s">
        <v>25</v>
      </c>
      <c r="G2206" s="5">
        <v>7</v>
      </c>
      <c r="H2206" s="5">
        <v>12</v>
      </c>
      <c r="I2206" s="5" t="b">
        <v>1</v>
      </c>
      <c r="J2206" s="1" t="s">
        <v>1156</v>
      </c>
      <c r="K2206" s="1" t="s">
        <v>32</v>
      </c>
      <c r="L2206" s="1"/>
      <c r="M2206" s="1"/>
      <c r="N2206" s="1"/>
      <c r="O2206" s="1"/>
      <c r="P2206" s="1"/>
      <c r="Q2206" s="1" t="s">
        <v>1277</v>
      </c>
      <c r="R2206" s="1" t="s">
        <v>1277</v>
      </c>
      <c r="S2206" s="5">
        <v>6</v>
      </c>
    </row>
    <row r="2207" spans="1:19" hidden="1" x14ac:dyDescent="0.25">
      <c r="A2207" s="1" t="s">
        <v>1099</v>
      </c>
      <c r="B2207" s="1" t="s">
        <v>1277</v>
      </c>
      <c r="C2207" s="5">
        <v>2</v>
      </c>
      <c r="D2207" s="1" t="s">
        <v>1157</v>
      </c>
      <c r="E2207" s="1" t="s">
        <v>990</v>
      </c>
      <c r="F2207" s="5" t="s">
        <v>27</v>
      </c>
      <c r="G2207" s="5">
        <v>5</v>
      </c>
      <c r="H2207" s="5">
        <v>10</v>
      </c>
      <c r="I2207" s="5" t="b">
        <v>0</v>
      </c>
      <c r="J2207" s="1" t="s">
        <v>1269</v>
      </c>
      <c r="K2207" s="1" t="s">
        <v>32</v>
      </c>
      <c r="L2207" s="1"/>
      <c r="M2207" s="1"/>
      <c r="N2207" s="1"/>
      <c r="O2207" s="1"/>
      <c r="P2207" s="1"/>
      <c r="Q2207" s="1" t="s">
        <v>1277</v>
      </c>
      <c r="R2207" s="1" t="s">
        <v>1277</v>
      </c>
      <c r="S2207" s="5">
        <v>8</v>
      </c>
    </row>
    <row r="2208" spans="1:19" hidden="1" x14ac:dyDescent="0.25">
      <c r="A2208" s="1" t="s">
        <v>1099</v>
      </c>
      <c r="B2208" s="1" t="s">
        <v>1277</v>
      </c>
      <c r="C2208" s="5">
        <v>2</v>
      </c>
      <c r="D2208" s="1" t="s">
        <v>1193</v>
      </c>
      <c r="E2208" s="1" t="s">
        <v>1271</v>
      </c>
      <c r="F2208" s="5" t="s">
        <v>27</v>
      </c>
      <c r="G2208" s="5">
        <v>0</v>
      </c>
      <c r="H2208" s="5">
        <v>1</v>
      </c>
      <c r="I2208" s="5" t="b">
        <v>0</v>
      </c>
      <c r="J2208" s="1" t="s">
        <v>1272</v>
      </c>
      <c r="K2208" s="1" t="s">
        <v>32</v>
      </c>
      <c r="L2208" s="1"/>
      <c r="M2208" s="1"/>
      <c r="N2208" s="1"/>
      <c r="O2208" s="1"/>
      <c r="P2208" s="1"/>
      <c r="Q2208" s="1" t="s">
        <v>1277</v>
      </c>
      <c r="R2208" s="1" t="s">
        <v>1277</v>
      </c>
      <c r="S2208" s="5">
        <v>10</v>
      </c>
    </row>
    <row r="2209" spans="1:19" x14ac:dyDescent="0.25">
      <c r="A2209" s="1" t="s">
        <v>1099</v>
      </c>
      <c r="B2209" s="1" t="s">
        <v>1277</v>
      </c>
      <c r="C2209" s="5">
        <v>2</v>
      </c>
      <c r="D2209" s="1" t="s">
        <v>1444</v>
      </c>
      <c r="E2209" s="1" t="s">
        <v>1280</v>
      </c>
      <c r="F2209" s="5" t="s">
        <v>27</v>
      </c>
      <c r="G2209" s="5">
        <v>4</v>
      </c>
      <c r="H2209" s="5">
        <v>7</v>
      </c>
      <c r="I2209" s="5" t="b">
        <v>0</v>
      </c>
      <c r="J2209" s="1" t="s">
        <v>1270</v>
      </c>
      <c r="K2209" s="1" t="s">
        <v>32</v>
      </c>
      <c r="L2209" s="1"/>
      <c r="M2209" s="1"/>
      <c r="N2209" s="1"/>
      <c r="O2209" s="1"/>
      <c r="P2209" s="1"/>
      <c r="Q2209" s="1" t="s">
        <v>1277</v>
      </c>
      <c r="R2209" s="1" t="s">
        <v>1277</v>
      </c>
      <c r="S2209" s="5">
        <v>11</v>
      </c>
    </row>
    <row r="2210" spans="1:19" hidden="1" x14ac:dyDescent="0.25">
      <c r="A2210" s="1" t="s">
        <v>1099</v>
      </c>
      <c r="B2210" s="1" t="s">
        <v>1277</v>
      </c>
      <c r="C2210" s="5">
        <v>2</v>
      </c>
      <c r="D2210" s="1" t="s">
        <v>314</v>
      </c>
      <c r="E2210" s="1" t="s">
        <v>1279</v>
      </c>
      <c r="F2210" s="5" t="s">
        <v>27</v>
      </c>
      <c r="G2210" s="5">
        <v>30</v>
      </c>
      <c r="H2210" s="5">
        <v>35</v>
      </c>
      <c r="I2210" s="5" t="b">
        <v>0</v>
      </c>
      <c r="J2210" s="1" t="s">
        <v>1267</v>
      </c>
      <c r="K2210" s="1" t="s">
        <v>32</v>
      </c>
      <c r="L2210" s="1"/>
      <c r="M2210" s="1"/>
      <c r="N2210" s="1"/>
      <c r="O2210" s="1"/>
      <c r="P2210" s="1"/>
      <c r="Q2210" s="1" t="s">
        <v>1277</v>
      </c>
      <c r="R2210" s="1" t="s">
        <v>1277</v>
      </c>
      <c r="S2210" s="5">
        <v>14</v>
      </c>
    </row>
    <row r="2211" spans="1:19" hidden="1" x14ac:dyDescent="0.25">
      <c r="A2211" s="1" t="s">
        <v>1099</v>
      </c>
      <c r="B2211" s="1" t="s">
        <v>1277</v>
      </c>
      <c r="C2211" s="5">
        <v>3</v>
      </c>
      <c r="D2211" s="1" t="s">
        <v>11</v>
      </c>
      <c r="E2211" s="1" t="s">
        <v>932</v>
      </c>
      <c r="F2211" s="5" t="s">
        <v>24</v>
      </c>
      <c r="G2211" s="5">
        <v>35</v>
      </c>
      <c r="H2211" s="5">
        <v>45</v>
      </c>
      <c r="I2211" s="5" t="b">
        <v>1</v>
      </c>
      <c r="J2211" s="1" t="s">
        <v>0</v>
      </c>
      <c r="K2211" s="1" t="s">
        <v>32</v>
      </c>
      <c r="L2211" s="1" t="s">
        <v>716</v>
      </c>
      <c r="M2211" s="1" t="s">
        <v>1170</v>
      </c>
      <c r="N2211" s="1"/>
      <c r="O2211" s="1"/>
      <c r="P2211" s="1"/>
      <c r="Q2211" s="1" t="s">
        <v>1277</v>
      </c>
      <c r="R2211" s="1" t="s">
        <v>1277</v>
      </c>
      <c r="S2211" s="5">
        <v>1</v>
      </c>
    </row>
    <row r="2212" spans="1:19" hidden="1" x14ac:dyDescent="0.25">
      <c r="A2212" s="1" t="s">
        <v>1099</v>
      </c>
      <c r="B2212" s="1" t="s">
        <v>1277</v>
      </c>
      <c r="C2212" s="5">
        <v>3</v>
      </c>
      <c r="D2212" s="1" t="s">
        <v>1260</v>
      </c>
      <c r="E2212" s="1" t="s">
        <v>991</v>
      </c>
      <c r="F2212" s="5" t="s">
        <v>25</v>
      </c>
      <c r="G2212" s="5">
        <v>2</v>
      </c>
      <c r="H2212" s="5">
        <v>3</v>
      </c>
      <c r="I2212" s="5" t="b">
        <v>1</v>
      </c>
      <c r="J2212" s="1" t="s">
        <v>1261</v>
      </c>
      <c r="K2212" s="1" t="s">
        <v>32</v>
      </c>
      <c r="L2212" s="1"/>
      <c r="M2212" s="1"/>
      <c r="N2212" s="1"/>
      <c r="O2212" s="1"/>
      <c r="P2212" s="1"/>
      <c r="Q2212" s="1" t="s">
        <v>1277</v>
      </c>
      <c r="R2212" s="1" t="s">
        <v>1277</v>
      </c>
      <c r="S2212" s="5">
        <v>2</v>
      </c>
    </row>
    <row r="2213" spans="1:19" hidden="1" x14ac:dyDescent="0.25">
      <c r="A2213" s="1" t="s">
        <v>1099</v>
      </c>
      <c r="B2213" s="1" t="s">
        <v>1277</v>
      </c>
      <c r="C2213" s="5">
        <v>3</v>
      </c>
      <c r="D2213" s="1" t="s">
        <v>13</v>
      </c>
      <c r="E2213" s="1" t="s">
        <v>952</v>
      </c>
      <c r="F2213" s="5" t="s">
        <v>25</v>
      </c>
      <c r="G2213" s="5">
        <v>10</v>
      </c>
      <c r="H2213" s="5">
        <v>15</v>
      </c>
      <c r="I2213" s="5" t="b">
        <v>1</v>
      </c>
      <c r="J2213" s="1" t="s">
        <v>10</v>
      </c>
      <c r="K2213" s="1" t="s">
        <v>32</v>
      </c>
      <c r="L2213" s="1"/>
      <c r="M2213" s="1"/>
      <c r="N2213" s="1"/>
      <c r="O2213" s="1"/>
      <c r="P2213" s="1"/>
      <c r="Q2213" s="1" t="s">
        <v>1277</v>
      </c>
      <c r="R2213" s="1" t="s">
        <v>1277</v>
      </c>
      <c r="S2213" s="5">
        <v>3</v>
      </c>
    </row>
    <row r="2214" spans="1:19" hidden="1" x14ac:dyDescent="0.25">
      <c r="A2214" s="1" t="s">
        <v>1099</v>
      </c>
      <c r="B2214" s="1" t="s">
        <v>1277</v>
      </c>
      <c r="C2214" s="5">
        <v>3</v>
      </c>
      <c r="D2214" s="1" t="s">
        <v>29</v>
      </c>
      <c r="E2214" s="1" t="s">
        <v>963</v>
      </c>
      <c r="F2214" s="5" t="s">
        <v>25</v>
      </c>
      <c r="G2214" s="5">
        <v>2</v>
      </c>
      <c r="H2214" s="5">
        <v>7</v>
      </c>
      <c r="I2214" s="5" t="b">
        <v>1</v>
      </c>
      <c r="J2214" s="1" t="s">
        <v>1153</v>
      </c>
      <c r="K2214" s="1" t="s">
        <v>32</v>
      </c>
      <c r="L2214" s="1"/>
      <c r="M2214" s="1"/>
      <c r="N2214" s="1"/>
      <c r="O2214" s="1"/>
      <c r="P2214" s="1"/>
      <c r="Q2214" s="1" t="s">
        <v>1277</v>
      </c>
      <c r="R2214" s="1" t="s">
        <v>1277</v>
      </c>
      <c r="S2214" s="5">
        <v>5</v>
      </c>
    </row>
    <row r="2215" spans="1:19" hidden="1" x14ac:dyDescent="0.25">
      <c r="A2215" s="1" t="s">
        <v>1099</v>
      </c>
      <c r="B2215" s="1" t="s">
        <v>1277</v>
      </c>
      <c r="C2215" s="5">
        <v>3</v>
      </c>
      <c r="D2215" s="1" t="s">
        <v>1154</v>
      </c>
      <c r="E2215" s="1" t="s">
        <v>1016</v>
      </c>
      <c r="F2215" s="5" t="s">
        <v>25</v>
      </c>
      <c r="G2215" s="5">
        <v>4</v>
      </c>
      <c r="H2215" s="5">
        <v>7</v>
      </c>
      <c r="I2215" s="5" t="b">
        <v>1</v>
      </c>
      <c r="J2215" s="1" t="s">
        <v>1156</v>
      </c>
      <c r="K2215" s="1" t="s">
        <v>32</v>
      </c>
      <c r="L2215" s="1"/>
      <c r="M2215" s="1"/>
      <c r="N2215" s="1"/>
      <c r="O2215" s="1"/>
      <c r="P2215" s="1"/>
      <c r="Q2215" s="1" t="s">
        <v>1277</v>
      </c>
      <c r="R2215" s="1" t="s">
        <v>1277</v>
      </c>
      <c r="S2215" s="5">
        <v>6</v>
      </c>
    </row>
    <row r="2216" spans="1:19" hidden="1" x14ac:dyDescent="0.25">
      <c r="A2216" s="1" t="s">
        <v>1099</v>
      </c>
      <c r="B2216" s="1" t="s">
        <v>1277</v>
      </c>
      <c r="C2216" s="5">
        <v>3</v>
      </c>
      <c r="D2216" s="1" t="s">
        <v>1157</v>
      </c>
      <c r="E2216" s="1" t="s">
        <v>992</v>
      </c>
      <c r="F2216" s="5" t="s">
        <v>26</v>
      </c>
      <c r="G2216" s="5">
        <v>10</v>
      </c>
      <c r="H2216" s="5">
        <v>20</v>
      </c>
      <c r="I2216" s="5" t="b">
        <v>0</v>
      </c>
      <c r="J2216" s="1" t="s">
        <v>1269</v>
      </c>
      <c r="K2216" s="1" t="s">
        <v>32</v>
      </c>
      <c r="L2216" s="1"/>
      <c r="M2216" s="1"/>
      <c r="N2216" s="1"/>
      <c r="O2216" s="1"/>
      <c r="P2216" s="1"/>
      <c r="Q2216" s="1" t="s">
        <v>1277</v>
      </c>
      <c r="R2216" s="1" t="s">
        <v>1277</v>
      </c>
      <c r="S2216" s="5">
        <v>8</v>
      </c>
    </row>
    <row r="2217" spans="1:19" x14ac:dyDescent="0.25">
      <c r="A2217" s="1" t="s">
        <v>1099</v>
      </c>
      <c r="B2217" s="1" t="s">
        <v>1277</v>
      </c>
      <c r="C2217" s="5">
        <v>3</v>
      </c>
      <c r="D2217" s="1" t="s">
        <v>1444</v>
      </c>
      <c r="E2217" s="1" t="s">
        <v>1281</v>
      </c>
      <c r="F2217" s="5" t="s">
        <v>27</v>
      </c>
      <c r="G2217" s="5">
        <v>7</v>
      </c>
      <c r="H2217" s="5">
        <v>12</v>
      </c>
      <c r="I2217" s="5" t="b">
        <v>0</v>
      </c>
      <c r="J2217" s="1" t="s">
        <v>1270</v>
      </c>
      <c r="K2217" s="1" t="s">
        <v>32</v>
      </c>
      <c r="L2217" s="1" t="s">
        <v>716</v>
      </c>
      <c r="M2217" s="1" t="s">
        <v>1170</v>
      </c>
      <c r="N2217" s="1"/>
      <c r="O2217" s="1"/>
      <c r="P2217" s="1"/>
      <c r="Q2217" s="1" t="s">
        <v>1277</v>
      </c>
      <c r="R2217" s="1" t="s">
        <v>1277</v>
      </c>
      <c r="S2217" s="5">
        <v>11</v>
      </c>
    </row>
    <row r="2218" spans="1:19" hidden="1" x14ac:dyDescent="0.25">
      <c r="A2218" s="1" t="s">
        <v>1099</v>
      </c>
      <c r="B2218" s="1" t="s">
        <v>1277</v>
      </c>
      <c r="C2218" s="5">
        <v>3</v>
      </c>
      <c r="D2218" s="1" t="s">
        <v>314</v>
      </c>
      <c r="E2218" s="1" t="s">
        <v>948</v>
      </c>
      <c r="F2218" s="5" t="s">
        <v>26</v>
      </c>
      <c r="G2218" s="5">
        <v>35</v>
      </c>
      <c r="H2218" s="5">
        <v>45</v>
      </c>
      <c r="I2218" s="5" t="b">
        <v>0</v>
      </c>
      <c r="J2218" s="1" t="s">
        <v>1267</v>
      </c>
      <c r="K2218" s="1" t="s">
        <v>32</v>
      </c>
      <c r="L2218" s="1" t="s">
        <v>716</v>
      </c>
      <c r="M2218" s="1" t="s">
        <v>1170</v>
      </c>
      <c r="N2218" s="1"/>
      <c r="O2218" s="1"/>
      <c r="P2218" s="1"/>
      <c r="Q2218" s="1" t="s">
        <v>1277</v>
      </c>
      <c r="R2218" s="1" t="s">
        <v>1277</v>
      </c>
      <c r="S2218" s="5">
        <v>14</v>
      </c>
    </row>
    <row r="2219" spans="1:19" hidden="1" x14ac:dyDescent="0.25">
      <c r="A2219" s="1" t="s">
        <v>1099</v>
      </c>
      <c r="B2219" s="1" t="s">
        <v>1277</v>
      </c>
      <c r="C2219" s="5">
        <v>4</v>
      </c>
      <c r="D2219" s="1" t="s">
        <v>11</v>
      </c>
      <c r="E2219" s="1" t="s">
        <v>934</v>
      </c>
      <c r="F2219" s="5" t="s">
        <v>24</v>
      </c>
      <c r="G2219" s="5">
        <v>25</v>
      </c>
      <c r="H2219" s="5">
        <v>35</v>
      </c>
      <c r="I2219" s="5" t="b">
        <v>1</v>
      </c>
      <c r="J2219" s="1" t="s">
        <v>0</v>
      </c>
      <c r="K2219" s="1" t="s">
        <v>32</v>
      </c>
      <c r="L2219" s="1"/>
      <c r="M2219" s="1"/>
      <c r="N2219" s="1"/>
      <c r="O2219" s="1"/>
      <c r="P2219" s="1"/>
      <c r="Q2219" s="1" t="s">
        <v>1277</v>
      </c>
      <c r="R2219" s="1" t="s">
        <v>1277</v>
      </c>
      <c r="S2219" s="5">
        <v>1</v>
      </c>
    </row>
    <row r="2220" spans="1:19" hidden="1" x14ac:dyDescent="0.25">
      <c r="A2220" s="1" t="s">
        <v>1099</v>
      </c>
      <c r="B2220" s="1" t="s">
        <v>1277</v>
      </c>
      <c r="C2220" s="5">
        <v>4</v>
      </c>
      <c r="D2220" s="1" t="s">
        <v>1260</v>
      </c>
      <c r="E2220" s="1" t="s">
        <v>1275</v>
      </c>
      <c r="F2220" s="5" t="s">
        <v>25</v>
      </c>
      <c r="G2220" s="5">
        <v>-0.5</v>
      </c>
      <c r="H2220" s="5">
        <v>2</v>
      </c>
      <c r="I2220" s="5" t="b">
        <v>1</v>
      </c>
      <c r="J2220" s="1" t="s">
        <v>1261</v>
      </c>
      <c r="K2220" s="1" t="s">
        <v>32</v>
      </c>
      <c r="L2220" s="1"/>
      <c r="M2220" s="1"/>
      <c r="N2220" s="1"/>
      <c r="O2220" s="1"/>
      <c r="P2220" s="1"/>
      <c r="Q2220" s="1" t="s">
        <v>1277</v>
      </c>
      <c r="R2220" s="1" t="s">
        <v>1277</v>
      </c>
      <c r="S2220" s="5">
        <v>2</v>
      </c>
    </row>
    <row r="2221" spans="1:19" hidden="1" x14ac:dyDescent="0.25">
      <c r="A2221" s="1" t="s">
        <v>1099</v>
      </c>
      <c r="B2221" s="1" t="s">
        <v>1277</v>
      </c>
      <c r="C2221" s="5">
        <v>4</v>
      </c>
      <c r="D2221" s="1" t="s">
        <v>13</v>
      </c>
      <c r="E2221" s="1" t="s">
        <v>1282</v>
      </c>
      <c r="F2221" s="5" t="s">
        <v>25</v>
      </c>
      <c r="G2221" s="5">
        <v>6</v>
      </c>
      <c r="H2221" s="5">
        <v>11</v>
      </c>
      <c r="I2221" s="5" t="b">
        <v>1</v>
      </c>
      <c r="J2221" s="1" t="s">
        <v>10</v>
      </c>
      <c r="K2221" s="1" t="s">
        <v>32</v>
      </c>
      <c r="L2221" s="1" t="s">
        <v>716</v>
      </c>
      <c r="M2221" s="1" t="s">
        <v>1170</v>
      </c>
      <c r="N2221" s="1"/>
      <c r="O2221" s="1"/>
      <c r="P2221" s="1"/>
      <c r="Q2221" s="1" t="s">
        <v>1277</v>
      </c>
      <c r="R2221" s="1" t="s">
        <v>1277</v>
      </c>
      <c r="S2221" s="5">
        <v>3</v>
      </c>
    </row>
    <row r="2222" spans="1:19" hidden="1" x14ac:dyDescent="0.25">
      <c r="A2222" s="1" t="s">
        <v>1099</v>
      </c>
      <c r="B2222" s="1" t="s">
        <v>1277</v>
      </c>
      <c r="C2222" s="5">
        <v>4</v>
      </c>
      <c r="D2222" s="1" t="s">
        <v>29</v>
      </c>
      <c r="E2222" s="1" t="s">
        <v>939</v>
      </c>
      <c r="F2222" s="5" t="s">
        <v>25</v>
      </c>
      <c r="G2222" s="5">
        <v>0</v>
      </c>
      <c r="H2222" s="5">
        <v>3</v>
      </c>
      <c r="I2222" s="5" t="b">
        <v>1</v>
      </c>
      <c r="J2222" s="1" t="s">
        <v>1153</v>
      </c>
      <c r="K2222" s="1" t="s">
        <v>32</v>
      </c>
      <c r="L2222" s="1" t="s">
        <v>716</v>
      </c>
      <c r="M2222" s="1" t="s">
        <v>1170</v>
      </c>
      <c r="N2222" s="1"/>
      <c r="O2222" s="1"/>
      <c r="P2222" s="1"/>
      <c r="Q2222" s="1" t="s">
        <v>1277</v>
      </c>
      <c r="R2222" s="1" t="s">
        <v>1277</v>
      </c>
      <c r="S2222" s="5">
        <v>5</v>
      </c>
    </row>
    <row r="2223" spans="1:19" hidden="1" x14ac:dyDescent="0.25">
      <c r="A2223" s="1" t="s">
        <v>1099</v>
      </c>
      <c r="B2223" s="1" t="s">
        <v>1277</v>
      </c>
      <c r="C2223" s="5">
        <v>4</v>
      </c>
      <c r="D2223" s="1" t="s">
        <v>1157</v>
      </c>
      <c r="E2223" s="1" t="s">
        <v>928</v>
      </c>
      <c r="F2223" s="5" t="s">
        <v>26</v>
      </c>
      <c r="G2223" s="5">
        <v>20</v>
      </c>
      <c r="H2223" s="5">
        <v>30</v>
      </c>
      <c r="I2223" s="5" t="b">
        <v>0</v>
      </c>
      <c r="J2223" s="1" t="s">
        <v>1269</v>
      </c>
      <c r="K2223" s="1" t="s">
        <v>32</v>
      </c>
      <c r="L2223" s="1" t="s">
        <v>716</v>
      </c>
      <c r="M2223" s="1" t="s">
        <v>1170</v>
      </c>
      <c r="N2223" s="1"/>
      <c r="O2223" s="1"/>
      <c r="P2223" s="1"/>
      <c r="Q2223" s="1" t="s">
        <v>1277</v>
      </c>
      <c r="R2223" s="1" t="s">
        <v>1277</v>
      </c>
      <c r="S2223" s="5">
        <v>8</v>
      </c>
    </row>
    <row r="2224" spans="1:19" x14ac:dyDescent="0.25">
      <c r="A2224" s="1" t="s">
        <v>1099</v>
      </c>
      <c r="B2224" s="1" t="s">
        <v>1277</v>
      </c>
      <c r="C2224" s="5">
        <v>4</v>
      </c>
      <c r="D2224" s="1" t="s">
        <v>1444</v>
      </c>
      <c r="E2224" s="1" t="s">
        <v>1283</v>
      </c>
      <c r="F2224" s="5" t="s">
        <v>27</v>
      </c>
      <c r="G2224" s="5">
        <v>12</v>
      </c>
      <c r="H2224" s="5">
        <v>17</v>
      </c>
      <c r="I2224" s="5" t="b">
        <v>0</v>
      </c>
      <c r="J2224" s="1" t="s">
        <v>1270</v>
      </c>
      <c r="K2224" s="1" t="s">
        <v>32</v>
      </c>
      <c r="L2224" s="1" t="s">
        <v>716</v>
      </c>
      <c r="M2224" s="1" t="s">
        <v>1170</v>
      </c>
      <c r="N2224" s="1"/>
      <c r="O2224" s="1"/>
      <c r="P2224" s="1"/>
      <c r="Q2224" s="1" t="s">
        <v>1277</v>
      </c>
      <c r="R2224" s="1" t="s">
        <v>1277</v>
      </c>
      <c r="S2224" s="5">
        <v>11</v>
      </c>
    </row>
    <row r="2225" spans="1:19" hidden="1" x14ac:dyDescent="0.25">
      <c r="A2225" s="1" t="s">
        <v>1099</v>
      </c>
      <c r="B2225" s="1" t="s">
        <v>1277</v>
      </c>
      <c r="C2225" s="5">
        <v>4</v>
      </c>
      <c r="D2225" s="1" t="s">
        <v>314</v>
      </c>
      <c r="E2225" s="1" t="s">
        <v>930</v>
      </c>
      <c r="F2225" s="5" t="s">
        <v>26</v>
      </c>
      <c r="G2225" s="5">
        <v>50</v>
      </c>
      <c r="H2225" s="5">
        <v>60</v>
      </c>
      <c r="I2225" s="5" t="b">
        <v>0</v>
      </c>
      <c r="J2225" s="1" t="s">
        <v>1267</v>
      </c>
      <c r="K2225" s="1" t="s">
        <v>32</v>
      </c>
      <c r="L2225" s="1" t="s">
        <v>716</v>
      </c>
      <c r="M2225" s="1" t="s">
        <v>1170</v>
      </c>
      <c r="N2225" s="1"/>
      <c r="O2225" s="1"/>
      <c r="P2225" s="1"/>
      <c r="Q2225" s="1" t="s">
        <v>1277</v>
      </c>
      <c r="R2225" s="1" t="s">
        <v>1277</v>
      </c>
      <c r="S2225" s="5">
        <v>14</v>
      </c>
    </row>
    <row r="2226" spans="1:19" hidden="1" x14ac:dyDescent="0.25">
      <c r="A2226" s="1" t="s">
        <v>1099</v>
      </c>
      <c r="B2226" s="1" t="s">
        <v>1277</v>
      </c>
      <c r="C2226" s="5">
        <v>5</v>
      </c>
      <c r="D2226" s="1" t="s">
        <v>11</v>
      </c>
      <c r="E2226" s="1" t="s">
        <v>952</v>
      </c>
      <c r="F2226" s="5" t="s">
        <v>25</v>
      </c>
      <c r="G2226" s="5">
        <v>10</v>
      </c>
      <c r="H2226" s="5">
        <v>15</v>
      </c>
      <c r="I2226" s="5" t="b">
        <v>1</v>
      </c>
      <c r="J2226" s="1" t="s">
        <v>0</v>
      </c>
      <c r="K2226" s="1" t="s">
        <v>32</v>
      </c>
      <c r="L2226" s="1"/>
      <c r="M2226" s="1"/>
      <c r="N2226" s="1"/>
      <c r="O2226" s="1"/>
      <c r="P2226" s="1"/>
      <c r="Q2226" s="1" t="s">
        <v>1277</v>
      </c>
      <c r="R2226" s="1" t="s">
        <v>1277</v>
      </c>
      <c r="S2226" s="5">
        <v>1</v>
      </c>
    </row>
    <row r="2227" spans="1:19" hidden="1" x14ac:dyDescent="0.25">
      <c r="A2227" s="1" t="s">
        <v>1099</v>
      </c>
      <c r="B2227" s="1" t="s">
        <v>1277</v>
      </c>
      <c r="C2227" s="5">
        <v>5</v>
      </c>
      <c r="D2227" s="1" t="s">
        <v>1260</v>
      </c>
      <c r="E2227" s="1" t="s">
        <v>725</v>
      </c>
      <c r="F2227" s="5" t="s">
        <v>25</v>
      </c>
      <c r="G2227" s="5">
        <v>0</v>
      </c>
      <c r="H2227" s="5">
        <v>1</v>
      </c>
      <c r="I2227" s="5" t="b">
        <v>1</v>
      </c>
      <c r="J2227" s="1" t="s">
        <v>1261</v>
      </c>
      <c r="K2227" s="1" t="s">
        <v>32</v>
      </c>
      <c r="L2227" s="1"/>
      <c r="M2227" s="1"/>
      <c r="N2227" s="1"/>
      <c r="O2227" s="1"/>
      <c r="P2227" s="1"/>
      <c r="Q2227" s="1" t="s">
        <v>1277</v>
      </c>
      <c r="R2227" s="1" t="s">
        <v>1277</v>
      </c>
      <c r="S2227" s="5">
        <v>2</v>
      </c>
    </row>
    <row r="2228" spans="1:19" hidden="1" x14ac:dyDescent="0.25">
      <c r="A2228" s="1" t="s">
        <v>1099</v>
      </c>
      <c r="B2228" s="1" t="s">
        <v>1277</v>
      </c>
      <c r="C2228" s="5">
        <v>5</v>
      </c>
      <c r="D2228" s="1" t="s">
        <v>13</v>
      </c>
      <c r="E2228" s="1" t="s">
        <v>989</v>
      </c>
      <c r="F2228" s="5" t="s">
        <v>24</v>
      </c>
      <c r="G2228" s="5">
        <v>0</v>
      </c>
      <c r="H2228" s="5">
        <v>2</v>
      </c>
      <c r="I2228" s="5" t="b">
        <v>1</v>
      </c>
      <c r="J2228" s="1" t="s">
        <v>10</v>
      </c>
      <c r="K2228" s="1" t="s">
        <v>32</v>
      </c>
      <c r="L2228" s="1"/>
      <c r="M2228" s="1"/>
      <c r="N2228" s="1"/>
      <c r="O2228" s="1"/>
      <c r="P2228" s="1"/>
      <c r="Q2228" s="1" t="s">
        <v>1277</v>
      </c>
      <c r="R2228" s="1" t="s">
        <v>1277</v>
      </c>
      <c r="S2228" s="5">
        <v>3</v>
      </c>
    </row>
    <row r="2229" spans="1:19" hidden="1" x14ac:dyDescent="0.25">
      <c r="A2229" t="s">
        <v>981</v>
      </c>
      <c r="B2229" t="s">
        <v>1353</v>
      </c>
      <c r="C2229" s="5">
        <v>2</v>
      </c>
      <c r="D2229" t="s">
        <v>11</v>
      </c>
      <c r="E2229" t="s">
        <v>1022</v>
      </c>
      <c r="F2229" t="s">
        <v>25</v>
      </c>
      <c r="G2229">
        <v>45</v>
      </c>
      <c r="H2229">
        <v>50</v>
      </c>
      <c r="I2229" t="b">
        <v>1</v>
      </c>
      <c r="J2229" t="s">
        <v>0</v>
      </c>
      <c r="K2229" t="s">
        <v>32</v>
      </c>
      <c r="Q2229" t="s">
        <v>1353</v>
      </c>
      <c r="R2229" t="s">
        <v>1353</v>
      </c>
      <c r="S2229">
        <v>1</v>
      </c>
    </row>
    <row r="2230" spans="1:19" hidden="1" x14ac:dyDescent="0.25">
      <c r="A2230" t="s">
        <v>981</v>
      </c>
      <c r="B2230" t="s">
        <v>1353</v>
      </c>
      <c r="C2230" s="5">
        <v>2</v>
      </c>
      <c r="D2230" t="s">
        <v>12</v>
      </c>
      <c r="E2230" t="s">
        <v>1354</v>
      </c>
      <c r="F2230" t="s">
        <v>24</v>
      </c>
      <c r="G2230">
        <v>190</v>
      </c>
      <c r="H2230">
        <v>200</v>
      </c>
      <c r="I2230" t="b">
        <v>1</v>
      </c>
      <c r="J2230" t="s">
        <v>7</v>
      </c>
      <c r="K2230" t="s">
        <v>32</v>
      </c>
      <c r="Q2230" t="s">
        <v>1353</v>
      </c>
      <c r="R2230" t="s">
        <v>1353</v>
      </c>
      <c r="S2230">
        <v>18</v>
      </c>
    </row>
    <row r="2231" spans="1:19" hidden="1" x14ac:dyDescent="0.25">
      <c r="A2231" t="s">
        <v>981</v>
      </c>
      <c r="B2231" t="s">
        <v>1353</v>
      </c>
      <c r="C2231" s="5">
        <v>2</v>
      </c>
      <c r="D2231" t="s">
        <v>1260</v>
      </c>
      <c r="E2231" t="s">
        <v>991</v>
      </c>
      <c r="F2231" t="s">
        <v>25</v>
      </c>
      <c r="G2231">
        <v>2</v>
      </c>
      <c r="H2231">
        <v>3</v>
      </c>
      <c r="I2231" t="b">
        <v>1</v>
      </c>
      <c r="J2231" t="s">
        <v>1355</v>
      </c>
      <c r="K2231" t="s">
        <v>32</v>
      </c>
      <c r="Q2231" t="s">
        <v>1353</v>
      </c>
      <c r="R2231" t="s">
        <v>1353</v>
      </c>
      <c r="S2231">
        <v>20</v>
      </c>
    </row>
    <row r="2232" spans="1:19" hidden="1" x14ac:dyDescent="0.25">
      <c r="A2232" t="s">
        <v>981</v>
      </c>
      <c r="B2232" t="s">
        <v>1353</v>
      </c>
      <c r="C2232" s="5">
        <v>2</v>
      </c>
      <c r="D2232" t="s">
        <v>13</v>
      </c>
      <c r="E2232" t="s">
        <v>951</v>
      </c>
      <c r="F2232" t="s">
        <v>25</v>
      </c>
      <c r="G2232">
        <v>15</v>
      </c>
      <c r="H2232">
        <v>20</v>
      </c>
      <c r="I2232" t="b">
        <v>1</v>
      </c>
      <c r="J2232" t="s">
        <v>1356</v>
      </c>
      <c r="K2232" t="s">
        <v>32</v>
      </c>
      <c r="Q2232" t="s">
        <v>1353</v>
      </c>
      <c r="R2232" t="s">
        <v>1353</v>
      </c>
      <c r="S2232">
        <v>8</v>
      </c>
    </row>
    <row r="2233" spans="1:19" hidden="1" x14ac:dyDescent="0.25">
      <c r="A2233" t="s">
        <v>981</v>
      </c>
      <c r="B2233" t="s">
        <v>1353</v>
      </c>
      <c r="C2233" s="5">
        <v>2</v>
      </c>
      <c r="D2233" t="s">
        <v>903</v>
      </c>
      <c r="E2233" t="s">
        <v>1015</v>
      </c>
      <c r="F2233" t="s">
        <v>25</v>
      </c>
      <c r="G2233">
        <v>3</v>
      </c>
      <c r="H2233">
        <v>6</v>
      </c>
      <c r="I2233" t="b">
        <v>1</v>
      </c>
      <c r="J2233" t="s">
        <v>1357</v>
      </c>
      <c r="K2233" t="s">
        <v>32</v>
      </c>
      <c r="Q2233" t="s">
        <v>1353</v>
      </c>
      <c r="R2233" t="s">
        <v>1353</v>
      </c>
      <c r="S2233">
        <v>10</v>
      </c>
    </row>
    <row r="2234" spans="1:19" hidden="1" x14ac:dyDescent="0.25">
      <c r="A2234" t="s">
        <v>981</v>
      </c>
      <c r="B2234" t="s">
        <v>1353</v>
      </c>
      <c r="C2234" s="5">
        <v>2</v>
      </c>
      <c r="D2234" t="s">
        <v>983</v>
      </c>
      <c r="E2234" t="s">
        <v>1358</v>
      </c>
      <c r="F2234" t="s">
        <v>24</v>
      </c>
      <c r="G2234">
        <v>2</v>
      </c>
      <c r="H2234">
        <v>4</v>
      </c>
      <c r="I2234" t="b">
        <v>1</v>
      </c>
      <c r="J2234" t="s">
        <v>1359</v>
      </c>
      <c r="K2234" t="s">
        <v>32</v>
      </c>
      <c r="Q2234" t="s">
        <v>1353</v>
      </c>
      <c r="R2234" t="s">
        <v>1353</v>
      </c>
      <c r="S2234">
        <v>9</v>
      </c>
    </row>
    <row r="2235" spans="1:19" hidden="1" x14ac:dyDescent="0.25">
      <c r="A2235" t="s">
        <v>981</v>
      </c>
      <c r="B2235" t="s">
        <v>1353</v>
      </c>
      <c r="C2235" s="5">
        <v>2</v>
      </c>
      <c r="D2235" t="s">
        <v>912</v>
      </c>
      <c r="E2235" t="s">
        <v>1360</v>
      </c>
      <c r="F2235" t="s">
        <v>25</v>
      </c>
      <c r="G2235">
        <v>6</v>
      </c>
      <c r="H2235">
        <v>9</v>
      </c>
      <c r="I2235" t="b">
        <v>1</v>
      </c>
      <c r="J2235" t="s">
        <v>1361</v>
      </c>
      <c r="K2235" t="s">
        <v>32</v>
      </c>
      <c r="Q2235" t="s">
        <v>1353</v>
      </c>
      <c r="R2235" t="s">
        <v>1353</v>
      </c>
      <c r="S2235">
        <v>12</v>
      </c>
    </row>
    <row r="2236" spans="1:19" hidden="1" x14ac:dyDescent="0.25">
      <c r="A2236" t="s">
        <v>981</v>
      </c>
      <c r="B2236" t="s">
        <v>1353</v>
      </c>
      <c r="C2236" s="5">
        <v>2</v>
      </c>
      <c r="D2236" t="s">
        <v>918</v>
      </c>
      <c r="E2236" t="s">
        <v>1015</v>
      </c>
      <c r="F2236" t="s">
        <v>25</v>
      </c>
      <c r="G2236">
        <v>3</v>
      </c>
      <c r="H2236">
        <v>6</v>
      </c>
      <c r="I2236" t="b">
        <v>1</v>
      </c>
      <c r="J2236" t="s">
        <v>1362</v>
      </c>
      <c r="K2236" t="s">
        <v>32</v>
      </c>
      <c r="Q2236" t="s">
        <v>1353</v>
      </c>
      <c r="R2236" t="s">
        <v>1353</v>
      </c>
      <c r="S2236">
        <v>13</v>
      </c>
    </row>
    <row r="2237" spans="1:19" hidden="1" x14ac:dyDescent="0.25">
      <c r="A2237" t="s">
        <v>981</v>
      </c>
      <c r="B2237" t="s">
        <v>1353</v>
      </c>
      <c r="C2237" s="5">
        <v>2</v>
      </c>
      <c r="D2237" t="s">
        <v>924</v>
      </c>
      <c r="E2237" t="s">
        <v>925</v>
      </c>
      <c r="F2237" t="s">
        <v>26</v>
      </c>
      <c r="G2237">
        <v>30</v>
      </c>
      <c r="H2237">
        <v>40</v>
      </c>
      <c r="I2237" t="b">
        <v>0</v>
      </c>
      <c r="J2237" t="s">
        <v>1363</v>
      </c>
      <c r="K2237" t="s">
        <v>32</v>
      </c>
      <c r="Q2237" t="s">
        <v>1353</v>
      </c>
      <c r="R2237" t="s">
        <v>1353</v>
      </c>
      <c r="S2237">
        <v>4</v>
      </c>
    </row>
    <row r="2238" spans="1:19" hidden="1" x14ac:dyDescent="0.25">
      <c r="A2238" t="s">
        <v>981</v>
      </c>
      <c r="B2238" t="s">
        <v>1353</v>
      </c>
      <c r="C2238" s="5">
        <v>2</v>
      </c>
      <c r="D2238" t="s">
        <v>311</v>
      </c>
      <c r="E2238" t="s">
        <v>974</v>
      </c>
      <c r="F2238" t="s">
        <v>27</v>
      </c>
      <c r="G2238">
        <v>20</v>
      </c>
      <c r="H2238">
        <v>25</v>
      </c>
      <c r="I2238" t="b">
        <v>0</v>
      </c>
      <c r="J2238" t="s">
        <v>1290</v>
      </c>
      <c r="K2238" t="s">
        <v>32</v>
      </c>
      <c r="Q2238" t="s">
        <v>1353</v>
      </c>
      <c r="R2238" t="s">
        <v>1353</v>
      </c>
      <c r="S2238">
        <v>3</v>
      </c>
    </row>
    <row r="2239" spans="1:19" hidden="1" x14ac:dyDescent="0.25">
      <c r="A2239" t="s">
        <v>981</v>
      </c>
      <c r="B2239" t="s">
        <v>1353</v>
      </c>
      <c r="C2239" s="5">
        <v>2</v>
      </c>
      <c r="D2239" t="s">
        <v>407</v>
      </c>
      <c r="E2239" t="s">
        <v>1364</v>
      </c>
      <c r="F2239" t="s">
        <v>26</v>
      </c>
      <c r="G2239">
        <v>0</v>
      </c>
      <c r="H2239">
        <v>2</v>
      </c>
      <c r="I2239" t="b">
        <v>0</v>
      </c>
      <c r="J2239" t="s">
        <v>1365</v>
      </c>
      <c r="K2239" t="s">
        <v>32</v>
      </c>
      <c r="Q2239" t="s">
        <v>1353</v>
      </c>
      <c r="R2239" t="s">
        <v>1353</v>
      </c>
      <c r="S2239">
        <v>2</v>
      </c>
    </row>
    <row r="2240" spans="1:19" hidden="1" x14ac:dyDescent="0.25">
      <c r="A2240" t="s">
        <v>981</v>
      </c>
      <c r="B2240" t="s">
        <v>1353</v>
      </c>
      <c r="C2240" s="5">
        <v>2</v>
      </c>
      <c r="D2240" t="s">
        <v>936</v>
      </c>
      <c r="E2240" t="s">
        <v>950</v>
      </c>
      <c r="F2240" t="s">
        <v>25</v>
      </c>
      <c r="G2240">
        <v>25</v>
      </c>
      <c r="H2240">
        <v>30</v>
      </c>
      <c r="I2240" t="b">
        <v>1</v>
      </c>
      <c r="J2240" t="s">
        <v>1366</v>
      </c>
      <c r="K2240" t="s">
        <v>32</v>
      </c>
      <c r="Q2240" t="s">
        <v>1353</v>
      </c>
      <c r="R2240" t="s">
        <v>1353</v>
      </c>
      <c r="S2240">
        <v>17</v>
      </c>
    </row>
    <row r="2241" spans="1:19" hidden="1" x14ac:dyDescent="0.25">
      <c r="A2241" t="s">
        <v>981</v>
      </c>
      <c r="B2241" t="s">
        <v>1353</v>
      </c>
      <c r="C2241" s="5">
        <v>2</v>
      </c>
      <c r="D2241" t="s">
        <v>1367</v>
      </c>
      <c r="E2241" t="s">
        <v>1271</v>
      </c>
      <c r="F2241" t="s">
        <v>27</v>
      </c>
      <c r="G2241">
        <v>0</v>
      </c>
      <c r="H2241">
        <v>1</v>
      </c>
      <c r="I2241" t="b">
        <v>0</v>
      </c>
      <c r="J2241" t="s">
        <v>1368</v>
      </c>
      <c r="K2241" t="s">
        <v>32</v>
      </c>
      <c r="Q2241" t="s">
        <v>1353</v>
      </c>
      <c r="R2241" t="s">
        <v>1353</v>
      </c>
      <c r="S2241">
        <v>11</v>
      </c>
    </row>
    <row r="2242" spans="1:19" hidden="1" x14ac:dyDescent="0.25">
      <c r="A2242" t="s">
        <v>981</v>
      </c>
      <c r="B2242" t="s">
        <v>1353</v>
      </c>
      <c r="C2242" s="5">
        <v>3</v>
      </c>
      <c r="D2242" t="s">
        <v>1260</v>
      </c>
      <c r="E2242" t="s">
        <v>1131</v>
      </c>
      <c r="F2242" t="s">
        <v>25</v>
      </c>
      <c r="G2242">
        <v>1</v>
      </c>
      <c r="H2242">
        <v>2</v>
      </c>
      <c r="I2242" t="b">
        <v>1</v>
      </c>
      <c r="J2242" t="s">
        <v>1355</v>
      </c>
      <c r="K2242" t="s">
        <v>32</v>
      </c>
      <c r="Q2242" t="s">
        <v>1353</v>
      </c>
      <c r="R2242" t="s">
        <v>1353</v>
      </c>
      <c r="S2242">
        <v>20</v>
      </c>
    </row>
    <row r="2243" spans="1:19" hidden="1" x14ac:dyDescent="0.25">
      <c r="A2243" t="s">
        <v>981</v>
      </c>
      <c r="B2243" t="s">
        <v>1353</v>
      </c>
      <c r="C2243" s="5">
        <v>3</v>
      </c>
      <c r="D2243" t="s">
        <v>13</v>
      </c>
      <c r="E2243" t="s">
        <v>952</v>
      </c>
      <c r="F2243" t="s">
        <v>25</v>
      </c>
      <c r="G2243">
        <v>10</v>
      </c>
      <c r="H2243">
        <v>15</v>
      </c>
      <c r="I2243" t="b">
        <v>1</v>
      </c>
      <c r="J2243" t="s">
        <v>1356</v>
      </c>
      <c r="K2243" t="s">
        <v>32</v>
      </c>
      <c r="Q2243" t="s">
        <v>1353</v>
      </c>
      <c r="R2243" t="s">
        <v>1353</v>
      </c>
      <c r="S2243">
        <v>8</v>
      </c>
    </row>
    <row r="2244" spans="1:19" hidden="1" x14ac:dyDescent="0.25">
      <c r="A2244" t="s">
        <v>981</v>
      </c>
      <c r="B2244" t="s">
        <v>1353</v>
      </c>
      <c r="C2244" s="5">
        <v>3</v>
      </c>
      <c r="D2244" t="s">
        <v>903</v>
      </c>
      <c r="E2244" t="s">
        <v>939</v>
      </c>
      <c r="F2244" t="s">
        <v>25</v>
      </c>
      <c r="G2244">
        <v>0</v>
      </c>
      <c r="H2244">
        <v>3</v>
      </c>
      <c r="I2244" t="b">
        <v>1</v>
      </c>
      <c r="J2244" t="s">
        <v>1357</v>
      </c>
      <c r="K2244" t="s">
        <v>32</v>
      </c>
      <c r="Q2244" t="s">
        <v>1353</v>
      </c>
      <c r="R2244" t="s">
        <v>1353</v>
      </c>
      <c r="S2244">
        <v>10</v>
      </c>
    </row>
    <row r="2245" spans="1:19" hidden="1" x14ac:dyDescent="0.25">
      <c r="A2245" t="s">
        <v>981</v>
      </c>
      <c r="B2245" t="s">
        <v>1353</v>
      </c>
      <c r="C2245" s="5">
        <v>3</v>
      </c>
      <c r="D2245" t="s">
        <v>983</v>
      </c>
      <c r="E2245" t="s">
        <v>989</v>
      </c>
      <c r="F2245" t="s">
        <v>24</v>
      </c>
      <c r="G2245">
        <v>0</v>
      </c>
      <c r="H2245">
        <v>2</v>
      </c>
      <c r="I2245" t="b">
        <v>1</v>
      </c>
      <c r="J2245" t="s">
        <v>1359</v>
      </c>
      <c r="K2245" t="s">
        <v>32</v>
      </c>
      <c r="Q2245" t="s">
        <v>1353</v>
      </c>
      <c r="R2245" t="s">
        <v>1353</v>
      </c>
      <c r="S2245">
        <v>9</v>
      </c>
    </row>
    <row r="2246" spans="1:19" hidden="1" x14ac:dyDescent="0.25">
      <c r="A2246" t="s">
        <v>981</v>
      </c>
      <c r="B2246" t="s">
        <v>1353</v>
      </c>
      <c r="C2246" s="5">
        <v>3</v>
      </c>
      <c r="D2246" t="s">
        <v>912</v>
      </c>
      <c r="E2246" t="s">
        <v>1015</v>
      </c>
      <c r="F2246" t="s">
        <v>25</v>
      </c>
      <c r="G2246">
        <v>3</v>
      </c>
      <c r="H2246">
        <v>6</v>
      </c>
      <c r="I2246" t="b">
        <v>1</v>
      </c>
      <c r="J2246" t="s">
        <v>1361</v>
      </c>
      <c r="K2246" t="s">
        <v>32</v>
      </c>
      <c r="Q2246" t="s">
        <v>1353</v>
      </c>
      <c r="R2246" t="s">
        <v>1353</v>
      </c>
      <c r="S2246">
        <v>12</v>
      </c>
    </row>
    <row r="2247" spans="1:19" hidden="1" x14ac:dyDescent="0.25">
      <c r="A2247" t="s">
        <v>981</v>
      </c>
      <c r="B2247" t="s">
        <v>1353</v>
      </c>
      <c r="C2247" s="5">
        <v>3</v>
      </c>
      <c r="D2247" t="s">
        <v>918</v>
      </c>
      <c r="E2247" t="s">
        <v>939</v>
      </c>
      <c r="F2247" t="s">
        <v>25</v>
      </c>
      <c r="G2247">
        <v>0</v>
      </c>
      <c r="H2247">
        <v>3</v>
      </c>
      <c r="I2247" t="b">
        <v>1</v>
      </c>
      <c r="J2247" t="s">
        <v>1362</v>
      </c>
      <c r="K2247" t="s">
        <v>32</v>
      </c>
      <c r="Q2247" t="s">
        <v>1353</v>
      </c>
      <c r="R2247" t="s">
        <v>1353</v>
      </c>
      <c r="S2247">
        <v>13</v>
      </c>
    </row>
    <row r="2248" spans="1:19" hidden="1" x14ac:dyDescent="0.25">
      <c r="A2248" t="s">
        <v>981</v>
      </c>
      <c r="B2248" t="s">
        <v>1353</v>
      </c>
      <c r="C2248" s="5">
        <v>3</v>
      </c>
      <c r="D2248" t="s">
        <v>407</v>
      </c>
      <c r="E2248" t="s">
        <v>1280</v>
      </c>
      <c r="F2248" t="s">
        <v>27</v>
      </c>
      <c r="G2248">
        <v>4</v>
      </c>
      <c r="H2248">
        <v>7</v>
      </c>
      <c r="I2248" t="b">
        <v>0</v>
      </c>
      <c r="J2248" t="s">
        <v>1365</v>
      </c>
      <c r="K2248" t="s">
        <v>32</v>
      </c>
      <c r="Q2248" t="s">
        <v>1353</v>
      </c>
      <c r="R2248" t="s">
        <v>1353</v>
      </c>
      <c r="S2248">
        <v>2</v>
      </c>
    </row>
    <row r="2249" spans="1:19" hidden="1" x14ac:dyDescent="0.25">
      <c r="A2249" t="s">
        <v>981</v>
      </c>
      <c r="B2249" t="s">
        <v>1353</v>
      </c>
      <c r="C2249" s="5">
        <v>3</v>
      </c>
      <c r="D2249" t="s">
        <v>11</v>
      </c>
      <c r="E2249" t="s">
        <v>932</v>
      </c>
      <c r="F2249" t="s">
        <v>24</v>
      </c>
      <c r="G2249">
        <v>35</v>
      </c>
      <c r="H2249">
        <v>45</v>
      </c>
      <c r="I2249" t="b">
        <v>1</v>
      </c>
      <c r="J2249" t="s">
        <v>0</v>
      </c>
      <c r="K2249" t="s">
        <v>32</v>
      </c>
      <c r="L2249" t="s">
        <v>716</v>
      </c>
      <c r="M2249" t="s">
        <v>1170</v>
      </c>
      <c r="Q2249" t="s">
        <v>1353</v>
      </c>
      <c r="R2249" t="s">
        <v>1353</v>
      </c>
      <c r="S2249">
        <v>1</v>
      </c>
    </row>
    <row r="2250" spans="1:19" hidden="1" x14ac:dyDescent="0.25">
      <c r="A2250" t="s">
        <v>981</v>
      </c>
      <c r="B2250" t="s">
        <v>1353</v>
      </c>
      <c r="C2250" s="5">
        <v>3</v>
      </c>
      <c r="D2250" t="s">
        <v>12</v>
      </c>
      <c r="E2250" t="s">
        <v>1354</v>
      </c>
      <c r="F2250" t="s">
        <v>24</v>
      </c>
      <c r="G2250">
        <v>190</v>
      </c>
      <c r="H2250">
        <v>200</v>
      </c>
      <c r="I2250" t="b">
        <v>1</v>
      </c>
      <c r="J2250" t="s">
        <v>7</v>
      </c>
      <c r="K2250" t="s">
        <v>32</v>
      </c>
      <c r="L2250" t="s">
        <v>716</v>
      </c>
      <c r="M2250" t="s">
        <v>1170</v>
      </c>
      <c r="Q2250" t="s">
        <v>1353</v>
      </c>
      <c r="R2250" t="s">
        <v>1353</v>
      </c>
      <c r="S2250">
        <v>18</v>
      </c>
    </row>
    <row r="2251" spans="1:19" hidden="1" x14ac:dyDescent="0.25">
      <c r="A2251" t="s">
        <v>981</v>
      </c>
      <c r="B2251" t="s">
        <v>1353</v>
      </c>
      <c r="C2251" s="5">
        <v>3</v>
      </c>
      <c r="D2251" t="s">
        <v>311</v>
      </c>
      <c r="E2251" t="s">
        <v>1345</v>
      </c>
      <c r="F2251" t="s">
        <v>27</v>
      </c>
      <c r="G2251">
        <v>25</v>
      </c>
      <c r="H2251">
        <v>30</v>
      </c>
      <c r="I2251" t="b">
        <v>0</v>
      </c>
      <c r="J2251" t="s">
        <v>1290</v>
      </c>
      <c r="K2251" t="s">
        <v>32</v>
      </c>
      <c r="L2251" t="s">
        <v>716</v>
      </c>
      <c r="M2251" t="s">
        <v>1170</v>
      </c>
      <c r="Q2251" t="s">
        <v>1353</v>
      </c>
      <c r="R2251" t="s">
        <v>1353</v>
      </c>
      <c r="S2251">
        <v>3</v>
      </c>
    </row>
    <row r="2252" spans="1:19" hidden="1" x14ac:dyDescent="0.25">
      <c r="A2252" t="s">
        <v>981</v>
      </c>
      <c r="B2252" t="s">
        <v>1353</v>
      </c>
      <c r="C2252" s="5">
        <v>3</v>
      </c>
      <c r="D2252" t="s">
        <v>924</v>
      </c>
      <c r="E2252" t="s">
        <v>1430</v>
      </c>
      <c r="F2252" t="s">
        <v>27</v>
      </c>
      <c r="G2252">
        <v>40</v>
      </c>
      <c r="H2252">
        <v>50</v>
      </c>
      <c r="I2252" t="b">
        <v>0</v>
      </c>
      <c r="J2252" t="s">
        <v>1363</v>
      </c>
      <c r="K2252" t="s">
        <v>32</v>
      </c>
      <c r="L2252" t="s">
        <v>716</v>
      </c>
      <c r="M2252" t="s">
        <v>1170</v>
      </c>
      <c r="Q2252" t="s">
        <v>1353</v>
      </c>
      <c r="R2252" t="s">
        <v>1353</v>
      </c>
      <c r="S2252">
        <v>4</v>
      </c>
    </row>
    <row r="2253" spans="1:19" hidden="1" x14ac:dyDescent="0.25">
      <c r="A2253" t="s">
        <v>981</v>
      </c>
      <c r="B2253" t="s">
        <v>1353</v>
      </c>
      <c r="C2253" s="5">
        <v>3</v>
      </c>
      <c r="D2253" t="s">
        <v>936</v>
      </c>
      <c r="E2253" t="s">
        <v>979</v>
      </c>
      <c r="F2253" t="s">
        <v>25</v>
      </c>
      <c r="G2253">
        <v>20</v>
      </c>
      <c r="H2253">
        <v>25</v>
      </c>
      <c r="I2253" t="b">
        <v>1</v>
      </c>
      <c r="J2253" t="s">
        <v>1366</v>
      </c>
      <c r="K2253" t="s">
        <v>32</v>
      </c>
      <c r="L2253" t="s">
        <v>716</v>
      </c>
      <c r="M2253" t="s">
        <v>1170</v>
      </c>
      <c r="Q2253" t="s">
        <v>1353</v>
      </c>
      <c r="R2253" t="s">
        <v>1353</v>
      </c>
      <c r="S2253">
        <v>17</v>
      </c>
    </row>
    <row r="2254" spans="1:19" hidden="1" x14ac:dyDescent="0.25">
      <c r="A2254" t="s">
        <v>981</v>
      </c>
      <c r="B2254" t="s">
        <v>1353</v>
      </c>
      <c r="C2254" s="5">
        <v>4</v>
      </c>
      <c r="D2254" t="s">
        <v>1260</v>
      </c>
      <c r="E2254" t="s">
        <v>1275</v>
      </c>
      <c r="F2254" t="s">
        <v>25</v>
      </c>
      <c r="G2254">
        <v>-0.5</v>
      </c>
      <c r="H2254">
        <v>2</v>
      </c>
      <c r="I2254" t="b">
        <v>1</v>
      </c>
      <c r="J2254" t="s">
        <v>1355</v>
      </c>
      <c r="K2254" t="s">
        <v>32</v>
      </c>
      <c r="Q2254" t="s">
        <v>1353</v>
      </c>
      <c r="R2254" t="s">
        <v>1353</v>
      </c>
      <c r="S2254">
        <v>20</v>
      </c>
    </row>
    <row r="2255" spans="1:19" hidden="1" x14ac:dyDescent="0.25">
      <c r="A2255" t="s">
        <v>981</v>
      </c>
      <c r="B2255" t="s">
        <v>1353</v>
      </c>
      <c r="C2255" s="5">
        <v>4</v>
      </c>
      <c r="D2255" t="s">
        <v>13</v>
      </c>
      <c r="E2255" t="s">
        <v>1360</v>
      </c>
      <c r="F2255" t="s">
        <v>25</v>
      </c>
      <c r="G2255">
        <v>6</v>
      </c>
      <c r="H2255">
        <v>9</v>
      </c>
      <c r="I2255" t="b">
        <v>1</v>
      </c>
      <c r="J2255" t="s">
        <v>1356</v>
      </c>
      <c r="K2255" t="s">
        <v>32</v>
      </c>
      <c r="Q2255" t="s">
        <v>1353</v>
      </c>
      <c r="R2255" t="s">
        <v>1353</v>
      </c>
      <c r="S2255">
        <v>8</v>
      </c>
    </row>
    <row r="2256" spans="1:19" hidden="1" x14ac:dyDescent="0.25">
      <c r="A2256" t="s">
        <v>981</v>
      </c>
      <c r="B2256" t="s">
        <v>1353</v>
      </c>
      <c r="C2256" s="5">
        <v>4</v>
      </c>
      <c r="D2256" t="s">
        <v>407</v>
      </c>
      <c r="E2256" t="s">
        <v>1431</v>
      </c>
      <c r="F2256" t="s">
        <v>27</v>
      </c>
      <c r="G2256">
        <v>7</v>
      </c>
      <c r="H2256">
        <v>14</v>
      </c>
      <c r="I2256" t="b">
        <v>0</v>
      </c>
      <c r="J2256" t="s">
        <v>1365</v>
      </c>
      <c r="K2256" t="s">
        <v>32</v>
      </c>
      <c r="Q2256" t="s">
        <v>1353</v>
      </c>
      <c r="R2256" t="s">
        <v>1353</v>
      </c>
      <c r="S2256">
        <v>2</v>
      </c>
    </row>
    <row r="2257" spans="1:19" hidden="1" x14ac:dyDescent="0.25">
      <c r="A2257" t="s">
        <v>981</v>
      </c>
      <c r="B2257" t="s">
        <v>1353</v>
      </c>
      <c r="C2257" s="5">
        <v>4</v>
      </c>
      <c r="D2257" t="s">
        <v>11</v>
      </c>
      <c r="E2257" t="s">
        <v>937</v>
      </c>
      <c r="F2257" t="s">
        <v>24</v>
      </c>
      <c r="G2257">
        <v>20</v>
      </c>
      <c r="H2257">
        <v>30</v>
      </c>
      <c r="I2257" t="b">
        <v>1</v>
      </c>
      <c r="J2257" t="s">
        <v>0</v>
      </c>
      <c r="K2257" t="s">
        <v>32</v>
      </c>
      <c r="L2257" t="s">
        <v>716</v>
      </c>
      <c r="M2257" t="s">
        <v>1170</v>
      </c>
      <c r="Q2257" t="s">
        <v>1353</v>
      </c>
      <c r="R2257" t="s">
        <v>1353</v>
      </c>
      <c r="S2257">
        <v>1</v>
      </c>
    </row>
    <row r="2258" spans="1:19" hidden="1" x14ac:dyDescent="0.25">
      <c r="A2258" t="s">
        <v>981</v>
      </c>
      <c r="B2258" t="s">
        <v>1353</v>
      </c>
      <c r="C2258" s="5">
        <v>4</v>
      </c>
      <c r="D2258" t="s">
        <v>12</v>
      </c>
      <c r="E2258" t="s">
        <v>1369</v>
      </c>
      <c r="F2258" t="s">
        <v>24</v>
      </c>
      <c r="G2258">
        <v>150</v>
      </c>
      <c r="H2258">
        <v>190</v>
      </c>
      <c r="I2258" t="b">
        <v>1</v>
      </c>
      <c r="J2258" t="s">
        <v>7</v>
      </c>
      <c r="K2258" t="s">
        <v>32</v>
      </c>
      <c r="L2258" t="s">
        <v>716</v>
      </c>
      <c r="M2258" t="s">
        <v>1170</v>
      </c>
      <c r="Q2258" t="s">
        <v>1353</v>
      </c>
      <c r="R2258" t="s">
        <v>1353</v>
      </c>
      <c r="S2258">
        <v>18</v>
      </c>
    </row>
    <row r="2259" spans="1:19" hidden="1" x14ac:dyDescent="0.25">
      <c r="A2259" t="s">
        <v>981</v>
      </c>
      <c r="B2259" t="s">
        <v>1353</v>
      </c>
      <c r="C2259" s="5">
        <v>4</v>
      </c>
      <c r="D2259" t="s">
        <v>924</v>
      </c>
      <c r="E2259" t="s">
        <v>953</v>
      </c>
      <c r="F2259" t="s">
        <v>26</v>
      </c>
      <c r="G2259">
        <v>55</v>
      </c>
      <c r="H2259">
        <v>65</v>
      </c>
      <c r="I2259" t="b">
        <v>0</v>
      </c>
      <c r="J2259" t="s">
        <v>1363</v>
      </c>
      <c r="K2259" t="s">
        <v>32</v>
      </c>
      <c r="L2259" t="s">
        <v>716</v>
      </c>
      <c r="M2259" t="s">
        <v>1170</v>
      </c>
      <c r="Q2259" t="s">
        <v>1353</v>
      </c>
      <c r="R2259" t="s">
        <v>1353</v>
      </c>
      <c r="S2259">
        <v>4</v>
      </c>
    </row>
    <row r="2260" spans="1:19" hidden="1" x14ac:dyDescent="0.25">
      <c r="A2260" t="s">
        <v>981</v>
      </c>
      <c r="B2260" t="s">
        <v>1353</v>
      </c>
      <c r="C2260" s="5">
        <v>4</v>
      </c>
      <c r="D2260" t="s">
        <v>311</v>
      </c>
      <c r="E2260" t="s">
        <v>1279</v>
      </c>
      <c r="F2260" t="s">
        <v>27</v>
      </c>
      <c r="G2260">
        <v>30</v>
      </c>
      <c r="H2260">
        <v>35</v>
      </c>
      <c r="I2260" t="b">
        <v>0</v>
      </c>
      <c r="J2260" t="s">
        <v>1290</v>
      </c>
      <c r="K2260" t="s">
        <v>32</v>
      </c>
      <c r="L2260" t="s">
        <v>716</v>
      </c>
      <c r="M2260" t="s">
        <v>1170</v>
      </c>
      <c r="Q2260" t="s">
        <v>1353</v>
      </c>
      <c r="R2260" t="s">
        <v>1353</v>
      </c>
      <c r="S2260">
        <v>3</v>
      </c>
    </row>
    <row r="2261" spans="1:19" hidden="1" x14ac:dyDescent="0.25">
      <c r="A2261" t="s">
        <v>981</v>
      </c>
      <c r="B2261" t="s">
        <v>1353</v>
      </c>
      <c r="C2261" s="5">
        <v>4</v>
      </c>
      <c r="D2261" t="s">
        <v>936</v>
      </c>
      <c r="E2261" t="s">
        <v>1370</v>
      </c>
      <c r="F2261" t="s">
        <v>25</v>
      </c>
      <c r="G2261">
        <v>13</v>
      </c>
      <c r="H2261">
        <v>18</v>
      </c>
      <c r="I2261" t="b">
        <v>1</v>
      </c>
      <c r="J2261" t="s">
        <v>1366</v>
      </c>
      <c r="K2261" t="s">
        <v>32</v>
      </c>
      <c r="L2261" t="s">
        <v>716</v>
      </c>
      <c r="M2261" t="s">
        <v>1170</v>
      </c>
      <c r="Q2261" t="s">
        <v>1353</v>
      </c>
      <c r="R2261" t="s">
        <v>1353</v>
      </c>
      <c r="S2261">
        <v>17</v>
      </c>
    </row>
    <row r="2262" spans="1:19" hidden="1" x14ac:dyDescent="0.25">
      <c r="A2262" t="s">
        <v>981</v>
      </c>
      <c r="B2262" t="s">
        <v>1353</v>
      </c>
      <c r="C2262" s="5">
        <v>5</v>
      </c>
      <c r="D2262" t="s">
        <v>11</v>
      </c>
      <c r="E2262" t="s">
        <v>951</v>
      </c>
      <c r="F2262" t="s">
        <v>25</v>
      </c>
      <c r="G2262">
        <v>15</v>
      </c>
      <c r="H2262">
        <v>20</v>
      </c>
      <c r="I2262" t="b">
        <v>1</v>
      </c>
      <c r="J2262" t="s">
        <v>0</v>
      </c>
      <c r="K2262" t="s">
        <v>32</v>
      </c>
      <c r="L2262" t="s">
        <v>716</v>
      </c>
      <c r="M2262" t="s">
        <v>1170</v>
      </c>
      <c r="Q2262" t="s">
        <v>1353</v>
      </c>
      <c r="R2262" t="s">
        <v>1353</v>
      </c>
      <c r="S2262">
        <v>1</v>
      </c>
    </row>
    <row r="2263" spans="1:19" hidden="1" x14ac:dyDescent="0.25">
      <c r="A2263" t="s">
        <v>981</v>
      </c>
      <c r="B2263" t="s">
        <v>1353</v>
      </c>
      <c r="C2263" s="5">
        <v>5</v>
      </c>
      <c r="D2263" t="s">
        <v>12</v>
      </c>
      <c r="E2263" t="s">
        <v>1371</v>
      </c>
      <c r="F2263" t="s">
        <v>24</v>
      </c>
      <c r="G2263">
        <v>100</v>
      </c>
      <c r="H2263">
        <v>150</v>
      </c>
      <c r="I2263" t="b">
        <v>1</v>
      </c>
      <c r="J2263" t="s">
        <v>7</v>
      </c>
      <c r="K2263" t="s">
        <v>32</v>
      </c>
      <c r="L2263" t="s">
        <v>716</v>
      </c>
      <c r="M2263" t="s">
        <v>1170</v>
      </c>
      <c r="Q2263" t="s">
        <v>1353</v>
      </c>
      <c r="R2263" t="s">
        <v>1353</v>
      </c>
      <c r="S2263">
        <v>18</v>
      </c>
    </row>
    <row r="2264" spans="1:19" hidden="1" x14ac:dyDescent="0.25">
      <c r="A2264" t="s">
        <v>981</v>
      </c>
      <c r="B2264" t="s">
        <v>1353</v>
      </c>
      <c r="C2264" s="5">
        <v>5</v>
      </c>
      <c r="D2264" t="s">
        <v>13</v>
      </c>
      <c r="E2264" t="s">
        <v>1347</v>
      </c>
      <c r="F2264" t="s">
        <v>25</v>
      </c>
      <c r="G2264">
        <v>0</v>
      </c>
      <c r="H2264">
        <v>5</v>
      </c>
      <c r="I2264" t="b">
        <v>1</v>
      </c>
      <c r="J2264" t="s">
        <v>1356</v>
      </c>
      <c r="K2264" t="s">
        <v>32</v>
      </c>
      <c r="L2264" t="s">
        <v>716</v>
      </c>
      <c r="M2264" t="s">
        <v>1170</v>
      </c>
      <c r="Q2264" t="s">
        <v>1353</v>
      </c>
      <c r="R2264" t="s">
        <v>1353</v>
      </c>
      <c r="S2264">
        <v>8</v>
      </c>
    </row>
    <row r="2265" spans="1:19" hidden="1" x14ac:dyDescent="0.25">
      <c r="A2265" t="s">
        <v>981</v>
      </c>
      <c r="B2265" t="s">
        <v>1353</v>
      </c>
      <c r="C2265" s="5">
        <v>5</v>
      </c>
      <c r="D2265" t="s">
        <v>311</v>
      </c>
      <c r="E2265" t="s">
        <v>946</v>
      </c>
      <c r="F2265" t="s">
        <v>26</v>
      </c>
      <c r="G2265">
        <v>40</v>
      </c>
      <c r="H2265">
        <v>50</v>
      </c>
      <c r="I2265" t="b">
        <v>0</v>
      </c>
      <c r="J2265" t="s">
        <v>1290</v>
      </c>
      <c r="K2265" t="s">
        <v>32</v>
      </c>
      <c r="L2265" t="s">
        <v>716</v>
      </c>
      <c r="M2265" t="s">
        <v>1170</v>
      </c>
      <c r="Q2265" t="s">
        <v>1353</v>
      </c>
      <c r="R2265" t="s">
        <v>1353</v>
      </c>
      <c r="S2265">
        <v>3</v>
      </c>
    </row>
    <row r="2266" spans="1:19" hidden="1" x14ac:dyDescent="0.25">
      <c r="A2266" t="s">
        <v>981</v>
      </c>
      <c r="B2266" t="s">
        <v>1372</v>
      </c>
      <c r="C2266" s="5">
        <v>2</v>
      </c>
      <c r="D2266" t="s">
        <v>11</v>
      </c>
      <c r="E2266" t="s">
        <v>932</v>
      </c>
      <c r="F2266" t="s">
        <v>24</v>
      </c>
      <c r="G2266">
        <v>35</v>
      </c>
      <c r="H2266">
        <v>45</v>
      </c>
      <c r="I2266" t="b">
        <v>1</v>
      </c>
      <c r="J2266" t="s">
        <v>0</v>
      </c>
      <c r="K2266" t="s">
        <v>32</v>
      </c>
      <c r="Q2266" t="s">
        <v>1372</v>
      </c>
      <c r="R2266" t="s">
        <v>1372</v>
      </c>
      <c r="S2266">
        <v>1</v>
      </c>
    </row>
    <row r="2267" spans="1:19" hidden="1" x14ac:dyDescent="0.25">
      <c r="A2267" t="s">
        <v>981</v>
      </c>
      <c r="B2267" t="s">
        <v>1372</v>
      </c>
      <c r="C2267" s="5">
        <v>2</v>
      </c>
      <c r="D2267" t="s">
        <v>903</v>
      </c>
      <c r="E2267" t="s">
        <v>1016</v>
      </c>
      <c r="F2267" t="s">
        <v>25</v>
      </c>
      <c r="G2267">
        <v>4</v>
      </c>
      <c r="H2267">
        <v>7</v>
      </c>
      <c r="I2267" t="b">
        <v>1</v>
      </c>
      <c r="J2267" t="s">
        <v>1357</v>
      </c>
      <c r="K2267" t="s">
        <v>32</v>
      </c>
      <c r="Q2267" t="s">
        <v>1372</v>
      </c>
      <c r="R2267" t="s">
        <v>1372</v>
      </c>
      <c r="S2267">
        <v>10</v>
      </c>
    </row>
    <row r="2268" spans="1:19" hidden="1" x14ac:dyDescent="0.25">
      <c r="A2268" t="s">
        <v>981</v>
      </c>
      <c r="B2268" t="s">
        <v>1372</v>
      </c>
      <c r="C2268" s="5">
        <v>2</v>
      </c>
      <c r="D2268" t="s">
        <v>983</v>
      </c>
      <c r="E2268" t="s">
        <v>919</v>
      </c>
      <c r="F2268" t="s">
        <v>25</v>
      </c>
      <c r="G2268">
        <v>2</v>
      </c>
      <c r="H2268">
        <v>5</v>
      </c>
      <c r="I2268" t="b">
        <v>1</v>
      </c>
      <c r="J2268" t="s">
        <v>1359</v>
      </c>
      <c r="K2268" t="s">
        <v>32</v>
      </c>
      <c r="Q2268" t="s">
        <v>1372</v>
      </c>
      <c r="R2268" t="s">
        <v>1372</v>
      </c>
      <c r="S2268">
        <v>9</v>
      </c>
    </row>
    <row r="2269" spans="1:19" hidden="1" x14ac:dyDescent="0.25">
      <c r="A2269" t="s">
        <v>981</v>
      </c>
      <c r="B2269" t="s">
        <v>1372</v>
      </c>
      <c r="C2269" s="5">
        <v>2</v>
      </c>
      <c r="D2269" t="s">
        <v>1373</v>
      </c>
      <c r="E2269" t="s">
        <v>950</v>
      </c>
      <c r="F2269" t="s">
        <v>25</v>
      </c>
      <c r="G2269">
        <v>25</v>
      </c>
      <c r="H2269">
        <v>30</v>
      </c>
      <c r="I2269" t="b">
        <v>1</v>
      </c>
      <c r="J2269" t="s">
        <v>1374</v>
      </c>
      <c r="K2269" t="s">
        <v>32</v>
      </c>
      <c r="Q2269" t="s">
        <v>1372</v>
      </c>
      <c r="R2269" t="s">
        <v>1372</v>
      </c>
      <c r="S2269">
        <v>7</v>
      </c>
    </row>
    <row r="2270" spans="1:19" hidden="1" x14ac:dyDescent="0.25">
      <c r="A2270" t="s">
        <v>981</v>
      </c>
      <c r="B2270" t="s">
        <v>1372</v>
      </c>
      <c r="C2270" s="5">
        <v>2</v>
      </c>
      <c r="D2270" t="s">
        <v>407</v>
      </c>
      <c r="E2270" t="s">
        <v>1289</v>
      </c>
      <c r="F2270" t="s">
        <v>27</v>
      </c>
      <c r="G2270">
        <v>0</v>
      </c>
      <c r="H2270">
        <v>5</v>
      </c>
      <c r="I2270" t="b">
        <v>0</v>
      </c>
      <c r="J2270" t="s">
        <v>1365</v>
      </c>
      <c r="K2270" t="s">
        <v>32</v>
      </c>
      <c r="Q2270" t="s">
        <v>1372</v>
      </c>
      <c r="R2270" t="s">
        <v>1372</v>
      </c>
      <c r="S2270">
        <v>2</v>
      </c>
    </row>
    <row r="2271" spans="1:19" hidden="1" x14ac:dyDescent="0.25">
      <c r="A2271" t="s">
        <v>981</v>
      </c>
      <c r="B2271" t="s">
        <v>1372</v>
      </c>
      <c r="C2271" s="5">
        <v>2</v>
      </c>
      <c r="D2271" t="s">
        <v>912</v>
      </c>
      <c r="E2271" t="s">
        <v>1016</v>
      </c>
      <c r="F2271" t="s">
        <v>25</v>
      </c>
      <c r="G2271">
        <v>4</v>
      </c>
      <c r="H2271">
        <v>7</v>
      </c>
      <c r="I2271" t="b">
        <v>1</v>
      </c>
      <c r="J2271" t="s">
        <v>1361</v>
      </c>
      <c r="K2271" t="s">
        <v>32</v>
      </c>
      <c r="Q2271" t="s">
        <v>1372</v>
      </c>
      <c r="R2271" t="s">
        <v>1372</v>
      </c>
      <c r="S2271">
        <v>12</v>
      </c>
    </row>
    <row r="2272" spans="1:19" hidden="1" x14ac:dyDescent="0.25">
      <c r="A2272" t="s">
        <v>981</v>
      </c>
      <c r="B2272" t="s">
        <v>1372</v>
      </c>
      <c r="C2272" s="5">
        <v>2</v>
      </c>
      <c r="D2272" t="s">
        <v>918</v>
      </c>
      <c r="E2272" t="s">
        <v>919</v>
      </c>
      <c r="F2272" t="s">
        <v>25</v>
      </c>
      <c r="G2272">
        <v>2</v>
      </c>
      <c r="H2272">
        <v>5</v>
      </c>
      <c r="I2272" t="b">
        <v>1</v>
      </c>
      <c r="J2272" t="s">
        <v>1362</v>
      </c>
      <c r="K2272" t="s">
        <v>32</v>
      </c>
      <c r="Q2272" t="s">
        <v>1372</v>
      </c>
      <c r="R2272" t="s">
        <v>1372</v>
      </c>
      <c r="S2272">
        <v>13</v>
      </c>
    </row>
    <row r="2273" spans="1:19" hidden="1" x14ac:dyDescent="0.25">
      <c r="A2273" t="s">
        <v>981</v>
      </c>
      <c r="B2273" t="s">
        <v>1372</v>
      </c>
      <c r="C2273" s="5">
        <v>2</v>
      </c>
      <c r="D2273" t="s">
        <v>909</v>
      </c>
      <c r="E2273" t="s">
        <v>961</v>
      </c>
      <c r="F2273" t="s">
        <v>25</v>
      </c>
      <c r="G2273">
        <v>3</v>
      </c>
      <c r="H2273">
        <v>8</v>
      </c>
      <c r="I2273" t="b">
        <v>1</v>
      </c>
      <c r="J2273" t="s">
        <v>1375</v>
      </c>
      <c r="K2273" t="s">
        <v>32</v>
      </c>
      <c r="Q2273" t="s">
        <v>1372</v>
      </c>
      <c r="R2273" t="s">
        <v>1372</v>
      </c>
      <c r="S2273">
        <v>15</v>
      </c>
    </row>
    <row r="2274" spans="1:19" hidden="1" x14ac:dyDescent="0.25">
      <c r="A2274" t="s">
        <v>981</v>
      </c>
      <c r="B2274" t="s">
        <v>1372</v>
      </c>
      <c r="C2274" s="5">
        <v>2</v>
      </c>
      <c r="D2274" t="s">
        <v>915</v>
      </c>
      <c r="E2274" t="s">
        <v>919</v>
      </c>
      <c r="F2274" t="s">
        <v>25</v>
      </c>
      <c r="G2274">
        <v>2</v>
      </c>
      <c r="H2274">
        <v>5</v>
      </c>
      <c r="I2274" t="b">
        <v>1</v>
      </c>
      <c r="J2274" t="s">
        <v>1376</v>
      </c>
      <c r="K2274" t="s">
        <v>32</v>
      </c>
      <c r="Q2274" t="s">
        <v>1372</v>
      </c>
      <c r="R2274" t="s">
        <v>1372</v>
      </c>
      <c r="S2274">
        <v>16</v>
      </c>
    </row>
    <row r="2275" spans="1:19" hidden="1" x14ac:dyDescent="0.25">
      <c r="A2275" t="s">
        <v>981</v>
      </c>
      <c r="B2275" t="s">
        <v>1372</v>
      </c>
      <c r="C2275" s="5">
        <v>2</v>
      </c>
      <c r="D2275" t="s">
        <v>1426</v>
      </c>
      <c r="E2275" t="s">
        <v>943</v>
      </c>
      <c r="F2275" t="s">
        <v>24</v>
      </c>
      <c r="G2275">
        <v>30</v>
      </c>
      <c r="H2275">
        <v>40</v>
      </c>
      <c r="I2275" t="b">
        <v>1</v>
      </c>
      <c r="J2275" t="s">
        <v>1427</v>
      </c>
      <c r="K2275" t="s">
        <v>32</v>
      </c>
      <c r="Q2275" t="s">
        <v>1372</v>
      </c>
      <c r="R2275" t="s">
        <v>1372</v>
      </c>
      <c r="S2275">
        <v>6</v>
      </c>
    </row>
    <row r="2276" spans="1:19" hidden="1" x14ac:dyDescent="0.25">
      <c r="A2276" t="s">
        <v>981</v>
      </c>
      <c r="B2276" t="s">
        <v>1372</v>
      </c>
      <c r="C2276" s="5">
        <v>2</v>
      </c>
      <c r="D2276" t="s">
        <v>1367</v>
      </c>
      <c r="E2276" t="s">
        <v>1271</v>
      </c>
      <c r="F2276" t="s">
        <v>27</v>
      </c>
      <c r="G2276">
        <v>0</v>
      </c>
      <c r="H2276">
        <v>1</v>
      </c>
      <c r="I2276" t="b">
        <v>0</v>
      </c>
      <c r="J2276" t="s">
        <v>1368</v>
      </c>
      <c r="K2276" t="s">
        <v>32</v>
      </c>
      <c r="Q2276" t="s">
        <v>1372</v>
      </c>
      <c r="R2276" t="s">
        <v>1372</v>
      </c>
      <c r="S2276">
        <v>11</v>
      </c>
    </row>
    <row r="2277" spans="1:19" hidden="1" x14ac:dyDescent="0.25">
      <c r="A2277" t="s">
        <v>981</v>
      </c>
      <c r="B2277" t="s">
        <v>1372</v>
      </c>
      <c r="C2277" s="5">
        <v>2</v>
      </c>
      <c r="D2277" t="s">
        <v>936</v>
      </c>
      <c r="E2277" t="s">
        <v>1377</v>
      </c>
      <c r="F2277" t="s">
        <v>25</v>
      </c>
      <c r="G2277">
        <v>22</v>
      </c>
      <c r="H2277">
        <v>27</v>
      </c>
      <c r="I2277" t="b">
        <v>1</v>
      </c>
      <c r="J2277" t="s">
        <v>1366</v>
      </c>
      <c r="K2277" t="s">
        <v>32</v>
      </c>
      <c r="L2277" t="s">
        <v>716</v>
      </c>
      <c r="M2277" t="s">
        <v>1170</v>
      </c>
      <c r="Q2277" t="s">
        <v>1372</v>
      </c>
      <c r="R2277" t="s">
        <v>1372</v>
      </c>
      <c r="S2277">
        <v>17</v>
      </c>
    </row>
    <row r="2278" spans="1:19" hidden="1" x14ac:dyDescent="0.25">
      <c r="A2278" t="s">
        <v>981</v>
      </c>
      <c r="B2278" t="s">
        <v>1372</v>
      </c>
      <c r="C2278" s="5">
        <v>2</v>
      </c>
      <c r="D2278" t="s">
        <v>311</v>
      </c>
      <c r="E2278" t="s">
        <v>928</v>
      </c>
      <c r="F2278" t="s">
        <v>26</v>
      </c>
      <c r="G2278">
        <v>20</v>
      </c>
      <c r="H2278">
        <v>30</v>
      </c>
      <c r="I2278" t="b">
        <v>0</v>
      </c>
      <c r="J2278" t="s">
        <v>1290</v>
      </c>
      <c r="K2278" t="s">
        <v>32</v>
      </c>
      <c r="L2278" t="s">
        <v>716</v>
      </c>
      <c r="M2278" t="s">
        <v>1170</v>
      </c>
      <c r="Q2278" t="s">
        <v>1372</v>
      </c>
      <c r="R2278" t="s">
        <v>1372</v>
      </c>
      <c r="S2278">
        <v>3</v>
      </c>
    </row>
    <row r="2279" spans="1:19" hidden="1" x14ac:dyDescent="0.25">
      <c r="A2279" t="s">
        <v>981</v>
      </c>
      <c r="B2279" t="s">
        <v>1372</v>
      </c>
      <c r="C2279" s="5">
        <v>2</v>
      </c>
      <c r="D2279" t="s">
        <v>924</v>
      </c>
      <c r="E2279" t="s">
        <v>1294</v>
      </c>
      <c r="F2279" t="s">
        <v>27</v>
      </c>
      <c r="G2279">
        <v>35</v>
      </c>
      <c r="H2279">
        <v>40</v>
      </c>
      <c r="I2279" t="b">
        <v>0</v>
      </c>
      <c r="J2279" t="s">
        <v>1363</v>
      </c>
      <c r="K2279" t="s">
        <v>32</v>
      </c>
      <c r="L2279" t="s">
        <v>716</v>
      </c>
      <c r="M2279" t="s">
        <v>1170</v>
      </c>
      <c r="Q2279" t="s">
        <v>1372</v>
      </c>
      <c r="R2279" t="s">
        <v>1372</v>
      </c>
      <c r="S2279">
        <v>4</v>
      </c>
    </row>
    <row r="2280" spans="1:19" hidden="1" x14ac:dyDescent="0.25">
      <c r="A2280" t="s">
        <v>981</v>
      </c>
      <c r="B2280" t="s">
        <v>1372</v>
      </c>
      <c r="C2280" s="5">
        <v>2</v>
      </c>
      <c r="D2280" t="s">
        <v>927</v>
      </c>
      <c r="E2280" t="s">
        <v>1279</v>
      </c>
      <c r="F2280" t="s">
        <v>27</v>
      </c>
      <c r="G2280">
        <v>30</v>
      </c>
      <c r="H2280">
        <v>35</v>
      </c>
      <c r="I2280" t="b">
        <v>0</v>
      </c>
      <c r="J2280" t="s">
        <v>1378</v>
      </c>
      <c r="K2280" t="s">
        <v>32</v>
      </c>
      <c r="L2280" t="s">
        <v>716</v>
      </c>
      <c r="M2280" t="s">
        <v>1170</v>
      </c>
      <c r="Q2280" t="s">
        <v>1372</v>
      </c>
      <c r="R2280" t="s">
        <v>1372</v>
      </c>
      <c r="S2280">
        <v>5</v>
      </c>
    </row>
    <row r="2281" spans="1:19" hidden="1" x14ac:dyDescent="0.25">
      <c r="A2281" t="s">
        <v>981</v>
      </c>
      <c r="B2281" t="s">
        <v>1372</v>
      </c>
      <c r="C2281" s="5">
        <v>3</v>
      </c>
      <c r="D2281" t="s">
        <v>903</v>
      </c>
      <c r="E2281" t="s">
        <v>941</v>
      </c>
      <c r="F2281" t="s">
        <v>25</v>
      </c>
      <c r="G2281">
        <v>1</v>
      </c>
      <c r="H2281">
        <v>4</v>
      </c>
      <c r="I2281" t="b">
        <v>1</v>
      </c>
      <c r="J2281" t="s">
        <v>1357</v>
      </c>
      <c r="K2281" t="s">
        <v>32</v>
      </c>
      <c r="Q2281" t="s">
        <v>1372</v>
      </c>
      <c r="R2281" t="s">
        <v>1372</v>
      </c>
      <c r="S2281">
        <v>10</v>
      </c>
    </row>
    <row r="2282" spans="1:19" hidden="1" x14ac:dyDescent="0.25">
      <c r="A2282" t="s">
        <v>981</v>
      </c>
      <c r="B2282" t="s">
        <v>1372</v>
      </c>
      <c r="C2282" s="5">
        <v>3</v>
      </c>
      <c r="D2282" t="s">
        <v>983</v>
      </c>
      <c r="E2282" t="s">
        <v>1379</v>
      </c>
      <c r="F2282" t="s">
        <v>25</v>
      </c>
      <c r="G2282">
        <v>0.5</v>
      </c>
      <c r="H2282">
        <v>2</v>
      </c>
      <c r="I2282" t="b">
        <v>1</v>
      </c>
      <c r="J2282" t="s">
        <v>1359</v>
      </c>
      <c r="K2282" t="s">
        <v>32</v>
      </c>
      <c r="Q2282" t="s">
        <v>1372</v>
      </c>
      <c r="R2282" t="s">
        <v>1372</v>
      </c>
      <c r="S2282">
        <v>9</v>
      </c>
    </row>
    <row r="2283" spans="1:19" hidden="1" x14ac:dyDescent="0.25">
      <c r="A2283" t="s">
        <v>981</v>
      </c>
      <c r="B2283" t="s">
        <v>1372</v>
      </c>
      <c r="C2283" s="5">
        <v>3</v>
      </c>
      <c r="D2283" t="s">
        <v>1373</v>
      </c>
      <c r="E2283" t="s">
        <v>979</v>
      </c>
      <c r="F2283" t="s">
        <v>25</v>
      </c>
      <c r="G2283">
        <v>20</v>
      </c>
      <c r="H2283">
        <v>25</v>
      </c>
      <c r="I2283" t="b">
        <v>1</v>
      </c>
      <c r="J2283" t="s">
        <v>1374</v>
      </c>
      <c r="K2283" t="s">
        <v>32</v>
      </c>
      <c r="Q2283" t="s">
        <v>1372</v>
      </c>
      <c r="R2283" t="s">
        <v>1372</v>
      </c>
      <c r="S2283">
        <v>7</v>
      </c>
    </row>
    <row r="2284" spans="1:19" hidden="1" x14ac:dyDescent="0.25">
      <c r="A2284" t="s">
        <v>981</v>
      </c>
      <c r="B2284" t="s">
        <v>1372</v>
      </c>
      <c r="C2284" s="5">
        <v>3</v>
      </c>
      <c r="D2284" t="s">
        <v>912</v>
      </c>
      <c r="E2284" t="s">
        <v>941</v>
      </c>
      <c r="F2284" t="s">
        <v>25</v>
      </c>
      <c r="G2284">
        <v>1</v>
      </c>
      <c r="H2284">
        <v>4</v>
      </c>
      <c r="I2284" t="b">
        <v>1</v>
      </c>
      <c r="J2284" t="s">
        <v>1361</v>
      </c>
      <c r="K2284" t="s">
        <v>32</v>
      </c>
      <c r="Q2284" t="s">
        <v>1372</v>
      </c>
      <c r="R2284" t="s">
        <v>1372</v>
      </c>
      <c r="S2284">
        <v>12</v>
      </c>
    </row>
    <row r="2285" spans="1:19" hidden="1" x14ac:dyDescent="0.25">
      <c r="A2285" t="s">
        <v>981</v>
      </c>
      <c r="B2285" t="s">
        <v>1372</v>
      </c>
      <c r="C2285" s="5">
        <v>3</v>
      </c>
      <c r="D2285" t="s">
        <v>918</v>
      </c>
      <c r="E2285" t="s">
        <v>725</v>
      </c>
      <c r="F2285" t="s">
        <v>25</v>
      </c>
      <c r="G2285">
        <v>0</v>
      </c>
      <c r="H2285">
        <v>1</v>
      </c>
      <c r="I2285" t="b">
        <v>1</v>
      </c>
      <c r="J2285" t="s">
        <v>1362</v>
      </c>
      <c r="K2285" t="s">
        <v>32</v>
      </c>
      <c r="Q2285" t="s">
        <v>1372</v>
      </c>
      <c r="R2285" t="s">
        <v>1372</v>
      </c>
      <c r="S2285">
        <v>13</v>
      </c>
    </row>
    <row r="2286" spans="1:19" hidden="1" x14ac:dyDescent="0.25">
      <c r="A2286" t="s">
        <v>981</v>
      </c>
      <c r="B2286" t="s">
        <v>1372</v>
      </c>
      <c r="C2286" s="5">
        <v>3</v>
      </c>
      <c r="D2286" t="s">
        <v>909</v>
      </c>
      <c r="E2286" t="s">
        <v>939</v>
      </c>
      <c r="F2286" t="s">
        <v>25</v>
      </c>
      <c r="G2286">
        <v>0</v>
      </c>
      <c r="H2286">
        <v>3</v>
      </c>
      <c r="I2286" t="b">
        <v>1</v>
      </c>
      <c r="J2286" t="s">
        <v>1375</v>
      </c>
      <c r="K2286" t="s">
        <v>32</v>
      </c>
      <c r="Q2286" t="s">
        <v>1372</v>
      </c>
      <c r="R2286" t="s">
        <v>1372</v>
      </c>
      <c r="S2286">
        <v>15</v>
      </c>
    </row>
    <row r="2287" spans="1:19" hidden="1" x14ac:dyDescent="0.25">
      <c r="A2287" t="s">
        <v>981</v>
      </c>
      <c r="B2287" t="s">
        <v>1372</v>
      </c>
      <c r="C2287" s="5">
        <v>3</v>
      </c>
      <c r="D2287" t="s">
        <v>915</v>
      </c>
      <c r="E2287" t="s">
        <v>725</v>
      </c>
      <c r="F2287" t="s">
        <v>25</v>
      </c>
      <c r="G2287">
        <v>0</v>
      </c>
      <c r="H2287">
        <v>1</v>
      </c>
      <c r="I2287" t="b">
        <v>1</v>
      </c>
      <c r="J2287" t="s">
        <v>1376</v>
      </c>
      <c r="K2287" t="s">
        <v>32</v>
      </c>
      <c r="Q2287" t="s">
        <v>1372</v>
      </c>
      <c r="R2287" t="s">
        <v>1372</v>
      </c>
      <c r="S2287">
        <v>16</v>
      </c>
    </row>
    <row r="2288" spans="1:19" hidden="1" x14ac:dyDescent="0.25">
      <c r="A2288" t="s">
        <v>981</v>
      </c>
      <c r="B2288" t="s">
        <v>1372</v>
      </c>
      <c r="C2288" s="5">
        <v>3</v>
      </c>
      <c r="D2288" t="s">
        <v>1426</v>
      </c>
      <c r="E2288" t="s">
        <v>937</v>
      </c>
      <c r="F2288" t="s">
        <v>24</v>
      </c>
      <c r="G2288">
        <v>20</v>
      </c>
      <c r="H2288">
        <v>30</v>
      </c>
      <c r="I2288" t="b">
        <v>1</v>
      </c>
      <c r="J2288" t="s">
        <v>1427</v>
      </c>
      <c r="K2288" t="s">
        <v>32</v>
      </c>
      <c r="Q2288" t="s">
        <v>1372</v>
      </c>
      <c r="R2288" t="s">
        <v>1372</v>
      </c>
      <c r="S2288">
        <v>6</v>
      </c>
    </row>
    <row r="2289" spans="1:19" hidden="1" x14ac:dyDescent="0.25">
      <c r="A2289" t="s">
        <v>981</v>
      </c>
      <c r="B2289" t="s">
        <v>1372</v>
      </c>
      <c r="C2289" s="5">
        <v>3</v>
      </c>
      <c r="D2289" t="s">
        <v>11</v>
      </c>
      <c r="E2289" t="s">
        <v>943</v>
      </c>
      <c r="F2289" t="s">
        <v>24</v>
      </c>
      <c r="G2289">
        <v>30</v>
      </c>
      <c r="H2289">
        <v>40</v>
      </c>
      <c r="I2289" t="b">
        <v>1</v>
      </c>
      <c r="J2289" t="s">
        <v>0</v>
      </c>
      <c r="K2289" t="s">
        <v>32</v>
      </c>
      <c r="L2289" t="s">
        <v>716</v>
      </c>
      <c r="M2289" t="s">
        <v>1170</v>
      </c>
      <c r="Q2289" t="s">
        <v>1372</v>
      </c>
      <c r="R2289" t="s">
        <v>1372</v>
      </c>
      <c r="S2289">
        <v>1</v>
      </c>
    </row>
    <row r="2290" spans="1:19" hidden="1" x14ac:dyDescent="0.25">
      <c r="A2290" t="s">
        <v>981</v>
      </c>
      <c r="B2290" t="s">
        <v>1372</v>
      </c>
      <c r="C2290" s="5">
        <v>3</v>
      </c>
      <c r="D2290" t="s">
        <v>936</v>
      </c>
      <c r="E2290" t="s">
        <v>966</v>
      </c>
      <c r="F2290" t="s">
        <v>25</v>
      </c>
      <c r="G2290">
        <v>17</v>
      </c>
      <c r="H2290">
        <v>22</v>
      </c>
      <c r="I2290" t="b">
        <v>1</v>
      </c>
      <c r="J2290" t="s">
        <v>1366</v>
      </c>
      <c r="K2290" t="s">
        <v>32</v>
      </c>
      <c r="L2290" t="s">
        <v>716</v>
      </c>
      <c r="M2290" t="s">
        <v>1170</v>
      </c>
      <c r="Q2290" t="s">
        <v>1372</v>
      </c>
      <c r="R2290" t="s">
        <v>1372</v>
      </c>
      <c r="S2290">
        <v>17</v>
      </c>
    </row>
    <row r="2291" spans="1:19" hidden="1" x14ac:dyDescent="0.25">
      <c r="A2291" t="s">
        <v>981</v>
      </c>
      <c r="B2291" t="s">
        <v>1372</v>
      </c>
      <c r="C2291" s="5">
        <v>3</v>
      </c>
      <c r="D2291" t="s">
        <v>311</v>
      </c>
      <c r="E2291" t="s">
        <v>1279</v>
      </c>
      <c r="F2291" t="s">
        <v>27</v>
      </c>
      <c r="G2291">
        <v>30</v>
      </c>
      <c r="H2291">
        <v>35</v>
      </c>
      <c r="I2291" t="b">
        <v>0</v>
      </c>
      <c r="J2291" t="s">
        <v>1290</v>
      </c>
      <c r="K2291" t="s">
        <v>32</v>
      </c>
      <c r="L2291" t="s">
        <v>716</v>
      </c>
      <c r="M2291" t="s">
        <v>1170</v>
      </c>
      <c r="Q2291" t="s">
        <v>1372</v>
      </c>
      <c r="R2291" t="s">
        <v>1372</v>
      </c>
      <c r="S2291">
        <v>3</v>
      </c>
    </row>
    <row r="2292" spans="1:19" hidden="1" x14ac:dyDescent="0.25">
      <c r="A2292" t="s">
        <v>981</v>
      </c>
      <c r="B2292" t="s">
        <v>1372</v>
      </c>
      <c r="C2292" s="5">
        <v>3</v>
      </c>
      <c r="D2292" t="s">
        <v>407</v>
      </c>
      <c r="E2292" t="s">
        <v>1380</v>
      </c>
      <c r="F2292" t="s">
        <v>26</v>
      </c>
      <c r="G2292">
        <v>5</v>
      </c>
      <c r="H2292">
        <v>15</v>
      </c>
      <c r="I2292" t="b">
        <v>0</v>
      </c>
      <c r="J2292" t="s">
        <v>1365</v>
      </c>
      <c r="K2292" t="s">
        <v>32</v>
      </c>
      <c r="L2292" t="s">
        <v>716</v>
      </c>
      <c r="M2292" t="s">
        <v>1170</v>
      </c>
      <c r="Q2292" t="s">
        <v>1372</v>
      </c>
      <c r="R2292" t="s">
        <v>1372</v>
      </c>
      <c r="S2292">
        <v>2</v>
      </c>
    </row>
    <row r="2293" spans="1:19" hidden="1" x14ac:dyDescent="0.25">
      <c r="A2293" t="s">
        <v>981</v>
      </c>
      <c r="B2293" t="s">
        <v>1372</v>
      </c>
      <c r="C2293" s="5">
        <v>3</v>
      </c>
      <c r="D2293" t="s">
        <v>924</v>
      </c>
      <c r="E2293" t="s">
        <v>946</v>
      </c>
      <c r="F2293" t="s">
        <v>26</v>
      </c>
      <c r="G2293">
        <v>40</v>
      </c>
      <c r="H2293">
        <v>50</v>
      </c>
      <c r="I2293" t="b">
        <v>0</v>
      </c>
      <c r="J2293" t="s">
        <v>1363</v>
      </c>
      <c r="K2293" t="s">
        <v>32</v>
      </c>
      <c r="L2293" t="s">
        <v>716</v>
      </c>
      <c r="M2293" t="s">
        <v>1170</v>
      </c>
      <c r="Q2293" t="s">
        <v>1372</v>
      </c>
      <c r="R2293" t="s">
        <v>1372</v>
      </c>
      <c r="S2293">
        <v>4</v>
      </c>
    </row>
    <row r="2294" spans="1:19" hidden="1" x14ac:dyDescent="0.25">
      <c r="A2294" t="s">
        <v>981</v>
      </c>
      <c r="B2294" t="s">
        <v>1372</v>
      </c>
      <c r="C2294" s="5">
        <v>3</v>
      </c>
      <c r="D2294" t="s">
        <v>927</v>
      </c>
      <c r="E2294" t="s">
        <v>948</v>
      </c>
      <c r="F2294" t="s">
        <v>26</v>
      </c>
      <c r="G2294">
        <v>35</v>
      </c>
      <c r="H2294">
        <v>45</v>
      </c>
      <c r="I2294" t="b">
        <v>0</v>
      </c>
      <c r="J2294" t="s">
        <v>1378</v>
      </c>
      <c r="K2294" t="s">
        <v>32</v>
      </c>
      <c r="L2294" t="s">
        <v>716</v>
      </c>
      <c r="M2294" t="s">
        <v>1170</v>
      </c>
      <c r="Q2294" t="s">
        <v>1372</v>
      </c>
      <c r="R2294" t="s">
        <v>1372</v>
      </c>
      <c r="S2294">
        <v>5</v>
      </c>
    </row>
    <row r="2295" spans="1:19" hidden="1" x14ac:dyDescent="0.25">
      <c r="A2295" t="s">
        <v>981</v>
      </c>
      <c r="B2295" t="s">
        <v>1372</v>
      </c>
      <c r="C2295" s="5">
        <v>4</v>
      </c>
      <c r="D2295" t="s">
        <v>1381</v>
      </c>
      <c r="E2295" t="s">
        <v>1382</v>
      </c>
      <c r="F2295" t="s">
        <v>25</v>
      </c>
      <c r="G2295">
        <v>1.5</v>
      </c>
      <c r="H2295">
        <v>3</v>
      </c>
      <c r="I2295" t="b">
        <v>1</v>
      </c>
      <c r="J2295" t="s">
        <v>1383</v>
      </c>
      <c r="K2295" t="s">
        <v>32</v>
      </c>
      <c r="Q2295" t="s">
        <v>1372</v>
      </c>
      <c r="R2295" t="s">
        <v>1372</v>
      </c>
      <c r="S2295">
        <v>19</v>
      </c>
    </row>
    <row r="2296" spans="1:19" hidden="1" x14ac:dyDescent="0.25">
      <c r="A2296" t="s">
        <v>981</v>
      </c>
      <c r="B2296" t="s">
        <v>1372</v>
      </c>
      <c r="C2296" s="5">
        <v>4</v>
      </c>
      <c r="D2296" t="s">
        <v>1373</v>
      </c>
      <c r="E2296" t="s">
        <v>969</v>
      </c>
      <c r="F2296" t="s">
        <v>24</v>
      </c>
      <c r="G2296">
        <v>10</v>
      </c>
      <c r="H2296">
        <v>20</v>
      </c>
      <c r="I2296" t="b">
        <v>1</v>
      </c>
      <c r="J2296" t="s">
        <v>1374</v>
      </c>
      <c r="K2296" t="s">
        <v>32</v>
      </c>
      <c r="Q2296" t="s">
        <v>1372</v>
      </c>
      <c r="R2296" t="s">
        <v>1372</v>
      </c>
      <c r="S2296">
        <v>7</v>
      </c>
    </row>
    <row r="2297" spans="1:19" hidden="1" x14ac:dyDescent="0.25">
      <c r="A2297" t="s">
        <v>981</v>
      </c>
      <c r="B2297" t="s">
        <v>1372</v>
      </c>
      <c r="C2297" s="5">
        <v>4</v>
      </c>
      <c r="D2297" t="s">
        <v>1426</v>
      </c>
      <c r="E2297" t="s">
        <v>952</v>
      </c>
      <c r="F2297" t="s">
        <v>25</v>
      </c>
      <c r="G2297">
        <v>10</v>
      </c>
      <c r="H2297">
        <v>15</v>
      </c>
      <c r="I2297" t="b">
        <v>1</v>
      </c>
      <c r="J2297" t="s">
        <v>1427</v>
      </c>
      <c r="K2297" t="s">
        <v>32</v>
      </c>
      <c r="Q2297" t="s">
        <v>1372</v>
      </c>
      <c r="R2297" t="s">
        <v>1372</v>
      </c>
      <c r="S2297">
        <v>6</v>
      </c>
    </row>
    <row r="2298" spans="1:19" hidden="1" x14ac:dyDescent="0.25">
      <c r="A2298" t="s">
        <v>981</v>
      </c>
      <c r="B2298" t="s">
        <v>1372</v>
      </c>
      <c r="C2298" s="5">
        <v>4</v>
      </c>
      <c r="D2298" t="s">
        <v>11</v>
      </c>
      <c r="E2298" t="s">
        <v>950</v>
      </c>
      <c r="F2298" t="s">
        <v>25</v>
      </c>
      <c r="G2298">
        <v>25</v>
      </c>
      <c r="H2298">
        <v>30</v>
      </c>
      <c r="I2298" t="b">
        <v>1</v>
      </c>
      <c r="J2298" t="s">
        <v>0</v>
      </c>
      <c r="K2298" t="s">
        <v>32</v>
      </c>
      <c r="L2298" t="s">
        <v>716</v>
      </c>
      <c r="M2298" t="s">
        <v>1170</v>
      </c>
      <c r="Q2298" t="s">
        <v>1372</v>
      </c>
      <c r="R2298" t="s">
        <v>1372</v>
      </c>
      <c r="S2298">
        <v>1</v>
      </c>
    </row>
    <row r="2299" spans="1:19" hidden="1" x14ac:dyDescent="0.25">
      <c r="A2299" t="s">
        <v>981</v>
      </c>
      <c r="B2299" t="s">
        <v>1372</v>
      </c>
      <c r="C2299" s="5">
        <v>4</v>
      </c>
      <c r="D2299" t="s">
        <v>148</v>
      </c>
      <c r="E2299" t="s">
        <v>725</v>
      </c>
      <c r="F2299" t="s">
        <v>25</v>
      </c>
      <c r="G2299">
        <v>0</v>
      </c>
      <c r="H2299">
        <v>1</v>
      </c>
      <c r="I2299" t="b">
        <v>1</v>
      </c>
      <c r="J2299" t="s">
        <v>1384</v>
      </c>
      <c r="K2299" t="s">
        <v>32</v>
      </c>
      <c r="L2299" t="s">
        <v>716</v>
      </c>
      <c r="M2299" t="s">
        <v>1170</v>
      </c>
      <c r="Q2299" t="s">
        <v>1372</v>
      </c>
      <c r="R2299" t="s">
        <v>1372</v>
      </c>
      <c r="S2299">
        <v>14</v>
      </c>
    </row>
    <row r="2300" spans="1:19" hidden="1" x14ac:dyDescent="0.25">
      <c r="A2300" t="s">
        <v>981</v>
      </c>
      <c r="B2300" t="s">
        <v>1372</v>
      </c>
      <c r="C2300" s="5">
        <v>4</v>
      </c>
      <c r="D2300" t="s">
        <v>311</v>
      </c>
      <c r="E2300" t="s">
        <v>948</v>
      </c>
      <c r="F2300" t="s">
        <v>26</v>
      </c>
      <c r="G2300">
        <v>35</v>
      </c>
      <c r="H2300">
        <v>45</v>
      </c>
      <c r="I2300" t="b">
        <v>0</v>
      </c>
      <c r="J2300" t="s">
        <v>1290</v>
      </c>
      <c r="K2300" t="s">
        <v>32</v>
      </c>
      <c r="L2300" t="s">
        <v>716</v>
      </c>
      <c r="M2300" t="s">
        <v>1170</v>
      </c>
      <c r="Q2300" t="s">
        <v>1372</v>
      </c>
      <c r="R2300" t="s">
        <v>1372</v>
      </c>
      <c r="S2300">
        <v>3</v>
      </c>
    </row>
    <row r="2301" spans="1:19" hidden="1" x14ac:dyDescent="0.25">
      <c r="A2301" t="s">
        <v>981</v>
      </c>
      <c r="B2301" t="s">
        <v>1372</v>
      </c>
      <c r="C2301" s="5">
        <v>4</v>
      </c>
      <c r="D2301" t="s">
        <v>407</v>
      </c>
      <c r="E2301" t="s">
        <v>1314</v>
      </c>
      <c r="F2301" t="s">
        <v>27</v>
      </c>
      <c r="G2301">
        <v>15</v>
      </c>
      <c r="H2301">
        <v>20</v>
      </c>
      <c r="I2301" t="b">
        <v>0</v>
      </c>
      <c r="J2301" t="s">
        <v>1365</v>
      </c>
      <c r="K2301" t="s">
        <v>32</v>
      </c>
      <c r="L2301" t="s">
        <v>716</v>
      </c>
      <c r="M2301" t="s">
        <v>1170</v>
      </c>
      <c r="Q2301" t="s">
        <v>1372</v>
      </c>
      <c r="R2301" t="s">
        <v>1372</v>
      </c>
      <c r="S2301">
        <v>2</v>
      </c>
    </row>
    <row r="2302" spans="1:19" hidden="1" x14ac:dyDescent="0.25">
      <c r="A2302" t="s">
        <v>981</v>
      </c>
      <c r="B2302" t="s">
        <v>1372</v>
      </c>
      <c r="C2302" s="5">
        <v>4</v>
      </c>
      <c r="D2302" t="s">
        <v>924</v>
      </c>
      <c r="E2302" t="s">
        <v>922</v>
      </c>
      <c r="F2302" t="s">
        <v>26</v>
      </c>
      <c r="G2302">
        <v>60</v>
      </c>
      <c r="H2302">
        <v>70</v>
      </c>
      <c r="I2302" t="b">
        <v>0</v>
      </c>
      <c r="J2302" t="s">
        <v>1363</v>
      </c>
      <c r="K2302" t="s">
        <v>32</v>
      </c>
      <c r="L2302" t="s">
        <v>716</v>
      </c>
      <c r="M2302" t="s">
        <v>1170</v>
      </c>
      <c r="Q2302" t="s">
        <v>1372</v>
      </c>
      <c r="R2302" t="s">
        <v>1372</v>
      </c>
      <c r="S2302">
        <v>4</v>
      </c>
    </row>
    <row r="2303" spans="1:19" hidden="1" x14ac:dyDescent="0.25">
      <c r="A2303" t="s">
        <v>981</v>
      </c>
      <c r="B2303" t="s">
        <v>1372</v>
      </c>
      <c r="C2303" s="5">
        <v>4</v>
      </c>
      <c r="D2303" t="s">
        <v>927</v>
      </c>
      <c r="E2303" t="s">
        <v>954</v>
      </c>
      <c r="F2303" t="s">
        <v>26</v>
      </c>
      <c r="G2303">
        <v>45</v>
      </c>
      <c r="H2303">
        <v>55</v>
      </c>
      <c r="I2303" t="b">
        <v>0</v>
      </c>
      <c r="J2303" t="s">
        <v>1378</v>
      </c>
      <c r="K2303" t="s">
        <v>32</v>
      </c>
      <c r="L2303" t="s">
        <v>716</v>
      </c>
      <c r="M2303" t="s">
        <v>1170</v>
      </c>
      <c r="Q2303" t="s">
        <v>1372</v>
      </c>
      <c r="R2303" t="s">
        <v>1372</v>
      </c>
      <c r="S2303">
        <v>5</v>
      </c>
    </row>
    <row r="2304" spans="1:19" hidden="1" x14ac:dyDescent="0.25">
      <c r="A2304" t="s">
        <v>981</v>
      </c>
      <c r="B2304" t="s">
        <v>1372</v>
      </c>
      <c r="C2304" s="5">
        <v>5</v>
      </c>
      <c r="D2304" t="s">
        <v>11</v>
      </c>
      <c r="E2304" t="s">
        <v>945</v>
      </c>
      <c r="F2304" t="s">
        <v>24</v>
      </c>
      <c r="G2304">
        <v>15</v>
      </c>
      <c r="H2304">
        <v>25</v>
      </c>
      <c r="I2304" t="b">
        <v>1</v>
      </c>
      <c r="J2304" t="s">
        <v>0</v>
      </c>
      <c r="K2304" t="s">
        <v>32</v>
      </c>
      <c r="L2304" t="s">
        <v>716</v>
      </c>
      <c r="M2304" t="s">
        <v>1170</v>
      </c>
      <c r="Q2304" t="s">
        <v>1372</v>
      </c>
      <c r="R2304" t="s">
        <v>1372</v>
      </c>
      <c r="S2304">
        <v>1</v>
      </c>
    </row>
    <row r="2305" spans="1:19" hidden="1" x14ac:dyDescent="0.25">
      <c r="A2305" t="s">
        <v>981</v>
      </c>
      <c r="B2305" t="s">
        <v>1372</v>
      </c>
      <c r="C2305" s="5">
        <v>5</v>
      </c>
      <c r="D2305" t="s">
        <v>1373</v>
      </c>
      <c r="E2305" t="s">
        <v>971</v>
      </c>
      <c r="F2305" t="s">
        <v>25</v>
      </c>
      <c r="G2305">
        <v>5</v>
      </c>
      <c r="H2305">
        <v>10</v>
      </c>
      <c r="I2305" t="b">
        <v>1</v>
      </c>
      <c r="J2305" t="s">
        <v>1374</v>
      </c>
      <c r="K2305" t="s">
        <v>32</v>
      </c>
      <c r="L2305" t="s">
        <v>716</v>
      </c>
      <c r="M2305" t="s">
        <v>1170</v>
      </c>
      <c r="Q2305" t="s">
        <v>1372</v>
      </c>
      <c r="R2305" t="s">
        <v>1372</v>
      </c>
      <c r="S2305">
        <v>7</v>
      </c>
    </row>
    <row r="2306" spans="1:19" hidden="1" x14ac:dyDescent="0.25">
      <c r="A2306" t="s">
        <v>981</v>
      </c>
      <c r="B2306" t="s">
        <v>1372</v>
      </c>
      <c r="C2306" s="5">
        <v>5</v>
      </c>
      <c r="D2306" t="s">
        <v>1426</v>
      </c>
      <c r="E2306" t="s">
        <v>1330</v>
      </c>
      <c r="F2306" t="s">
        <v>24</v>
      </c>
      <c r="G2306">
        <v>0</v>
      </c>
      <c r="H2306">
        <v>6</v>
      </c>
      <c r="I2306" t="b">
        <v>1</v>
      </c>
      <c r="J2306" t="s">
        <v>1427</v>
      </c>
      <c r="K2306" t="s">
        <v>32</v>
      </c>
      <c r="L2306" t="s">
        <v>716</v>
      </c>
      <c r="M2306" t="s">
        <v>1170</v>
      </c>
      <c r="Q2306" t="s">
        <v>1372</v>
      </c>
      <c r="R2306" t="s">
        <v>1372</v>
      </c>
      <c r="S2306">
        <v>6</v>
      </c>
    </row>
    <row r="2307" spans="1:19" hidden="1" x14ac:dyDescent="0.25">
      <c r="A2307" t="s">
        <v>981</v>
      </c>
      <c r="B2307" t="s">
        <v>1372</v>
      </c>
      <c r="C2307" s="5">
        <v>5</v>
      </c>
      <c r="D2307" t="s">
        <v>407</v>
      </c>
      <c r="E2307" t="s">
        <v>974</v>
      </c>
      <c r="F2307" t="s">
        <v>27</v>
      </c>
      <c r="G2307">
        <v>20</v>
      </c>
      <c r="H2307">
        <v>25</v>
      </c>
      <c r="I2307" t="b">
        <v>0</v>
      </c>
      <c r="J2307" t="s">
        <v>1365</v>
      </c>
      <c r="K2307" t="s">
        <v>32</v>
      </c>
      <c r="L2307" t="s">
        <v>716</v>
      </c>
      <c r="M2307" t="s">
        <v>1170</v>
      </c>
      <c r="Q2307" t="s">
        <v>1372</v>
      </c>
      <c r="R2307" t="s">
        <v>1372</v>
      </c>
      <c r="S2307">
        <v>2</v>
      </c>
    </row>
    <row r="2308" spans="1:19" hidden="1" x14ac:dyDescent="0.25">
      <c r="A2308" t="s">
        <v>981</v>
      </c>
      <c r="B2308" t="s">
        <v>1385</v>
      </c>
      <c r="C2308" s="5">
        <v>2</v>
      </c>
      <c r="D2308" t="s">
        <v>11</v>
      </c>
      <c r="E2308" t="s">
        <v>977</v>
      </c>
      <c r="F2308" t="s">
        <v>24</v>
      </c>
      <c r="G2308">
        <v>40</v>
      </c>
      <c r="H2308">
        <v>50</v>
      </c>
      <c r="I2308" t="b">
        <v>1</v>
      </c>
      <c r="J2308" t="s">
        <v>0</v>
      </c>
      <c r="K2308" t="s">
        <v>32</v>
      </c>
      <c r="Q2308" t="s">
        <v>1385</v>
      </c>
      <c r="R2308" t="s">
        <v>1385</v>
      </c>
      <c r="S2308">
        <v>1</v>
      </c>
    </row>
    <row r="2309" spans="1:19" hidden="1" x14ac:dyDescent="0.25">
      <c r="A2309" t="s">
        <v>981</v>
      </c>
      <c r="B2309" t="s">
        <v>1385</v>
      </c>
      <c r="C2309" s="5">
        <v>2</v>
      </c>
      <c r="D2309" t="s">
        <v>903</v>
      </c>
      <c r="E2309" t="s">
        <v>1016</v>
      </c>
      <c r="F2309" t="s">
        <v>25</v>
      </c>
      <c r="G2309">
        <v>4</v>
      </c>
      <c r="H2309">
        <v>7</v>
      </c>
      <c r="I2309" t="b">
        <v>1</v>
      </c>
      <c r="J2309" t="s">
        <v>1357</v>
      </c>
      <c r="K2309" t="s">
        <v>32</v>
      </c>
      <c r="Q2309" t="s">
        <v>1385</v>
      </c>
      <c r="R2309" t="s">
        <v>1385</v>
      </c>
      <c r="S2309">
        <v>10</v>
      </c>
    </row>
    <row r="2310" spans="1:19" hidden="1" x14ac:dyDescent="0.25">
      <c r="A2310" t="s">
        <v>981</v>
      </c>
      <c r="B2310" t="s">
        <v>1385</v>
      </c>
      <c r="C2310" s="5">
        <v>2</v>
      </c>
      <c r="D2310" t="s">
        <v>983</v>
      </c>
      <c r="E2310" t="s">
        <v>963</v>
      </c>
      <c r="F2310" t="s">
        <v>25</v>
      </c>
      <c r="G2310">
        <v>2</v>
      </c>
      <c r="H2310">
        <v>7</v>
      </c>
      <c r="I2310" t="b">
        <v>1</v>
      </c>
      <c r="J2310" t="s">
        <v>1359</v>
      </c>
      <c r="K2310" t="s">
        <v>32</v>
      </c>
      <c r="Q2310" t="s">
        <v>1385</v>
      </c>
      <c r="R2310" t="s">
        <v>1385</v>
      </c>
      <c r="S2310">
        <v>9</v>
      </c>
    </row>
    <row r="2311" spans="1:19" hidden="1" x14ac:dyDescent="0.25">
      <c r="A2311" t="s">
        <v>981</v>
      </c>
      <c r="B2311" t="s">
        <v>1385</v>
      </c>
      <c r="C2311" s="5">
        <v>2</v>
      </c>
      <c r="D2311" t="s">
        <v>1373</v>
      </c>
      <c r="E2311" t="s">
        <v>1386</v>
      </c>
      <c r="F2311" t="s">
        <v>25</v>
      </c>
      <c r="G2311">
        <v>23</v>
      </c>
      <c r="H2311">
        <v>28</v>
      </c>
      <c r="I2311" t="b">
        <v>1</v>
      </c>
      <c r="J2311" t="s">
        <v>1374</v>
      </c>
      <c r="K2311" t="s">
        <v>32</v>
      </c>
      <c r="Q2311" t="s">
        <v>1385</v>
      </c>
      <c r="R2311" t="s">
        <v>1385</v>
      </c>
      <c r="S2311">
        <v>7</v>
      </c>
    </row>
    <row r="2312" spans="1:19" hidden="1" x14ac:dyDescent="0.25">
      <c r="A2312" t="s">
        <v>981</v>
      </c>
      <c r="B2312" t="s">
        <v>1385</v>
      </c>
      <c r="C2312" s="5">
        <v>2</v>
      </c>
      <c r="D2312" t="s">
        <v>407</v>
      </c>
      <c r="E2312" t="s">
        <v>1364</v>
      </c>
      <c r="F2312" t="s">
        <v>26</v>
      </c>
      <c r="G2312">
        <v>0</v>
      </c>
      <c r="H2312">
        <v>2</v>
      </c>
      <c r="I2312" t="b">
        <v>0</v>
      </c>
      <c r="J2312" t="s">
        <v>1365</v>
      </c>
      <c r="K2312" t="s">
        <v>32</v>
      </c>
      <c r="Q2312" t="s">
        <v>1385</v>
      </c>
      <c r="R2312" t="s">
        <v>1385</v>
      </c>
      <c r="S2312">
        <v>2</v>
      </c>
    </row>
    <row r="2313" spans="1:19" hidden="1" x14ac:dyDescent="0.25">
      <c r="A2313" t="s">
        <v>981</v>
      </c>
      <c r="B2313" t="s">
        <v>1385</v>
      </c>
      <c r="C2313" s="5">
        <v>2</v>
      </c>
      <c r="D2313" t="s">
        <v>912</v>
      </c>
      <c r="E2313" t="s">
        <v>1016</v>
      </c>
      <c r="F2313" t="s">
        <v>25</v>
      </c>
      <c r="G2313">
        <v>4</v>
      </c>
      <c r="H2313">
        <v>7</v>
      </c>
      <c r="I2313" t="b">
        <v>1</v>
      </c>
      <c r="J2313" t="s">
        <v>1361</v>
      </c>
      <c r="K2313" t="s">
        <v>32</v>
      </c>
      <c r="Q2313" t="s">
        <v>1385</v>
      </c>
      <c r="R2313" t="s">
        <v>1385</v>
      </c>
      <c r="S2313">
        <v>12</v>
      </c>
    </row>
    <row r="2314" spans="1:19" hidden="1" x14ac:dyDescent="0.25">
      <c r="A2314" t="s">
        <v>981</v>
      </c>
      <c r="B2314" t="s">
        <v>1385</v>
      </c>
      <c r="C2314" s="5">
        <v>2</v>
      </c>
      <c r="D2314" t="s">
        <v>918</v>
      </c>
      <c r="E2314" t="s">
        <v>919</v>
      </c>
      <c r="F2314" t="s">
        <v>25</v>
      </c>
      <c r="G2314">
        <v>2</v>
      </c>
      <c r="H2314">
        <v>5</v>
      </c>
      <c r="I2314" t="b">
        <v>1</v>
      </c>
      <c r="J2314" t="s">
        <v>1362</v>
      </c>
      <c r="K2314" t="s">
        <v>32</v>
      </c>
      <c r="Q2314" t="s">
        <v>1385</v>
      </c>
      <c r="R2314" t="s">
        <v>1385</v>
      </c>
      <c r="S2314">
        <v>13</v>
      </c>
    </row>
    <row r="2315" spans="1:19" hidden="1" x14ac:dyDescent="0.25">
      <c r="A2315" t="s">
        <v>981</v>
      </c>
      <c r="B2315" t="s">
        <v>1385</v>
      </c>
      <c r="C2315" s="5">
        <v>2</v>
      </c>
      <c r="D2315" t="s">
        <v>909</v>
      </c>
      <c r="E2315" t="s">
        <v>910</v>
      </c>
      <c r="F2315" t="s">
        <v>25</v>
      </c>
      <c r="G2315">
        <v>4</v>
      </c>
      <c r="H2315">
        <v>9</v>
      </c>
      <c r="I2315" t="b">
        <v>1</v>
      </c>
      <c r="J2315" t="s">
        <v>1375</v>
      </c>
      <c r="K2315" t="s">
        <v>32</v>
      </c>
      <c r="Q2315" t="s">
        <v>1385</v>
      </c>
      <c r="R2315" t="s">
        <v>1385</v>
      </c>
      <c r="S2315">
        <v>15</v>
      </c>
    </row>
    <row r="2316" spans="1:19" hidden="1" x14ac:dyDescent="0.25">
      <c r="A2316" t="s">
        <v>981</v>
      </c>
      <c r="B2316" t="s">
        <v>1385</v>
      </c>
      <c r="C2316" s="5">
        <v>2</v>
      </c>
      <c r="D2316" t="s">
        <v>915</v>
      </c>
      <c r="E2316" t="s">
        <v>919</v>
      </c>
      <c r="F2316" t="s">
        <v>25</v>
      </c>
      <c r="G2316">
        <v>2</v>
      </c>
      <c r="H2316">
        <v>5</v>
      </c>
      <c r="I2316" t="b">
        <v>1</v>
      </c>
      <c r="J2316" t="s">
        <v>1376</v>
      </c>
      <c r="K2316" t="s">
        <v>32</v>
      </c>
      <c r="Q2316" t="s">
        <v>1385</v>
      </c>
      <c r="R2316" t="s">
        <v>1385</v>
      </c>
      <c r="S2316">
        <v>16</v>
      </c>
    </row>
    <row r="2317" spans="1:19" hidden="1" x14ac:dyDescent="0.25">
      <c r="A2317" t="s">
        <v>981</v>
      </c>
      <c r="B2317" t="s">
        <v>1385</v>
      </c>
      <c r="C2317" s="5">
        <v>2</v>
      </c>
      <c r="D2317" t="s">
        <v>1426</v>
      </c>
      <c r="E2317" t="s">
        <v>932</v>
      </c>
      <c r="F2317" t="s">
        <v>24</v>
      </c>
      <c r="G2317">
        <v>35</v>
      </c>
      <c r="H2317">
        <v>45</v>
      </c>
      <c r="I2317" t="b">
        <v>1</v>
      </c>
      <c r="J2317" t="s">
        <v>1427</v>
      </c>
      <c r="K2317" t="s">
        <v>32</v>
      </c>
      <c r="Q2317" t="s">
        <v>1385</v>
      </c>
      <c r="R2317" t="s">
        <v>1385</v>
      </c>
      <c r="S2317">
        <v>6</v>
      </c>
    </row>
    <row r="2318" spans="1:19" hidden="1" x14ac:dyDescent="0.25">
      <c r="A2318" t="s">
        <v>981</v>
      </c>
      <c r="B2318" t="s">
        <v>1385</v>
      </c>
      <c r="C2318" s="5">
        <v>2</v>
      </c>
      <c r="D2318" t="s">
        <v>1367</v>
      </c>
      <c r="E2318" t="s">
        <v>1271</v>
      </c>
      <c r="F2318" t="s">
        <v>27</v>
      </c>
      <c r="G2318">
        <v>0</v>
      </c>
      <c r="H2318">
        <v>1</v>
      </c>
      <c r="I2318" t="b">
        <v>0</v>
      </c>
      <c r="J2318" t="s">
        <v>1368</v>
      </c>
      <c r="K2318" t="s">
        <v>32</v>
      </c>
      <c r="Q2318" t="s">
        <v>1385</v>
      </c>
      <c r="R2318" t="s">
        <v>1385</v>
      </c>
      <c r="S2318">
        <v>11</v>
      </c>
    </row>
    <row r="2319" spans="1:19" hidden="1" x14ac:dyDescent="0.25">
      <c r="A2319" t="s">
        <v>981</v>
      </c>
      <c r="B2319" t="s">
        <v>1385</v>
      </c>
      <c r="C2319" s="5">
        <v>2</v>
      </c>
      <c r="D2319" t="s">
        <v>936</v>
      </c>
      <c r="E2319" t="s">
        <v>1386</v>
      </c>
      <c r="F2319" t="s">
        <v>25</v>
      </c>
      <c r="G2319">
        <v>23</v>
      </c>
      <c r="H2319">
        <v>28</v>
      </c>
      <c r="I2319" t="b">
        <v>1</v>
      </c>
      <c r="J2319" t="s">
        <v>1366</v>
      </c>
      <c r="K2319" t="s">
        <v>32</v>
      </c>
      <c r="L2319" t="s">
        <v>716</v>
      </c>
      <c r="M2319" t="s">
        <v>1170</v>
      </c>
      <c r="Q2319" t="s">
        <v>1385</v>
      </c>
      <c r="R2319" t="s">
        <v>1385</v>
      </c>
      <c r="S2319">
        <v>17</v>
      </c>
    </row>
    <row r="2320" spans="1:19" hidden="1" x14ac:dyDescent="0.25">
      <c r="A2320" t="s">
        <v>981</v>
      </c>
      <c r="B2320" t="s">
        <v>1385</v>
      </c>
      <c r="C2320" s="5">
        <v>2</v>
      </c>
      <c r="D2320" t="s">
        <v>311</v>
      </c>
      <c r="E2320" t="s">
        <v>974</v>
      </c>
      <c r="F2320" t="s">
        <v>27</v>
      </c>
      <c r="G2320">
        <v>20</v>
      </c>
      <c r="H2320">
        <v>25</v>
      </c>
      <c r="I2320" t="b">
        <v>0</v>
      </c>
      <c r="J2320" t="s">
        <v>1290</v>
      </c>
      <c r="K2320" t="s">
        <v>32</v>
      </c>
      <c r="L2320" t="s">
        <v>716</v>
      </c>
      <c r="M2320" t="s">
        <v>1170</v>
      </c>
      <c r="Q2320" t="s">
        <v>1385</v>
      </c>
      <c r="R2320" t="s">
        <v>1385</v>
      </c>
      <c r="S2320">
        <v>3</v>
      </c>
    </row>
    <row r="2321" spans="1:19" hidden="1" x14ac:dyDescent="0.25">
      <c r="A2321" t="s">
        <v>981</v>
      </c>
      <c r="B2321" t="s">
        <v>1385</v>
      </c>
      <c r="C2321" s="5">
        <v>2</v>
      </c>
      <c r="D2321" t="s">
        <v>924</v>
      </c>
      <c r="E2321" t="s">
        <v>948</v>
      </c>
      <c r="F2321" t="s">
        <v>26</v>
      </c>
      <c r="G2321">
        <v>35</v>
      </c>
      <c r="H2321">
        <v>45</v>
      </c>
      <c r="I2321" t="b">
        <v>0</v>
      </c>
      <c r="J2321" t="s">
        <v>1363</v>
      </c>
      <c r="K2321" t="s">
        <v>32</v>
      </c>
      <c r="L2321" t="s">
        <v>716</v>
      </c>
      <c r="M2321" t="s">
        <v>1170</v>
      </c>
      <c r="Q2321" t="s">
        <v>1385</v>
      </c>
      <c r="R2321" t="s">
        <v>1385</v>
      </c>
      <c r="S2321">
        <v>4</v>
      </c>
    </row>
    <row r="2322" spans="1:19" hidden="1" x14ac:dyDescent="0.25">
      <c r="A2322" t="s">
        <v>981</v>
      </c>
      <c r="B2322" t="s">
        <v>1385</v>
      </c>
      <c r="C2322" s="5">
        <v>2</v>
      </c>
      <c r="D2322" t="s">
        <v>927</v>
      </c>
      <c r="E2322" t="s">
        <v>1345</v>
      </c>
      <c r="F2322" t="s">
        <v>27</v>
      </c>
      <c r="G2322">
        <v>25</v>
      </c>
      <c r="H2322">
        <v>30</v>
      </c>
      <c r="I2322" t="b">
        <v>0</v>
      </c>
      <c r="J2322" t="s">
        <v>1378</v>
      </c>
      <c r="K2322" t="s">
        <v>32</v>
      </c>
      <c r="L2322" t="s">
        <v>716</v>
      </c>
      <c r="M2322" t="s">
        <v>1170</v>
      </c>
      <c r="Q2322" t="s">
        <v>1385</v>
      </c>
      <c r="R2322" t="s">
        <v>1385</v>
      </c>
      <c r="S2322">
        <v>5</v>
      </c>
    </row>
    <row r="2323" spans="1:19" hidden="1" x14ac:dyDescent="0.25">
      <c r="A2323" t="s">
        <v>981</v>
      </c>
      <c r="B2323" t="s">
        <v>1385</v>
      </c>
      <c r="C2323" s="5">
        <v>3</v>
      </c>
      <c r="D2323" t="s">
        <v>11</v>
      </c>
      <c r="E2323" t="s">
        <v>976</v>
      </c>
      <c r="F2323" t="s">
        <v>25</v>
      </c>
      <c r="G2323">
        <v>35</v>
      </c>
      <c r="H2323">
        <v>40</v>
      </c>
      <c r="I2323" t="b">
        <v>1</v>
      </c>
      <c r="J2323" t="s">
        <v>0</v>
      </c>
      <c r="K2323" t="s">
        <v>32</v>
      </c>
      <c r="Q2323" t="s">
        <v>1385</v>
      </c>
      <c r="R2323" t="s">
        <v>1385</v>
      </c>
      <c r="S2323">
        <v>1</v>
      </c>
    </row>
    <row r="2324" spans="1:19" hidden="1" x14ac:dyDescent="0.25">
      <c r="A2324" t="s">
        <v>981</v>
      </c>
      <c r="B2324" t="s">
        <v>1385</v>
      </c>
      <c r="C2324" s="5">
        <v>3</v>
      </c>
      <c r="D2324" t="s">
        <v>903</v>
      </c>
      <c r="E2324" t="s">
        <v>919</v>
      </c>
      <c r="F2324" t="s">
        <v>25</v>
      </c>
      <c r="G2324">
        <v>2</v>
      </c>
      <c r="H2324">
        <v>5</v>
      </c>
      <c r="I2324" t="b">
        <v>1</v>
      </c>
      <c r="J2324" t="s">
        <v>1357</v>
      </c>
      <c r="K2324" t="s">
        <v>32</v>
      </c>
      <c r="Q2324" t="s">
        <v>1385</v>
      </c>
      <c r="R2324" t="s">
        <v>1385</v>
      </c>
      <c r="S2324">
        <v>10</v>
      </c>
    </row>
    <row r="2325" spans="1:19" hidden="1" x14ac:dyDescent="0.25">
      <c r="A2325" t="s">
        <v>981</v>
      </c>
      <c r="B2325" t="s">
        <v>1385</v>
      </c>
      <c r="C2325" s="5">
        <v>3</v>
      </c>
      <c r="D2325" t="s">
        <v>983</v>
      </c>
      <c r="E2325" t="s">
        <v>1131</v>
      </c>
      <c r="F2325" t="s">
        <v>25</v>
      </c>
      <c r="G2325">
        <v>1</v>
      </c>
      <c r="H2325">
        <v>2</v>
      </c>
      <c r="I2325" t="b">
        <v>1</v>
      </c>
      <c r="J2325" t="s">
        <v>1359</v>
      </c>
      <c r="K2325" t="s">
        <v>32</v>
      </c>
      <c r="Q2325" t="s">
        <v>1385</v>
      </c>
      <c r="R2325" t="s">
        <v>1385</v>
      </c>
      <c r="S2325">
        <v>9</v>
      </c>
    </row>
    <row r="2326" spans="1:19" hidden="1" x14ac:dyDescent="0.25">
      <c r="A2326" t="s">
        <v>981</v>
      </c>
      <c r="B2326" t="s">
        <v>1385</v>
      </c>
      <c r="C2326" s="5">
        <v>3</v>
      </c>
      <c r="D2326" t="s">
        <v>1373</v>
      </c>
      <c r="E2326" t="s">
        <v>1342</v>
      </c>
      <c r="F2326" t="s">
        <v>25</v>
      </c>
      <c r="G2326">
        <v>18</v>
      </c>
      <c r="H2326">
        <v>23</v>
      </c>
      <c r="I2326" t="b">
        <v>1</v>
      </c>
      <c r="J2326" t="s">
        <v>1374</v>
      </c>
      <c r="K2326" t="s">
        <v>32</v>
      </c>
      <c r="Q2326" t="s">
        <v>1385</v>
      </c>
      <c r="R2326" t="s">
        <v>1385</v>
      </c>
      <c r="S2326">
        <v>7</v>
      </c>
    </row>
    <row r="2327" spans="1:19" hidden="1" x14ac:dyDescent="0.25">
      <c r="A2327" t="s">
        <v>981</v>
      </c>
      <c r="B2327" t="s">
        <v>1385</v>
      </c>
      <c r="C2327" s="5">
        <v>3</v>
      </c>
      <c r="D2327" t="s">
        <v>407</v>
      </c>
      <c r="E2327" t="s">
        <v>1268</v>
      </c>
      <c r="F2327" t="s">
        <v>27</v>
      </c>
      <c r="G2327">
        <v>2</v>
      </c>
      <c r="H2327">
        <v>5</v>
      </c>
      <c r="I2327" t="b">
        <v>0</v>
      </c>
      <c r="J2327" t="s">
        <v>1365</v>
      </c>
      <c r="K2327" t="s">
        <v>32</v>
      </c>
      <c r="Q2327" t="s">
        <v>1385</v>
      </c>
      <c r="R2327" t="s">
        <v>1385</v>
      </c>
      <c r="S2327">
        <v>2</v>
      </c>
    </row>
    <row r="2328" spans="1:19" hidden="1" x14ac:dyDescent="0.25">
      <c r="A2328" t="s">
        <v>981</v>
      </c>
      <c r="B2328" t="s">
        <v>1385</v>
      </c>
      <c r="C2328" s="5">
        <v>3</v>
      </c>
      <c r="D2328" t="s">
        <v>912</v>
      </c>
      <c r="E2328" t="s">
        <v>941</v>
      </c>
      <c r="F2328" t="s">
        <v>25</v>
      </c>
      <c r="G2328">
        <v>1</v>
      </c>
      <c r="H2328">
        <v>4</v>
      </c>
      <c r="I2328" t="b">
        <v>1</v>
      </c>
      <c r="J2328" t="s">
        <v>1361</v>
      </c>
      <c r="K2328" t="s">
        <v>32</v>
      </c>
      <c r="Q2328" t="s">
        <v>1385</v>
      </c>
      <c r="R2328" t="s">
        <v>1385</v>
      </c>
      <c r="S2328">
        <v>12</v>
      </c>
    </row>
    <row r="2329" spans="1:19" hidden="1" x14ac:dyDescent="0.25">
      <c r="A2329" t="s">
        <v>981</v>
      </c>
      <c r="B2329" t="s">
        <v>1385</v>
      </c>
      <c r="C2329" s="5">
        <v>3</v>
      </c>
      <c r="D2329" t="s">
        <v>918</v>
      </c>
      <c r="E2329" t="s">
        <v>725</v>
      </c>
      <c r="F2329" t="s">
        <v>25</v>
      </c>
      <c r="G2329">
        <v>0</v>
      </c>
      <c r="H2329">
        <v>1</v>
      </c>
      <c r="I2329" t="b">
        <v>1</v>
      </c>
      <c r="J2329" t="s">
        <v>1362</v>
      </c>
      <c r="K2329" t="s">
        <v>32</v>
      </c>
      <c r="Q2329" t="s">
        <v>1385</v>
      </c>
      <c r="R2329" t="s">
        <v>1385</v>
      </c>
      <c r="S2329">
        <v>13</v>
      </c>
    </row>
    <row r="2330" spans="1:19" hidden="1" x14ac:dyDescent="0.25">
      <c r="A2330" t="s">
        <v>981</v>
      </c>
      <c r="B2330" t="s">
        <v>1385</v>
      </c>
      <c r="C2330" s="5">
        <v>3</v>
      </c>
      <c r="D2330" t="s">
        <v>909</v>
      </c>
      <c r="E2330" t="s">
        <v>939</v>
      </c>
      <c r="F2330" t="s">
        <v>25</v>
      </c>
      <c r="G2330">
        <v>0</v>
      </c>
      <c r="H2330">
        <v>3</v>
      </c>
      <c r="I2330" t="b">
        <v>1</v>
      </c>
      <c r="J2330" t="s">
        <v>1375</v>
      </c>
      <c r="K2330" t="s">
        <v>32</v>
      </c>
      <c r="Q2330" t="s">
        <v>1385</v>
      </c>
      <c r="R2330" t="s">
        <v>1385</v>
      </c>
      <c r="S2330">
        <v>15</v>
      </c>
    </row>
    <row r="2331" spans="1:19" hidden="1" x14ac:dyDescent="0.25">
      <c r="A2331" t="s">
        <v>981</v>
      </c>
      <c r="B2331" t="s">
        <v>1385</v>
      </c>
      <c r="C2331" s="5">
        <v>3</v>
      </c>
      <c r="D2331" t="s">
        <v>915</v>
      </c>
      <c r="E2331" t="s">
        <v>725</v>
      </c>
      <c r="F2331" t="s">
        <v>25</v>
      </c>
      <c r="G2331">
        <v>0</v>
      </c>
      <c r="H2331">
        <v>1</v>
      </c>
      <c r="I2331" t="b">
        <v>1</v>
      </c>
      <c r="J2331" t="s">
        <v>1376</v>
      </c>
      <c r="K2331" t="s">
        <v>32</v>
      </c>
      <c r="Q2331" t="s">
        <v>1385</v>
      </c>
      <c r="R2331" t="s">
        <v>1385</v>
      </c>
      <c r="S2331">
        <v>16</v>
      </c>
    </row>
    <row r="2332" spans="1:19" hidden="1" x14ac:dyDescent="0.25">
      <c r="A2332" t="s">
        <v>981</v>
      </c>
      <c r="B2332" t="s">
        <v>1385</v>
      </c>
      <c r="C2332" s="5">
        <v>3</v>
      </c>
      <c r="D2332" t="s">
        <v>1426</v>
      </c>
      <c r="E2332" t="s">
        <v>993</v>
      </c>
      <c r="F2332" t="s">
        <v>25</v>
      </c>
      <c r="G2332">
        <v>30</v>
      </c>
      <c r="H2332">
        <v>35</v>
      </c>
      <c r="I2332" t="b">
        <v>1</v>
      </c>
      <c r="J2332" t="s">
        <v>1427</v>
      </c>
      <c r="K2332" t="s">
        <v>32</v>
      </c>
      <c r="Q2332" t="s">
        <v>1385</v>
      </c>
      <c r="R2332" t="s">
        <v>1385</v>
      </c>
      <c r="S2332">
        <v>6</v>
      </c>
    </row>
    <row r="2333" spans="1:19" hidden="1" x14ac:dyDescent="0.25">
      <c r="A2333" t="s">
        <v>981</v>
      </c>
      <c r="B2333" t="s">
        <v>1385</v>
      </c>
      <c r="C2333" s="5">
        <v>3</v>
      </c>
      <c r="D2333" t="s">
        <v>936</v>
      </c>
      <c r="E2333" t="s">
        <v>1342</v>
      </c>
      <c r="F2333" t="s">
        <v>25</v>
      </c>
      <c r="G2333">
        <v>18</v>
      </c>
      <c r="H2333">
        <v>23</v>
      </c>
      <c r="I2333" t="b">
        <v>1</v>
      </c>
      <c r="J2333" t="s">
        <v>1366</v>
      </c>
      <c r="K2333" t="s">
        <v>32</v>
      </c>
      <c r="L2333" t="s">
        <v>716</v>
      </c>
      <c r="M2333" t="s">
        <v>1170</v>
      </c>
      <c r="Q2333" t="s">
        <v>1385</v>
      </c>
      <c r="R2333" t="s">
        <v>1385</v>
      </c>
      <c r="S2333">
        <v>17</v>
      </c>
    </row>
    <row r="2334" spans="1:19" hidden="1" x14ac:dyDescent="0.25">
      <c r="A2334" t="s">
        <v>981</v>
      </c>
      <c r="B2334" t="s">
        <v>1385</v>
      </c>
      <c r="C2334" s="5">
        <v>3</v>
      </c>
      <c r="D2334" t="s">
        <v>311</v>
      </c>
      <c r="E2334" t="s">
        <v>987</v>
      </c>
      <c r="F2334" t="s">
        <v>26</v>
      </c>
      <c r="G2334">
        <v>25</v>
      </c>
      <c r="H2334">
        <v>35</v>
      </c>
      <c r="I2334" t="b">
        <v>0</v>
      </c>
      <c r="J2334" t="s">
        <v>1290</v>
      </c>
      <c r="K2334" t="s">
        <v>32</v>
      </c>
      <c r="L2334" t="s">
        <v>716</v>
      </c>
      <c r="M2334" t="s">
        <v>1170</v>
      </c>
      <c r="Q2334" t="s">
        <v>1385</v>
      </c>
      <c r="R2334" t="s">
        <v>1385</v>
      </c>
      <c r="S2334">
        <v>3</v>
      </c>
    </row>
    <row r="2335" spans="1:19" hidden="1" x14ac:dyDescent="0.25">
      <c r="A2335" t="s">
        <v>981</v>
      </c>
      <c r="B2335" t="s">
        <v>1385</v>
      </c>
      <c r="C2335" s="5">
        <v>3</v>
      </c>
      <c r="D2335" t="s">
        <v>924</v>
      </c>
      <c r="E2335" t="s">
        <v>946</v>
      </c>
      <c r="F2335" t="s">
        <v>26</v>
      </c>
      <c r="G2335">
        <v>40</v>
      </c>
      <c r="H2335">
        <v>50</v>
      </c>
      <c r="I2335" t="b">
        <v>0</v>
      </c>
      <c r="J2335" t="s">
        <v>1363</v>
      </c>
      <c r="K2335" t="s">
        <v>32</v>
      </c>
      <c r="L2335" t="s">
        <v>716</v>
      </c>
      <c r="M2335" t="s">
        <v>1170</v>
      </c>
      <c r="Q2335" t="s">
        <v>1385</v>
      </c>
      <c r="R2335" t="s">
        <v>1385</v>
      </c>
      <c r="S2335">
        <v>4</v>
      </c>
    </row>
    <row r="2336" spans="1:19" hidden="1" x14ac:dyDescent="0.25">
      <c r="A2336" t="s">
        <v>981</v>
      </c>
      <c r="B2336" t="s">
        <v>1385</v>
      </c>
      <c r="C2336" s="5">
        <v>3</v>
      </c>
      <c r="D2336" t="s">
        <v>927</v>
      </c>
      <c r="E2336" t="s">
        <v>925</v>
      </c>
      <c r="F2336" t="s">
        <v>26</v>
      </c>
      <c r="G2336">
        <v>30</v>
      </c>
      <c r="H2336">
        <v>40</v>
      </c>
      <c r="I2336" t="b">
        <v>0</v>
      </c>
      <c r="J2336" t="s">
        <v>1378</v>
      </c>
      <c r="K2336" t="s">
        <v>32</v>
      </c>
      <c r="L2336" t="s">
        <v>716</v>
      </c>
      <c r="M2336" t="s">
        <v>1170</v>
      </c>
      <c r="Q2336" t="s">
        <v>1385</v>
      </c>
      <c r="R2336" t="s">
        <v>1385</v>
      </c>
      <c r="S2336">
        <v>5</v>
      </c>
    </row>
    <row r="2337" spans="1:19" hidden="1" x14ac:dyDescent="0.25">
      <c r="A2337" t="s">
        <v>981</v>
      </c>
      <c r="B2337" t="s">
        <v>1385</v>
      </c>
      <c r="C2337" s="5">
        <v>4</v>
      </c>
      <c r="D2337" t="s">
        <v>1381</v>
      </c>
      <c r="E2337" t="s">
        <v>1382</v>
      </c>
      <c r="F2337" t="s">
        <v>25</v>
      </c>
      <c r="G2337">
        <v>1.5</v>
      </c>
      <c r="H2337">
        <v>3</v>
      </c>
      <c r="I2337" t="b">
        <v>1</v>
      </c>
      <c r="J2337" t="s">
        <v>1383</v>
      </c>
      <c r="K2337" t="s">
        <v>32</v>
      </c>
      <c r="Q2337" t="s">
        <v>1385</v>
      </c>
      <c r="R2337" t="s">
        <v>1385</v>
      </c>
      <c r="S2337">
        <v>19</v>
      </c>
    </row>
    <row r="2338" spans="1:19" hidden="1" x14ac:dyDescent="0.25">
      <c r="A2338" t="s">
        <v>981</v>
      </c>
      <c r="B2338" t="s">
        <v>1385</v>
      </c>
      <c r="C2338" s="5">
        <v>4</v>
      </c>
      <c r="D2338" t="s">
        <v>1373</v>
      </c>
      <c r="E2338" t="s">
        <v>969</v>
      </c>
      <c r="F2338" t="s">
        <v>24</v>
      </c>
      <c r="G2338">
        <v>10</v>
      </c>
      <c r="H2338">
        <v>20</v>
      </c>
      <c r="I2338" t="b">
        <v>1</v>
      </c>
      <c r="J2338" t="s">
        <v>1374</v>
      </c>
      <c r="K2338" t="s">
        <v>32</v>
      </c>
      <c r="Q2338" t="s">
        <v>1385</v>
      </c>
      <c r="R2338" t="s">
        <v>1385</v>
      </c>
      <c r="S2338">
        <v>7</v>
      </c>
    </row>
    <row r="2339" spans="1:19" hidden="1" x14ac:dyDescent="0.25">
      <c r="A2339" t="s">
        <v>981</v>
      </c>
      <c r="B2339" t="s">
        <v>1385</v>
      </c>
      <c r="C2339" s="5">
        <v>4</v>
      </c>
      <c r="D2339" t="s">
        <v>1426</v>
      </c>
      <c r="E2339" t="s">
        <v>969</v>
      </c>
      <c r="F2339" t="s">
        <v>24</v>
      </c>
      <c r="G2339">
        <v>10</v>
      </c>
      <c r="H2339">
        <v>20</v>
      </c>
      <c r="I2339" t="b">
        <v>1</v>
      </c>
      <c r="J2339" t="s">
        <v>1427</v>
      </c>
      <c r="K2339" t="s">
        <v>32</v>
      </c>
      <c r="Q2339" t="s">
        <v>1385</v>
      </c>
      <c r="R2339" t="s">
        <v>1385</v>
      </c>
      <c r="S2339">
        <v>6</v>
      </c>
    </row>
    <row r="2340" spans="1:19" hidden="1" x14ac:dyDescent="0.25">
      <c r="A2340" t="s">
        <v>981</v>
      </c>
      <c r="B2340" t="s">
        <v>1385</v>
      </c>
      <c r="C2340" s="5">
        <v>4</v>
      </c>
      <c r="D2340" t="s">
        <v>407</v>
      </c>
      <c r="E2340" t="s">
        <v>1326</v>
      </c>
      <c r="F2340" t="s">
        <v>27</v>
      </c>
      <c r="G2340">
        <v>10</v>
      </c>
      <c r="H2340">
        <v>15</v>
      </c>
      <c r="I2340" t="b">
        <v>0</v>
      </c>
      <c r="J2340" t="s">
        <v>1365</v>
      </c>
      <c r="K2340" t="s">
        <v>32</v>
      </c>
      <c r="Q2340" t="s">
        <v>1385</v>
      </c>
      <c r="R2340" t="s">
        <v>1385</v>
      </c>
      <c r="S2340">
        <v>2</v>
      </c>
    </row>
    <row r="2341" spans="1:19" hidden="1" x14ac:dyDescent="0.25">
      <c r="A2341" t="s">
        <v>981</v>
      </c>
      <c r="B2341" t="s">
        <v>1385</v>
      </c>
      <c r="C2341" s="5">
        <v>4</v>
      </c>
      <c r="D2341" t="s">
        <v>11</v>
      </c>
      <c r="E2341" t="s">
        <v>1387</v>
      </c>
      <c r="F2341" t="s">
        <v>25</v>
      </c>
      <c r="G2341">
        <v>25</v>
      </c>
      <c r="H2341">
        <v>36</v>
      </c>
      <c r="I2341" t="b">
        <v>1</v>
      </c>
      <c r="J2341" t="s">
        <v>0</v>
      </c>
      <c r="K2341" t="s">
        <v>32</v>
      </c>
      <c r="L2341" t="s">
        <v>716</v>
      </c>
      <c r="M2341" t="s">
        <v>1170</v>
      </c>
      <c r="Q2341" t="s">
        <v>1385</v>
      </c>
      <c r="R2341" t="s">
        <v>1385</v>
      </c>
      <c r="S2341">
        <v>1</v>
      </c>
    </row>
    <row r="2342" spans="1:19" hidden="1" x14ac:dyDescent="0.25">
      <c r="A2342" t="s">
        <v>981</v>
      </c>
      <c r="B2342" t="s">
        <v>1385</v>
      </c>
      <c r="C2342" s="5">
        <v>4</v>
      </c>
      <c r="D2342" t="s">
        <v>148</v>
      </c>
      <c r="E2342" t="s">
        <v>725</v>
      </c>
      <c r="F2342" t="s">
        <v>25</v>
      </c>
      <c r="G2342">
        <v>0</v>
      </c>
      <c r="H2342">
        <v>1</v>
      </c>
      <c r="I2342" t="b">
        <v>1</v>
      </c>
      <c r="J2342" t="s">
        <v>1384</v>
      </c>
      <c r="K2342" t="s">
        <v>32</v>
      </c>
      <c r="L2342" t="s">
        <v>716</v>
      </c>
      <c r="M2342" t="s">
        <v>1170</v>
      </c>
      <c r="Q2342" t="s">
        <v>1385</v>
      </c>
      <c r="R2342" t="s">
        <v>1385</v>
      </c>
      <c r="S2342">
        <v>14</v>
      </c>
    </row>
    <row r="2343" spans="1:19" hidden="1" x14ac:dyDescent="0.25">
      <c r="A2343" t="s">
        <v>981</v>
      </c>
      <c r="B2343" t="s">
        <v>1385</v>
      </c>
      <c r="C2343" s="5">
        <v>4</v>
      </c>
      <c r="D2343" t="s">
        <v>311</v>
      </c>
      <c r="E2343" t="s">
        <v>948</v>
      </c>
      <c r="F2343" t="s">
        <v>26</v>
      </c>
      <c r="G2343">
        <v>35</v>
      </c>
      <c r="H2343">
        <v>45</v>
      </c>
      <c r="I2343" t="b">
        <v>0</v>
      </c>
      <c r="J2343" t="s">
        <v>1290</v>
      </c>
      <c r="K2343" t="s">
        <v>32</v>
      </c>
      <c r="L2343" t="s">
        <v>716</v>
      </c>
      <c r="M2343" t="s">
        <v>1170</v>
      </c>
      <c r="Q2343" t="s">
        <v>1385</v>
      </c>
      <c r="R2343" t="s">
        <v>1385</v>
      </c>
      <c r="S2343">
        <v>3</v>
      </c>
    </row>
    <row r="2344" spans="1:19" hidden="1" x14ac:dyDescent="0.25">
      <c r="A2344" t="s">
        <v>981</v>
      </c>
      <c r="B2344" t="s">
        <v>1385</v>
      </c>
      <c r="C2344" s="5">
        <v>4</v>
      </c>
      <c r="D2344" t="s">
        <v>983</v>
      </c>
      <c r="E2344" t="s">
        <v>1388</v>
      </c>
      <c r="F2344" t="s">
        <v>24</v>
      </c>
      <c r="G2344">
        <v>0.5</v>
      </c>
      <c r="H2344">
        <v>1.5</v>
      </c>
      <c r="I2344" t="b">
        <v>1</v>
      </c>
      <c r="J2344" t="s">
        <v>1359</v>
      </c>
      <c r="K2344" t="s">
        <v>32</v>
      </c>
      <c r="L2344" t="s">
        <v>716</v>
      </c>
      <c r="M2344" t="s">
        <v>1170</v>
      </c>
      <c r="Q2344" t="s">
        <v>1385</v>
      </c>
      <c r="R2344" t="s">
        <v>1385</v>
      </c>
      <c r="S2344">
        <v>9</v>
      </c>
    </row>
    <row r="2345" spans="1:19" hidden="1" x14ac:dyDescent="0.25">
      <c r="A2345" t="s">
        <v>981</v>
      </c>
      <c r="B2345" t="s">
        <v>1385</v>
      </c>
      <c r="C2345" s="5">
        <v>4</v>
      </c>
      <c r="D2345" t="s">
        <v>924</v>
      </c>
      <c r="E2345" t="s">
        <v>953</v>
      </c>
      <c r="F2345" t="s">
        <v>26</v>
      </c>
      <c r="G2345">
        <v>55</v>
      </c>
      <c r="H2345">
        <v>65</v>
      </c>
      <c r="I2345" t="b">
        <v>0</v>
      </c>
      <c r="J2345" t="s">
        <v>1363</v>
      </c>
      <c r="K2345" t="s">
        <v>32</v>
      </c>
      <c r="L2345" t="s">
        <v>716</v>
      </c>
      <c r="M2345" t="s">
        <v>1170</v>
      </c>
      <c r="Q2345" t="s">
        <v>1385</v>
      </c>
      <c r="R2345" t="s">
        <v>1385</v>
      </c>
      <c r="S2345">
        <v>4</v>
      </c>
    </row>
    <row r="2346" spans="1:19" hidden="1" x14ac:dyDescent="0.25">
      <c r="A2346" t="s">
        <v>981</v>
      </c>
      <c r="B2346" t="s">
        <v>1385</v>
      </c>
      <c r="C2346" s="5">
        <v>4</v>
      </c>
      <c r="D2346" t="s">
        <v>927</v>
      </c>
      <c r="E2346" t="s">
        <v>946</v>
      </c>
      <c r="F2346" t="s">
        <v>26</v>
      </c>
      <c r="G2346">
        <v>40</v>
      </c>
      <c r="H2346">
        <v>50</v>
      </c>
      <c r="I2346" t="b">
        <v>0</v>
      </c>
      <c r="J2346" t="s">
        <v>1378</v>
      </c>
      <c r="K2346" t="s">
        <v>32</v>
      </c>
      <c r="L2346" t="s">
        <v>716</v>
      </c>
      <c r="M2346" t="s">
        <v>1170</v>
      </c>
      <c r="Q2346" t="s">
        <v>1385</v>
      </c>
      <c r="R2346" t="s">
        <v>1385</v>
      </c>
      <c r="S2346">
        <v>5</v>
      </c>
    </row>
    <row r="2347" spans="1:19" hidden="1" x14ac:dyDescent="0.25">
      <c r="A2347" t="s">
        <v>981</v>
      </c>
      <c r="B2347" t="s">
        <v>1385</v>
      </c>
      <c r="C2347" s="5">
        <v>5</v>
      </c>
      <c r="D2347" t="s">
        <v>11</v>
      </c>
      <c r="E2347" t="s">
        <v>1389</v>
      </c>
      <c r="F2347" t="s">
        <v>25</v>
      </c>
      <c r="G2347">
        <v>16</v>
      </c>
      <c r="H2347">
        <v>23</v>
      </c>
      <c r="I2347" t="b">
        <v>1</v>
      </c>
      <c r="J2347" t="s">
        <v>0</v>
      </c>
      <c r="K2347" t="s">
        <v>32</v>
      </c>
      <c r="Q2347" t="s">
        <v>1385</v>
      </c>
      <c r="R2347" t="s">
        <v>1385</v>
      </c>
      <c r="S2347">
        <v>1</v>
      </c>
    </row>
    <row r="2348" spans="1:19" hidden="1" x14ac:dyDescent="0.25">
      <c r="A2348" t="s">
        <v>981</v>
      </c>
      <c r="B2348" t="s">
        <v>1385</v>
      </c>
      <c r="C2348" s="5">
        <v>5</v>
      </c>
      <c r="D2348" t="s">
        <v>1373</v>
      </c>
      <c r="E2348" t="s">
        <v>1390</v>
      </c>
      <c r="F2348" t="s">
        <v>25</v>
      </c>
      <c r="G2348">
        <v>1</v>
      </c>
      <c r="H2348">
        <v>10</v>
      </c>
      <c r="I2348" t="b">
        <v>1</v>
      </c>
      <c r="J2348" t="s">
        <v>1374</v>
      </c>
      <c r="K2348" t="s">
        <v>32</v>
      </c>
      <c r="Q2348" t="s">
        <v>1385</v>
      </c>
      <c r="R2348" t="s">
        <v>1385</v>
      </c>
      <c r="S2348">
        <v>7</v>
      </c>
    </row>
    <row r="2349" spans="1:19" hidden="1" x14ac:dyDescent="0.25">
      <c r="A2349" t="s">
        <v>981</v>
      </c>
      <c r="B2349" t="s">
        <v>1385</v>
      </c>
      <c r="C2349" s="5">
        <v>5</v>
      </c>
      <c r="D2349" t="s">
        <v>1426</v>
      </c>
      <c r="E2349" t="s">
        <v>989</v>
      </c>
      <c r="F2349" t="s">
        <v>24</v>
      </c>
      <c r="G2349">
        <v>0</v>
      </c>
      <c r="H2349">
        <v>2</v>
      </c>
      <c r="I2349" t="b">
        <v>1</v>
      </c>
      <c r="J2349" t="s">
        <v>1427</v>
      </c>
      <c r="K2349" t="s">
        <v>32</v>
      </c>
      <c r="Q2349" t="s">
        <v>1385</v>
      </c>
      <c r="R2349" t="s">
        <v>1385</v>
      </c>
      <c r="S2349">
        <v>6</v>
      </c>
    </row>
    <row r="2350" spans="1:19" hidden="1" x14ac:dyDescent="0.25">
      <c r="A2350" t="s">
        <v>981</v>
      </c>
      <c r="B2350" t="s">
        <v>1391</v>
      </c>
      <c r="C2350" s="5">
        <v>2</v>
      </c>
      <c r="D2350" t="s">
        <v>11</v>
      </c>
      <c r="E2350" t="s">
        <v>988</v>
      </c>
      <c r="F2350" t="s">
        <v>24</v>
      </c>
      <c r="G2350">
        <v>45</v>
      </c>
      <c r="H2350">
        <v>55</v>
      </c>
      <c r="I2350" t="b">
        <v>1</v>
      </c>
      <c r="J2350" t="s">
        <v>0</v>
      </c>
      <c r="K2350" t="s">
        <v>32</v>
      </c>
      <c r="Q2350" t="s">
        <v>1391</v>
      </c>
      <c r="R2350" t="s">
        <v>1391</v>
      </c>
      <c r="S2350">
        <v>1</v>
      </c>
    </row>
    <row r="2351" spans="1:19" hidden="1" x14ac:dyDescent="0.25">
      <c r="A2351" t="s">
        <v>981</v>
      </c>
      <c r="B2351" t="s">
        <v>1391</v>
      </c>
      <c r="C2351" s="5">
        <v>2</v>
      </c>
      <c r="D2351" t="s">
        <v>903</v>
      </c>
      <c r="E2351" t="s">
        <v>1016</v>
      </c>
      <c r="F2351" t="s">
        <v>25</v>
      </c>
      <c r="G2351">
        <v>4</v>
      </c>
      <c r="H2351">
        <v>7</v>
      </c>
      <c r="I2351" t="b">
        <v>1</v>
      </c>
      <c r="J2351" t="s">
        <v>1357</v>
      </c>
      <c r="K2351" t="s">
        <v>32</v>
      </c>
      <c r="Q2351" t="s">
        <v>1391</v>
      </c>
      <c r="R2351" t="s">
        <v>1391</v>
      </c>
      <c r="S2351">
        <v>10</v>
      </c>
    </row>
    <row r="2352" spans="1:19" hidden="1" x14ac:dyDescent="0.25">
      <c r="A2352" t="s">
        <v>981</v>
      </c>
      <c r="B2352" t="s">
        <v>1391</v>
      </c>
      <c r="C2352" s="5">
        <v>2</v>
      </c>
      <c r="D2352" t="s">
        <v>983</v>
      </c>
      <c r="E2352" t="s">
        <v>961</v>
      </c>
      <c r="F2352" t="s">
        <v>25</v>
      </c>
      <c r="G2352">
        <v>3</v>
      </c>
      <c r="H2352">
        <v>8</v>
      </c>
      <c r="I2352" t="b">
        <v>1</v>
      </c>
      <c r="J2352" t="s">
        <v>1359</v>
      </c>
      <c r="K2352" t="s">
        <v>32</v>
      </c>
      <c r="Q2352" t="s">
        <v>1391</v>
      </c>
      <c r="R2352" t="s">
        <v>1391</v>
      </c>
      <c r="S2352">
        <v>9</v>
      </c>
    </row>
    <row r="2353" spans="1:19" hidden="1" x14ac:dyDescent="0.25">
      <c r="A2353" t="s">
        <v>981</v>
      </c>
      <c r="B2353" t="s">
        <v>1391</v>
      </c>
      <c r="C2353" s="5">
        <v>2</v>
      </c>
      <c r="D2353" t="s">
        <v>1373</v>
      </c>
      <c r="E2353" t="s">
        <v>950</v>
      </c>
      <c r="F2353" t="s">
        <v>25</v>
      </c>
      <c r="G2353">
        <v>25</v>
      </c>
      <c r="H2353">
        <v>30</v>
      </c>
      <c r="I2353" t="b">
        <v>1</v>
      </c>
      <c r="J2353" t="s">
        <v>1374</v>
      </c>
      <c r="K2353" t="s">
        <v>32</v>
      </c>
      <c r="Q2353" t="s">
        <v>1391</v>
      </c>
      <c r="R2353" t="s">
        <v>1391</v>
      </c>
      <c r="S2353">
        <v>7</v>
      </c>
    </row>
    <row r="2354" spans="1:19" hidden="1" x14ac:dyDescent="0.25">
      <c r="A2354" t="s">
        <v>981</v>
      </c>
      <c r="B2354" t="s">
        <v>1391</v>
      </c>
      <c r="C2354" s="5">
        <v>2</v>
      </c>
      <c r="D2354" t="s">
        <v>407</v>
      </c>
      <c r="E2354" t="s">
        <v>1287</v>
      </c>
      <c r="F2354" t="s">
        <v>27</v>
      </c>
      <c r="G2354">
        <v>0</v>
      </c>
      <c r="H2354">
        <v>3</v>
      </c>
      <c r="I2354" t="b">
        <v>0</v>
      </c>
      <c r="J2354" t="s">
        <v>1365</v>
      </c>
      <c r="K2354" t="s">
        <v>32</v>
      </c>
      <c r="Q2354" t="s">
        <v>1391</v>
      </c>
      <c r="R2354" t="s">
        <v>1391</v>
      </c>
      <c r="S2354">
        <v>2</v>
      </c>
    </row>
    <row r="2355" spans="1:19" hidden="1" x14ac:dyDescent="0.25">
      <c r="A2355" t="s">
        <v>981</v>
      </c>
      <c r="B2355" t="s">
        <v>1391</v>
      </c>
      <c r="C2355" s="5">
        <v>2</v>
      </c>
      <c r="D2355" t="s">
        <v>912</v>
      </c>
      <c r="E2355" t="s">
        <v>982</v>
      </c>
      <c r="F2355" t="s">
        <v>25</v>
      </c>
      <c r="G2355">
        <v>5</v>
      </c>
      <c r="H2355">
        <v>8</v>
      </c>
      <c r="I2355" t="b">
        <v>1</v>
      </c>
      <c r="J2355" t="s">
        <v>1361</v>
      </c>
      <c r="K2355" t="s">
        <v>32</v>
      </c>
      <c r="Q2355" t="s">
        <v>1391</v>
      </c>
      <c r="R2355" t="s">
        <v>1391</v>
      </c>
      <c r="S2355">
        <v>12</v>
      </c>
    </row>
    <row r="2356" spans="1:19" hidden="1" x14ac:dyDescent="0.25">
      <c r="A2356" t="s">
        <v>981</v>
      </c>
      <c r="B2356" t="s">
        <v>1391</v>
      </c>
      <c r="C2356" s="5">
        <v>2</v>
      </c>
      <c r="D2356" t="s">
        <v>918</v>
      </c>
      <c r="E2356" t="s">
        <v>919</v>
      </c>
      <c r="F2356" t="s">
        <v>25</v>
      </c>
      <c r="G2356">
        <v>2</v>
      </c>
      <c r="H2356">
        <v>5</v>
      </c>
      <c r="I2356" t="b">
        <v>1</v>
      </c>
      <c r="J2356" t="s">
        <v>1362</v>
      </c>
      <c r="K2356" t="s">
        <v>32</v>
      </c>
      <c r="Q2356" t="s">
        <v>1391</v>
      </c>
      <c r="R2356" t="s">
        <v>1391</v>
      </c>
      <c r="S2356">
        <v>13</v>
      </c>
    </row>
    <row r="2357" spans="1:19" hidden="1" x14ac:dyDescent="0.25">
      <c r="A2357" t="s">
        <v>981</v>
      </c>
      <c r="B2357" t="s">
        <v>1391</v>
      </c>
      <c r="C2357" s="5">
        <v>2</v>
      </c>
      <c r="D2357" t="s">
        <v>909</v>
      </c>
      <c r="E2357" t="s">
        <v>910</v>
      </c>
      <c r="F2357" t="s">
        <v>25</v>
      </c>
      <c r="G2357">
        <v>4</v>
      </c>
      <c r="H2357">
        <v>9</v>
      </c>
      <c r="I2357" t="b">
        <v>1</v>
      </c>
      <c r="J2357" t="s">
        <v>1375</v>
      </c>
      <c r="K2357" t="s">
        <v>32</v>
      </c>
      <c r="Q2357" t="s">
        <v>1391</v>
      </c>
      <c r="R2357" t="s">
        <v>1391</v>
      </c>
      <c r="S2357">
        <v>15</v>
      </c>
    </row>
    <row r="2358" spans="1:19" hidden="1" x14ac:dyDescent="0.25">
      <c r="A2358" t="s">
        <v>981</v>
      </c>
      <c r="B2358" t="s">
        <v>1391</v>
      </c>
      <c r="C2358" s="5">
        <v>2</v>
      </c>
      <c r="D2358" t="s">
        <v>915</v>
      </c>
      <c r="E2358" t="s">
        <v>919</v>
      </c>
      <c r="F2358" t="s">
        <v>25</v>
      </c>
      <c r="G2358">
        <v>2</v>
      </c>
      <c r="H2358">
        <v>5</v>
      </c>
      <c r="I2358" t="b">
        <v>1</v>
      </c>
      <c r="J2358" t="s">
        <v>1376</v>
      </c>
      <c r="K2358" t="s">
        <v>32</v>
      </c>
      <c r="Q2358" t="s">
        <v>1391</v>
      </c>
      <c r="R2358" t="s">
        <v>1391</v>
      </c>
      <c r="S2358">
        <v>16</v>
      </c>
    </row>
    <row r="2359" spans="1:19" hidden="1" x14ac:dyDescent="0.25">
      <c r="A2359" t="s">
        <v>981</v>
      </c>
      <c r="B2359" t="s">
        <v>1391</v>
      </c>
      <c r="C2359" s="5">
        <v>2</v>
      </c>
      <c r="D2359" t="s">
        <v>1426</v>
      </c>
      <c r="E2359" t="s">
        <v>943</v>
      </c>
      <c r="F2359" t="s">
        <v>24</v>
      </c>
      <c r="G2359">
        <v>30</v>
      </c>
      <c r="H2359">
        <v>40</v>
      </c>
      <c r="I2359" t="b">
        <v>1</v>
      </c>
      <c r="J2359" t="s">
        <v>1427</v>
      </c>
      <c r="K2359" t="s">
        <v>32</v>
      </c>
      <c r="Q2359" t="s">
        <v>1391</v>
      </c>
      <c r="R2359" t="s">
        <v>1391</v>
      </c>
      <c r="S2359">
        <v>6</v>
      </c>
    </row>
    <row r="2360" spans="1:19" hidden="1" x14ac:dyDescent="0.25">
      <c r="A2360" t="s">
        <v>981</v>
      </c>
      <c r="B2360" t="s">
        <v>1391</v>
      </c>
      <c r="C2360" s="5">
        <v>2</v>
      </c>
      <c r="D2360" t="s">
        <v>1367</v>
      </c>
      <c r="E2360" t="s">
        <v>1271</v>
      </c>
      <c r="F2360" t="s">
        <v>27</v>
      </c>
      <c r="G2360">
        <v>0</v>
      </c>
      <c r="H2360">
        <v>1</v>
      </c>
      <c r="I2360" t="b">
        <v>0</v>
      </c>
      <c r="J2360" t="s">
        <v>1368</v>
      </c>
      <c r="K2360" t="s">
        <v>32</v>
      </c>
      <c r="Q2360" t="s">
        <v>1391</v>
      </c>
      <c r="R2360" t="s">
        <v>1391</v>
      </c>
      <c r="S2360">
        <v>11</v>
      </c>
    </row>
    <row r="2361" spans="1:19" hidden="1" x14ac:dyDescent="0.25">
      <c r="A2361" t="s">
        <v>981</v>
      </c>
      <c r="B2361" t="s">
        <v>1391</v>
      </c>
      <c r="C2361" s="5">
        <v>2</v>
      </c>
      <c r="D2361" t="s">
        <v>936</v>
      </c>
      <c r="E2361" t="s">
        <v>950</v>
      </c>
      <c r="F2361" t="s">
        <v>25</v>
      </c>
      <c r="G2361">
        <v>25</v>
      </c>
      <c r="H2361">
        <v>30</v>
      </c>
      <c r="I2361" t="b">
        <v>1</v>
      </c>
      <c r="J2361" t="s">
        <v>1366</v>
      </c>
      <c r="K2361" t="s">
        <v>32</v>
      </c>
      <c r="Q2361" t="s">
        <v>1391</v>
      </c>
      <c r="R2361" t="s">
        <v>1391</v>
      </c>
      <c r="S2361">
        <v>17</v>
      </c>
    </row>
    <row r="2362" spans="1:19" hidden="1" x14ac:dyDescent="0.25">
      <c r="A2362" t="s">
        <v>981</v>
      </c>
      <c r="B2362" t="s">
        <v>1391</v>
      </c>
      <c r="C2362" s="5">
        <v>2</v>
      </c>
      <c r="D2362" t="s">
        <v>311</v>
      </c>
      <c r="E2362" t="s">
        <v>974</v>
      </c>
      <c r="F2362" t="s">
        <v>27</v>
      </c>
      <c r="G2362">
        <v>20</v>
      </c>
      <c r="H2362">
        <v>25</v>
      </c>
      <c r="I2362" t="b">
        <v>0</v>
      </c>
      <c r="J2362" t="s">
        <v>1290</v>
      </c>
      <c r="K2362" t="s">
        <v>32</v>
      </c>
      <c r="Q2362" t="s">
        <v>1391</v>
      </c>
      <c r="R2362" t="s">
        <v>1391</v>
      </c>
      <c r="S2362">
        <v>3</v>
      </c>
    </row>
    <row r="2363" spans="1:19" hidden="1" x14ac:dyDescent="0.25">
      <c r="A2363" t="s">
        <v>981</v>
      </c>
      <c r="B2363" t="s">
        <v>1391</v>
      </c>
      <c r="C2363" s="5">
        <v>2</v>
      </c>
      <c r="D2363" t="s">
        <v>924</v>
      </c>
      <c r="E2363" t="s">
        <v>1294</v>
      </c>
      <c r="F2363" t="s">
        <v>27</v>
      </c>
      <c r="G2363">
        <v>35</v>
      </c>
      <c r="H2363">
        <v>40</v>
      </c>
      <c r="I2363" t="b">
        <v>0</v>
      </c>
      <c r="J2363" t="s">
        <v>1363</v>
      </c>
      <c r="K2363" t="s">
        <v>32</v>
      </c>
      <c r="Q2363" t="s">
        <v>1391</v>
      </c>
      <c r="R2363" t="s">
        <v>1391</v>
      </c>
      <c r="S2363">
        <v>4</v>
      </c>
    </row>
    <row r="2364" spans="1:19" hidden="1" x14ac:dyDescent="0.25">
      <c r="A2364" t="s">
        <v>981</v>
      </c>
      <c r="B2364" t="s">
        <v>1391</v>
      </c>
      <c r="C2364" s="5">
        <v>3</v>
      </c>
      <c r="D2364" t="s">
        <v>903</v>
      </c>
      <c r="E2364" t="s">
        <v>941</v>
      </c>
      <c r="F2364" t="s">
        <v>25</v>
      </c>
      <c r="G2364">
        <v>1</v>
      </c>
      <c r="H2364">
        <v>4</v>
      </c>
      <c r="I2364" t="b">
        <v>1</v>
      </c>
      <c r="J2364" t="s">
        <v>1357</v>
      </c>
      <c r="K2364" t="s">
        <v>32</v>
      </c>
      <c r="Q2364" t="s">
        <v>1391</v>
      </c>
      <c r="R2364" t="s">
        <v>1391</v>
      </c>
      <c r="S2364">
        <v>10</v>
      </c>
    </row>
    <row r="2365" spans="1:19" hidden="1" x14ac:dyDescent="0.25">
      <c r="A2365" t="s">
        <v>981</v>
      </c>
      <c r="B2365" t="s">
        <v>1391</v>
      </c>
      <c r="C2365" s="5">
        <v>3</v>
      </c>
      <c r="D2365" t="s">
        <v>983</v>
      </c>
      <c r="E2365" t="s">
        <v>1131</v>
      </c>
      <c r="F2365" t="s">
        <v>25</v>
      </c>
      <c r="G2365">
        <v>1</v>
      </c>
      <c r="H2365">
        <v>2</v>
      </c>
      <c r="I2365" t="b">
        <v>1</v>
      </c>
      <c r="J2365" t="s">
        <v>1359</v>
      </c>
      <c r="K2365" t="s">
        <v>32</v>
      </c>
      <c r="Q2365" t="s">
        <v>1391</v>
      </c>
      <c r="R2365" t="s">
        <v>1391</v>
      </c>
      <c r="S2365">
        <v>9</v>
      </c>
    </row>
    <row r="2366" spans="1:19" hidden="1" x14ac:dyDescent="0.25">
      <c r="A2366" t="s">
        <v>981</v>
      </c>
      <c r="B2366" t="s">
        <v>1391</v>
      </c>
      <c r="C2366" s="5">
        <v>3</v>
      </c>
      <c r="D2366" t="s">
        <v>1373</v>
      </c>
      <c r="E2366" t="s">
        <v>979</v>
      </c>
      <c r="F2366" t="s">
        <v>25</v>
      </c>
      <c r="G2366">
        <v>20</v>
      </c>
      <c r="H2366">
        <v>25</v>
      </c>
      <c r="I2366" t="b">
        <v>1</v>
      </c>
      <c r="J2366" t="s">
        <v>1374</v>
      </c>
      <c r="K2366" t="s">
        <v>32</v>
      </c>
      <c r="Q2366" t="s">
        <v>1391</v>
      </c>
      <c r="R2366" t="s">
        <v>1391</v>
      </c>
      <c r="S2366">
        <v>7</v>
      </c>
    </row>
    <row r="2367" spans="1:19" hidden="1" x14ac:dyDescent="0.25">
      <c r="A2367" t="s">
        <v>981</v>
      </c>
      <c r="B2367" t="s">
        <v>1391</v>
      </c>
      <c r="C2367" s="5">
        <v>3</v>
      </c>
      <c r="D2367" t="s">
        <v>407</v>
      </c>
      <c r="E2367" t="s">
        <v>1336</v>
      </c>
      <c r="F2367" t="s">
        <v>27</v>
      </c>
      <c r="G2367">
        <v>3</v>
      </c>
      <c r="H2367">
        <v>8</v>
      </c>
      <c r="I2367" t="b">
        <v>0</v>
      </c>
      <c r="J2367" t="s">
        <v>1365</v>
      </c>
      <c r="K2367" t="s">
        <v>32</v>
      </c>
      <c r="Q2367" t="s">
        <v>1391</v>
      </c>
      <c r="R2367" t="s">
        <v>1391</v>
      </c>
      <c r="S2367">
        <v>2</v>
      </c>
    </row>
    <row r="2368" spans="1:19" hidden="1" x14ac:dyDescent="0.25">
      <c r="A2368" t="s">
        <v>981</v>
      </c>
      <c r="B2368" t="s">
        <v>1391</v>
      </c>
      <c r="C2368" s="5">
        <v>3</v>
      </c>
      <c r="D2368" t="s">
        <v>912</v>
      </c>
      <c r="E2368" t="s">
        <v>1347</v>
      </c>
      <c r="F2368" t="s">
        <v>25</v>
      </c>
      <c r="G2368">
        <v>0</v>
      </c>
      <c r="H2368">
        <v>5</v>
      </c>
      <c r="I2368" t="b">
        <v>1</v>
      </c>
      <c r="J2368" t="s">
        <v>1361</v>
      </c>
      <c r="K2368" t="s">
        <v>32</v>
      </c>
      <c r="Q2368" t="s">
        <v>1391</v>
      </c>
      <c r="R2368" t="s">
        <v>1391</v>
      </c>
      <c r="S2368">
        <v>12</v>
      </c>
    </row>
    <row r="2369" spans="1:19" hidden="1" x14ac:dyDescent="0.25">
      <c r="A2369" t="s">
        <v>981</v>
      </c>
      <c r="B2369" t="s">
        <v>1391</v>
      </c>
      <c r="C2369" s="5">
        <v>3</v>
      </c>
      <c r="D2369" t="s">
        <v>918</v>
      </c>
      <c r="E2369" t="s">
        <v>725</v>
      </c>
      <c r="F2369" t="s">
        <v>25</v>
      </c>
      <c r="G2369">
        <v>0</v>
      </c>
      <c r="H2369">
        <v>1</v>
      </c>
      <c r="I2369" t="b">
        <v>1</v>
      </c>
      <c r="J2369" t="s">
        <v>1362</v>
      </c>
      <c r="K2369" t="s">
        <v>32</v>
      </c>
      <c r="Q2369" t="s">
        <v>1391</v>
      </c>
      <c r="R2369" t="s">
        <v>1391</v>
      </c>
      <c r="S2369">
        <v>13</v>
      </c>
    </row>
    <row r="2370" spans="1:19" hidden="1" x14ac:dyDescent="0.25">
      <c r="A2370" t="s">
        <v>981</v>
      </c>
      <c r="B2370" t="s">
        <v>1391</v>
      </c>
      <c r="C2370" s="5">
        <v>3</v>
      </c>
      <c r="D2370" t="s">
        <v>909</v>
      </c>
      <c r="E2370" t="s">
        <v>941</v>
      </c>
      <c r="F2370" t="s">
        <v>25</v>
      </c>
      <c r="G2370">
        <v>1</v>
      </c>
      <c r="H2370">
        <v>4</v>
      </c>
      <c r="I2370" t="b">
        <v>1</v>
      </c>
      <c r="J2370" t="s">
        <v>1375</v>
      </c>
      <c r="K2370" t="s">
        <v>32</v>
      </c>
      <c r="Q2370" t="s">
        <v>1391</v>
      </c>
      <c r="R2370" t="s">
        <v>1391</v>
      </c>
      <c r="S2370">
        <v>15</v>
      </c>
    </row>
    <row r="2371" spans="1:19" hidden="1" x14ac:dyDescent="0.25">
      <c r="A2371" t="s">
        <v>981</v>
      </c>
      <c r="B2371" t="s">
        <v>1391</v>
      </c>
      <c r="C2371" s="5">
        <v>3</v>
      </c>
      <c r="D2371" t="s">
        <v>915</v>
      </c>
      <c r="E2371" t="s">
        <v>725</v>
      </c>
      <c r="F2371" t="s">
        <v>25</v>
      </c>
      <c r="G2371">
        <v>0</v>
      </c>
      <c r="H2371">
        <v>1</v>
      </c>
      <c r="I2371" t="b">
        <v>1</v>
      </c>
      <c r="J2371" t="s">
        <v>1376</v>
      </c>
      <c r="K2371" t="s">
        <v>32</v>
      </c>
      <c r="Q2371" t="s">
        <v>1391</v>
      </c>
      <c r="R2371" t="s">
        <v>1391</v>
      </c>
      <c r="S2371">
        <v>16</v>
      </c>
    </row>
    <row r="2372" spans="1:19" hidden="1" x14ac:dyDescent="0.25">
      <c r="A2372" t="s">
        <v>981</v>
      </c>
      <c r="B2372" t="s">
        <v>1391</v>
      </c>
      <c r="C2372" s="5">
        <v>3</v>
      </c>
      <c r="D2372" t="s">
        <v>924</v>
      </c>
      <c r="E2372" t="s">
        <v>954</v>
      </c>
      <c r="F2372" t="s">
        <v>26</v>
      </c>
      <c r="G2372">
        <v>45</v>
      </c>
      <c r="H2372">
        <v>55</v>
      </c>
      <c r="I2372" t="b">
        <v>0</v>
      </c>
      <c r="J2372" t="s">
        <v>1363</v>
      </c>
      <c r="K2372" t="s">
        <v>32</v>
      </c>
      <c r="Q2372" t="s">
        <v>1391</v>
      </c>
      <c r="R2372" t="s">
        <v>1391</v>
      </c>
      <c r="S2372">
        <v>4</v>
      </c>
    </row>
    <row r="2373" spans="1:19" hidden="1" x14ac:dyDescent="0.25">
      <c r="A2373" t="s">
        <v>981</v>
      </c>
      <c r="B2373" t="s">
        <v>1391</v>
      </c>
      <c r="C2373" s="5">
        <v>3</v>
      </c>
      <c r="D2373" t="s">
        <v>11</v>
      </c>
      <c r="E2373" t="s">
        <v>1023</v>
      </c>
      <c r="F2373" t="s">
        <v>25</v>
      </c>
      <c r="G2373">
        <v>40</v>
      </c>
      <c r="H2373">
        <v>45</v>
      </c>
      <c r="I2373" t="b">
        <v>1</v>
      </c>
      <c r="J2373" t="s">
        <v>0</v>
      </c>
      <c r="K2373" t="s">
        <v>32</v>
      </c>
      <c r="L2373" t="s">
        <v>716</v>
      </c>
      <c r="M2373" t="s">
        <v>1170</v>
      </c>
      <c r="Q2373" t="s">
        <v>1391</v>
      </c>
      <c r="R2373" t="s">
        <v>1391</v>
      </c>
      <c r="S2373">
        <v>1</v>
      </c>
    </row>
    <row r="2374" spans="1:19" hidden="1" x14ac:dyDescent="0.25">
      <c r="A2374" t="s">
        <v>981</v>
      </c>
      <c r="B2374" t="s">
        <v>1391</v>
      </c>
      <c r="C2374" s="5">
        <v>3</v>
      </c>
      <c r="D2374" t="s">
        <v>1426</v>
      </c>
      <c r="E2374" t="s">
        <v>937</v>
      </c>
      <c r="F2374" t="s">
        <v>24</v>
      </c>
      <c r="G2374">
        <v>20</v>
      </c>
      <c r="H2374">
        <v>30</v>
      </c>
      <c r="I2374" t="b">
        <v>1</v>
      </c>
      <c r="J2374" t="s">
        <v>1427</v>
      </c>
      <c r="K2374" t="s">
        <v>32</v>
      </c>
      <c r="L2374" t="s">
        <v>716</v>
      </c>
      <c r="M2374" t="s">
        <v>1170</v>
      </c>
      <c r="Q2374" t="s">
        <v>1391</v>
      </c>
      <c r="R2374" t="s">
        <v>1391</v>
      </c>
      <c r="S2374">
        <v>6</v>
      </c>
    </row>
    <row r="2375" spans="1:19" hidden="1" x14ac:dyDescent="0.25">
      <c r="A2375" t="s">
        <v>981</v>
      </c>
      <c r="B2375" t="s">
        <v>1391</v>
      </c>
      <c r="C2375" s="5">
        <v>3</v>
      </c>
      <c r="D2375" t="s">
        <v>936</v>
      </c>
      <c r="E2375" t="s">
        <v>979</v>
      </c>
      <c r="F2375" t="s">
        <v>25</v>
      </c>
      <c r="G2375">
        <v>20</v>
      </c>
      <c r="H2375">
        <v>25</v>
      </c>
      <c r="I2375" t="b">
        <v>1</v>
      </c>
      <c r="J2375" t="s">
        <v>1366</v>
      </c>
      <c r="K2375" t="s">
        <v>32</v>
      </c>
      <c r="L2375" t="s">
        <v>716</v>
      </c>
      <c r="M2375" t="s">
        <v>1170</v>
      </c>
      <c r="Q2375" t="s">
        <v>1391</v>
      </c>
      <c r="R2375" t="s">
        <v>1391</v>
      </c>
      <c r="S2375">
        <v>17</v>
      </c>
    </row>
    <row r="2376" spans="1:19" hidden="1" x14ac:dyDescent="0.25">
      <c r="A2376" t="s">
        <v>981</v>
      </c>
      <c r="B2376" t="s">
        <v>1391</v>
      </c>
      <c r="C2376" s="5">
        <v>3</v>
      </c>
      <c r="D2376" t="s">
        <v>311</v>
      </c>
      <c r="E2376" t="s">
        <v>987</v>
      </c>
      <c r="F2376" t="s">
        <v>26</v>
      </c>
      <c r="G2376">
        <v>25</v>
      </c>
      <c r="H2376">
        <v>35</v>
      </c>
      <c r="I2376" t="b">
        <v>0</v>
      </c>
      <c r="J2376" t="s">
        <v>1290</v>
      </c>
      <c r="K2376" t="s">
        <v>32</v>
      </c>
      <c r="L2376" t="s">
        <v>716</v>
      </c>
      <c r="M2376" t="s">
        <v>1170</v>
      </c>
      <c r="Q2376" t="s">
        <v>1391</v>
      </c>
      <c r="R2376" t="s">
        <v>1391</v>
      </c>
      <c r="S2376">
        <v>3</v>
      </c>
    </row>
    <row r="2377" spans="1:19" hidden="1" x14ac:dyDescent="0.25">
      <c r="A2377" t="s">
        <v>981</v>
      </c>
      <c r="B2377" t="s">
        <v>1391</v>
      </c>
      <c r="C2377" s="5">
        <v>4</v>
      </c>
      <c r="D2377" t="s">
        <v>1381</v>
      </c>
      <c r="E2377" t="s">
        <v>1392</v>
      </c>
      <c r="F2377" t="s">
        <v>25</v>
      </c>
      <c r="G2377">
        <v>1.5</v>
      </c>
      <c r="H2377">
        <v>3</v>
      </c>
      <c r="I2377" t="b">
        <v>1</v>
      </c>
      <c r="J2377" t="s">
        <v>1383</v>
      </c>
      <c r="K2377" t="s">
        <v>32</v>
      </c>
      <c r="Q2377" t="s">
        <v>1391</v>
      </c>
      <c r="R2377" t="s">
        <v>1391</v>
      </c>
      <c r="S2377">
        <v>19</v>
      </c>
    </row>
    <row r="2378" spans="1:19" hidden="1" x14ac:dyDescent="0.25">
      <c r="A2378" t="s">
        <v>981</v>
      </c>
      <c r="B2378" t="s">
        <v>1391</v>
      </c>
      <c r="C2378" s="5">
        <v>4</v>
      </c>
      <c r="D2378" t="s">
        <v>1373</v>
      </c>
      <c r="E2378" t="s">
        <v>969</v>
      </c>
      <c r="F2378" t="s">
        <v>24</v>
      </c>
      <c r="G2378">
        <v>10</v>
      </c>
      <c r="H2378">
        <v>20</v>
      </c>
      <c r="I2378" t="b">
        <v>1</v>
      </c>
      <c r="J2378" t="s">
        <v>1374</v>
      </c>
      <c r="K2378" t="s">
        <v>32</v>
      </c>
      <c r="Q2378" t="s">
        <v>1391</v>
      </c>
      <c r="R2378" t="s">
        <v>1391</v>
      </c>
      <c r="S2378">
        <v>7</v>
      </c>
    </row>
    <row r="2379" spans="1:19" hidden="1" x14ac:dyDescent="0.25">
      <c r="A2379" t="s">
        <v>981</v>
      </c>
      <c r="B2379" t="s">
        <v>1391</v>
      </c>
      <c r="C2379" s="5">
        <v>4</v>
      </c>
      <c r="D2379" t="s">
        <v>407</v>
      </c>
      <c r="E2379" t="s">
        <v>998</v>
      </c>
      <c r="F2379" t="s">
        <v>26</v>
      </c>
      <c r="G2379">
        <v>15</v>
      </c>
      <c r="H2379">
        <v>25</v>
      </c>
      <c r="I2379" t="b">
        <v>0</v>
      </c>
      <c r="J2379" t="s">
        <v>1365</v>
      </c>
      <c r="K2379" t="s">
        <v>32</v>
      </c>
      <c r="Q2379" t="s">
        <v>1391</v>
      </c>
      <c r="R2379" t="s">
        <v>1391</v>
      </c>
      <c r="S2379">
        <v>2</v>
      </c>
    </row>
    <row r="2380" spans="1:19" hidden="1" x14ac:dyDescent="0.25">
      <c r="A2380" t="s">
        <v>981</v>
      </c>
      <c r="B2380" t="s">
        <v>1391</v>
      </c>
      <c r="C2380" s="5">
        <v>4</v>
      </c>
      <c r="D2380" t="s">
        <v>924</v>
      </c>
      <c r="E2380" t="s">
        <v>922</v>
      </c>
      <c r="F2380" t="s">
        <v>26</v>
      </c>
      <c r="G2380">
        <v>60</v>
      </c>
      <c r="H2380">
        <v>70</v>
      </c>
      <c r="I2380" t="b">
        <v>0</v>
      </c>
      <c r="J2380" t="s">
        <v>1363</v>
      </c>
      <c r="K2380" t="s">
        <v>32</v>
      </c>
      <c r="Q2380" t="s">
        <v>1391</v>
      </c>
      <c r="R2380" t="s">
        <v>1391</v>
      </c>
      <c r="S2380">
        <v>4</v>
      </c>
    </row>
    <row r="2381" spans="1:19" hidden="1" x14ac:dyDescent="0.25">
      <c r="A2381" t="s">
        <v>981</v>
      </c>
      <c r="B2381" t="s">
        <v>1391</v>
      </c>
      <c r="C2381" s="5">
        <v>4</v>
      </c>
      <c r="D2381" t="s">
        <v>11</v>
      </c>
      <c r="E2381" t="s">
        <v>943</v>
      </c>
      <c r="F2381" t="s">
        <v>24</v>
      </c>
      <c r="G2381">
        <v>30</v>
      </c>
      <c r="H2381">
        <v>40</v>
      </c>
      <c r="I2381" t="b">
        <v>1</v>
      </c>
      <c r="J2381" t="s">
        <v>0</v>
      </c>
      <c r="K2381" t="s">
        <v>32</v>
      </c>
      <c r="L2381" t="s">
        <v>716</v>
      </c>
      <c r="M2381" t="s">
        <v>1170</v>
      </c>
      <c r="Q2381" t="s">
        <v>1391</v>
      </c>
      <c r="R2381" t="s">
        <v>1391</v>
      </c>
      <c r="S2381">
        <v>1</v>
      </c>
    </row>
    <row r="2382" spans="1:19" hidden="1" x14ac:dyDescent="0.25">
      <c r="A2382" t="s">
        <v>981</v>
      </c>
      <c r="B2382" t="s">
        <v>1391</v>
      </c>
      <c r="C2382" s="5">
        <v>4</v>
      </c>
      <c r="D2382" t="s">
        <v>1426</v>
      </c>
      <c r="E2382" t="s">
        <v>969</v>
      </c>
      <c r="F2382" t="s">
        <v>24</v>
      </c>
      <c r="G2382">
        <v>10</v>
      </c>
      <c r="H2382">
        <v>20</v>
      </c>
      <c r="I2382" t="b">
        <v>1</v>
      </c>
      <c r="J2382" t="s">
        <v>1427</v>
      </c>
      <c r="K2382" t="s">
        <v>32</v>
      </c>
      <c r="L2382" t="s">
        <v>716</v>
      </c>
      <c r="M2382" t="s">
        <v>1170</v>
      </c>
      <c r="Q2382" t="s">
        <v>1391</v>
      </c>
      <c r="R2382" t="s">
        <v>1391</v>
      </c>
      <c r="S2382">
        <v>6</v>
      </c>
    </row>
    <row r="2383" spans="1:19" hidden="1" x14ac:dyDescent="0.25">
      <c r="A2383" t="s">
        <v>981</v>
      </c>
      <c r="B2383" t="s">
        <v>1391</v>
      </c>
      <c r="C2383" s="5">
        <v>4</v>
      </c>
      <c r="D2383" t="s">
        <v>148</v>
      </c>
      <c r="E2383" t="s">
        <v>725</v>
      </c>
      <c r="F2383" t="s">
        <v>25</v>
      </c>
      <c r="G2383">
        <v>0</v>
      </c>
      <c r="H2383">
        <v>1</v>
      </c>
      <c r="I2383" t="b">
        <v>1</v>
      </c>
      <c r="J2383" t="s">
        <v>1384</v>
      </c>
      <c r="K2383" t="s">
        <v>32</v>
      </c>
      <c r="L2383" t="s">
        <v>716</v>
      </c>
      <c r="M2383" t="s">
        <v>1170</v>
      </c>
      <c r="Q2383" t="s">
        <v>1391</v>
      </c>
      <c r="R2383" t="s">
        <v>1391</v>
      </c>
      <c r="S2383">
        <v>14</v>
      </c>
    </row>
    <row r="2384" spans="1:19" hidden="1" x14ac:dyDescent="0.25">
      <c r="A2384" t="s">
        <v>981</v>
      </c>
      <c r="B2384" t="s">
        <v>1391</v>
      </c>
      <c r="C2384" s="5">
        <v>4</v>
      </c>
      <c r="D2384" t="s">
        <v>311</v>
      </c>
      <c r="E2384" t="s">
        <v>946</v>
      </c>
      <c r="F2384" t="s">
        <v>26</v>
      </c>
      <c r="G2384">
        <v>40</v>
      </c>
      <c r="H2384">
        <v>50</v>
      </c>
      <c r="I2384" t="b">
        <v>0</v>
      </c>
      <c r="J2384" t="s">
        <v>1290</v>
      </c>
      <c r="K2384" t="s">
        <v>32</v>
      </c>
      <c r="L2384" t="s">
        <v>716</v>
      </c>
      <c r="M2384" t="s">
        <v>1170</v>
      </c>
      <c r="Q2384" t="s">
        <v>1391</v>
      </c>
      <c r="R2384" t="s">
        <v>1391</v>
      </c>
      <c r="S2384">
        <v>3</v>
      </c>
    </row>
    <row r="2385" spans="1:19" hidden="1" x14ac:dyDescent="0.25">
      <c r="A2385" t="s">
        <v>981</v>
      </c>
      <c r="B2385" t="s">
        <v>1391</v>
      </c>
      <c r="C2385" s="5">
        <v>5</v>
      </c>
      <c r="D2385" t="s">
        <v>11</v>
      </c>
      <c r="E2385" t="s">
        <v>979</v>
      </c>
      <c r="F2385" t="s">
        <v>25</v>
      </c>
      <c r="G2385">
        <v>20</v>
      </c>
      <c r="H2385">
        <v>25</v>
      </c>
      <c r="I2385" t="b">
        <v>1</v>
      </c>
      <c r="J2385" t="s">
        <v>0</v>
      </c>
      <c r="K2385" t="s">
        <v>32</v>
      </c>
      <c r="L2385" t="s">
        <v>716</v>
      </c>
      <c r="M2385" t="s">
        <v>1170</v>
      </c>
      <c r="Q2385" t="s">
        <v>1391</v>
      </c>
      <c r="R2385" t="s">
        <v>1391</v>
      </c>
      <c r="S2385">
        <v>1</v>
      </c>
    </row>
    <row r="2386" spans="1:19" hidden="1" x14ac:dyDescent="0.25">
      <c r="A2386" t="s">
        <v>981</v>
      </c>
      <c r="B2386" t="s">
        <v>1391</v>
      </c>
      <c r="C2386" s="5">
        <v>5</v>
      </c>
      <c r="D2386" t="s">
        <v>1426</v>
      </c>
      <c r="E2386" t="s">
        <v>1393</v>
      </c>
      <c r="F2386" t="s">
        <v>25</v>
      </c>
      <c r="G2386">
        <v>0</v>
      </c>
      <c r="H2386">
        <v>7</v>
      </c>
      <c r="I2386" t="b">
        <v>1</v>
      </c>
      <c r="J2386" t="s">
        <v>1427</v>
      </c>
      <c r="K2386" t="s">
        <v>32</v>
      </c>
      <c r="L2386" t="s">
        <v>716</v>
      </c>
      <c r="M2386" t="s">
        <v>1170</v>
      </c>
      <c r="Q2386" t="s">
        <v>1391</v>
      </c>
      <c r="R2386" t="s">
        <v>1391</v>
      </c>
      <c r="S2386">
        <v>6</v>
      </c>
    </row>
    <row r="2387" spans="1:19" hidden="1" x14ac:dyDescent="0.25">
      <c r="A2387" t="s">
        <v>981</v>
      </c>
      <c r="B2387" t="s">
        <v>1391</v>
      </c>
      <c r="C2387" s="5">
        <v>5</v>
      </c>
      <c r="D2387" t="s">
        <v>407</v>
      </c>
      <c r="E2387" t="s">
        <v>1345</v>
      </c>
      <c r="F2387" t="s">
        <v>27</v>
      </c>
      <c r="G2387">
        <v>25</v>
      </c>
      <c r="H2387">
        <v>30</v>
      </c>
      <c r="I2387" t="b">
        <v>0</v>
      </c>
      <c r="J2387" t="s">
        <v>1365</v>
      </c>
      <c r="K2387" t="s">
        <v>32</v>
      </c>
      <c r="L2387" t="s">
        <v>716</v>
      </c>
      <c r="M2387" t="s">
        <v>1170</v>
      </c>
      <c r="Q2387" t="s">
        <v>1391</v>
      </c>
      <c r="R2387" t="s">
        <v>1391</v>
      </c>
      <c r="S2387">
        <v>2</v>
      </c>
    </row>
    <row r="2388" spans="1:19" hidden="1" x14ac:dyDescent="0.25">
      <c r="A2388" t="s">
        <v>1395</v>
      </c>
      <c r="B2388" t="s">
        <v>1396</v>
      </c>
      <c r="C2388">
        <v>2</v>
      </c>
      <c r="D2388" t="s">
        <v>11</v>
      </c>
      <c r="E2388" t="s">
        <v>1397</v>
      </c>
      <c r="F2388" t="s">
        <v>25</v>
      </c>
      <c r="G2388">
        <v>15</v>
      </c>
      <c r="H2388">
        <v>18</v>
      </c>
      <c r="I2388" t="b">
        <v>1</v>
      </c>
      <c r="J2388" t="s">
        <v>0</v>
      </c>
      <c r="K2388" t="s">
        <v>32</v>
      </c>
      <c r="L2388" t="s">
        <v>1398</v>
      </c>
      <c r="M2388" t="s">
        <v>1398</v>
      </c>
      <c r="N2388" t="s">
        <v>1398</v>
      </c>
      <c r="O2388" t="s">
        <v>1398</v>
      </c>
      <c r="P2388" t="s">
        <v>1398</v>
      </c>
      <c r="Q2388" t="s">
        <v>1396</v>
      </c>
      <c r="R2388" t="s">
        <v>1396</v>
      </c>
      <c r="S2388">
        <v>1</v>
      </c>
    </row>
    <row r="2389" spans="1:19" hidden="1" x14ac:dyDescent="0.25">
      <c r="A2389" t="s">
        <v>1395</v>
      </c>
      <c r="B2389" t="s">
        <v>1396</v>
      </c>
      <c r="C2389">
        <v>3</v>
      </c>
      <c r="D2389" t="s">
        <v>11</v>
      </c>
      <c r="E2389" t="s">
        <v>1399</v>
      </c>
      <c r="F2389" t="s">
        <v>25</v>
      </c>
      <c r="G2389">
        <v>11</v>
      </c>
      <c r="H2389">
        <v>14</v>
      </c>
      <c r="I2389" t="b">
        <v>1</v>
      </c>
      <c r="J2389" t="s">
        <v>0</v>
      </c>
      <c r="K2389" t="s">
        <v>32</v>
      </c>
      <c r="L2389" t="s">
        <v>1398</v>
      </c>
      <c r="M2389" t="s">
        <v>1398</v>
      </c>
      <c r="N2389" t="s">
        <v>1398</v>
      </c>
      <c r="O2389" t="s">
        <v>1398</v>
      </c>
      <c r="P2389" t="s">
        <v>1398</v>
      </c>
      <c r="Q2389" t="s">
        <v>1396</v>
      </c>
      <c r="R2389" t="s">
        <v>1396</v>
      </c>
      <c r="S2389">
        <v>1</v>
      </c>
    </row>
    <row r="2390" spans="1:19" hidden="1" x14ac:dyDescent="0.25">
      <c r="A2390" t="s">
        <v>1395</v>
      </c>
      <c r="B2390" t="s">
        <v>1396</v>
      </c>
      <c r="C2390">
        <v>4</v>
      </c>
      <c r="D2390" t="s">
        <v>11</v>
      </c>
      <c r="E2390" t="s">
        <v>971</v>
      </c>
      <c r="F2390" t="s">
        <v>25</v>
      </c>
      <c r="G2390">
        <v>5</v>
      </c>
      <c r="H2390">
        <v>10</v>
      </c>
      <c r="I2390" t="b">
        <v>1</v>
      </c>
      <c r="J2390" t="s">
        <v>0</v>
      </c>
      <c r="K2390" t="s">
        <v>32</v>
      </c>
      <c r="L2390" t="s">
        <v>1398</v>
      </c>
      <c r="M2390" t="s">
        <v>1398</v>
      </c>
      <c r="N2390" t="s">
        <v>1398</v>
      </c>
      <c r="O2390" t="s">
        <v>1398</v>
      </c>
      <c r="P2390" t="s">
        <v>1398</v>
      </c>
      <c r="Q2390" t="s">
        <v>1396</v>
      </c>
      <c r="R2390" t="s">
        <v>1396</v>
      </c>
      <c r="S2390">
        <v>1</v>
      </c>
    </row>
    <row r="2391" spans="1:19" hidden="1" x14ac:dyDescent="0.25">
      <c r="A2391" t="s">
        <v>1395</v>
      </c>
      <c r="B2391" t="s">
        <v>1396</v>
      </c>
      <c r="C2391">
        <v>5</v>
      </c>
      <c r="D2391" t="s">
        <v>11</v>
      </c>
      <c r="E2391" t="s">
        <v>941</v>
      </c>
      <c r="F2391" t="s">
        <v>25</v>
      </c>
      <c r="G2391">
        <v>1</v>
      </c>
      <c r="H2391">
        <v>4</v>
      </c>
      <c r="I2391" t="b">
        <v>1</v>
      </c>
      <c r="J2391" t="s">
        <v>0</v>
      </c>
      <c r="K2391" t="s">
        <v>32</v>
      </c>
      <c r="L2391" t="s">
        <v>1398</v>
      </c>
      <c r="M2391" t="s">
        <v>1398</v>
      </c>
      <c r="N2391" t="s">
        <v>1398</v>
      </c>
      <c r="O2391" t="s">
        <v>1398</v>
      </c>
      <c r="P2391" t="s">
        <v>1398</v>
      </c>
      <c r="Q2391" t="s">
        <v>1396</v>
      </c>
      <c r="R2391" t="s">
        <v>1396</v>
      </c>
      <c r="S2391">
        <v>1</v>
      </c>
    </row>
    <row r="2392" spans="1:19" hidden="1" x14ac:dyDescent="0.25">
      <c r="A2392" t="s">
        <v>1395</v>
      </c>
      <c r="B2392" t="s">
        <v>1396</v>
      </c>
      <c r="C2392">
        <v>2</v>
      </c>
      <c r="D2392" t="s">
        <v>342</v>
      </c>
      <c r="E2392" t="s">
        <v>1400</v>
      </c>
      <c r="F2392" t="s">
        <v>25</v>
      </c>
      <c r="G2392">
        <v>2.9</v>
      </c>
      <c r="H2392">
        <v>3.2</v>
      </c>
      <c r="I2392" t="b">
        <v>1</v>
      </c>
      <c r="J2392" t="s">
        <v>1401</v>
      </c>
      <c r="K2392" t="s">
        <v>32</v>
      </c>
      <c r="L2392" t="s">
        <v>1398</v>
      </c>
      <c r="M2392" t="s">
        <v>1398</v>
      </c>
      <c r="N2392" t="s">
        <v>1398</v>
      </c>
      <c r="O2392" t="s">
        <v>1398</v>
      </c>
      <c r="P2392" t="s">
        <v>1398</v>
      </c>
      <c r="Q2392" t="s">
        <v>1396</v>
      </c>
      <c r="R2392" t="s">
        <v>1396</v>
      </c>
      <c r="S2392">
        <v>2</v>
      </c>
    </row>
    <row r="2393" spans="1:19" hidden="1" x14ac:dyDescent="0.25">
      <c r="A2393" t="s">
        <v>1395</v>
      </c>
      <c r="B2393" t="s">
        <v>1396</v>
      </c>
      <c r="C2393">
        <v>3</v>
      </c>
      <c r="D2393" t="s">
        <v>342</v>
      </c>
      <c r="E2393" t="s">
        <v>1402</v>
      </c>
      <c r="F2393" t="s">
        <v>24</v>
      </c>
      <c r="G2393">
        <v>2.5</v>
      </c>
      <c r="H2393">
        <v>2.9</v>
      </c>
      <c r="I2393" t="b">
        <v>1</v>
      </c>
      <c r="J2393" t="s">
        <v>1401</v>
      </c>
      <c r="K2393" t="s">
        <v>32</v>
      </c>
      <c r="L2393" t="s">
        <v>1398</v>
      </c>
      <c r="M2393" t="s">
        <v>1398</v>
      </c>
      <c r="N2393" t="s">
        <v>1398</v>
      </c>
      <c r="O2393" t="s">
        <v>1398</v>
      </c>
      <c r="P2393" t="s">
        <v>1398</v>
      </c>
      <c r="Q2393" t="s">
        <v>1396</v>
      </c>
      <c r="R2393" t="s">
        <v>1396</v>
      </c>
      <c r="S2393">
        <v>2</v>
      </c>
    </row>
    <row r="2394" spans="1:19" hidden="1" x14ac:dyDescent="0.25">
      <c r="A2394" t="s">
        <v>1395</v>
      </c>
      <c r="B2394" t="s">
        <v>1396</v>
      </c>
      <c r="C2394">
        <v>4</v>
      </c>
      <c r="D2394" t="s">
        <v>342</v>
      </c>
      <c r="E2394" t="s">
        <v>1403</v>
      </c>
      <c r="F2394" t="s">
        <v>25</v>
      </c>
      <c r="G2394">
        <v>1.5</v>
      </c>
      <c r="H2394">
        <v>2.2000000000000002</v>
      </c>
      <c r="I2394" t="b">
        <v>1</v>
      </c>
      <c r="J2394" t="s">
        <v>1401</v>
      </c>
      <c r="K2394" t="s">
        <v>32</v>
      </c>
      <c r="L2394" t="s">
        <v>1398</v>
      </c>
      <c r="M2394" t="s">
        <v>1398</v>
      </c>
      <c r="N2394" t="s">
        <v>1398</v>
      </c>
      <c r="O2394" t="s">
        <v>1398</v>
      </c>
      <c r="P2394" t="s">
        <v>1398</v>
      </c>
      <c r="Q2394" t="s">
        <v>1396</v>
      </c>
      <c r="R2394" t="s">
        <v>1396</v>
      </c>
      <c r="S2394">
        <v>2</v>
      </c>
    </row>
    <row r="2395" spans="1:19" hidden="1" x14ac:dyDescent="0.25">
      <c r="A2395" t="s">
        <v>1395</v>
      </c>
      <c r="B2395" t="s">
        <v>1396</v>
      </c>
      <c r="C2395">
        <v>5</v>
      </c>
      <c r="D2395" t="s">
        <v>342</v>
      </c>
      <c r="E2395" t="s">
        <v>1404</v>
      </c>
      <c r="F2395" t="s">
        <v>24</v>
      </c>
      <c r="G2395">
        <v>0.5</v>
      </c>
      <c r="H2395">
        <v>1</v>
      </c>
      <c r="I2395" t="b">
        <v>1</v>
      </c>
      <c r="J2395" t="s">
        <v>1401</v>
      </c>
      <c r="K2395" t="s">
        <v>32</v>
      </c>
      <c r="L2395" t="s">
        <v>1398</v>
      </c>
      <c r="M2395" t="s">
        <v>1398</v>
      </c>
      <c r="N2395" t="s">
        <v>1398</v>
      </c>
      <c r="O2395" t="s">
        <v>1398</v>
      </c>
      <c r="P2395" t="s">
        <v>1398</v>
      </c>
      <c r="Q2395" t="s">
        <v>1396</v>
      </c>
      <c r="R2395" t="s">
        <v>1396</v>
      </c>
      <c r="S2395">
        <v>2</v>
      </c>
    </row>
    <row r="2396" spans="1:19" hidden="1" x14ac:dyDescent="0.25">
      <c r="A2396" t="s">
        <v>1395</v>
      </c>
      <c r="B2396" t="s">
        <v>1396</v>
      </c>
      <c r="C2396">
        <v>2</v>
      </c>
      <c r="D2396" t="s">
        <v>1373</v>
      </c>
      <c r="E2396" t="s">
        <v>1405</v>
      </c>
      <c r="F2396" t="s">
        <v>25</v>
      </c>
      <c r="G2396">
        <v>8</v>
      </c>
      <c r="H2396">
        <v>11</v>
      </c>
      <c r="I2396" t="b">
        <v>1</v>
      </c>
      <c r="J2396" t="s">
        <v>1374</v>
      </c>
      <c r="K2396" t="s">
        <v>32</v>
      </c>
      <c r="L2396" t="s">
        <v>1398</v>
      </c>
      <c r="M2396" t="s">
        <v>1398</v>
      </c>
      <c r="N2396" t="s">
        <v>1398</v>
      </c>
      <c r="O2396" t="s">
        <v>1398</v>
      </c>
      <c r="P2396" t="s">
        <v>1398</v>
      </c>
      <c r="Q2396" t="s">
        <v>1396</v>
      </c>
      <c r="R2396" t="s">
        <v>1396</v>
      </c>
      <c r="S2396">
        <v>3</v>
      </c>
    </row>
    <row r="2397" spans="1:19" hidden="1" x14ac:dyDescent="0.25">
      <c r="A2397" t="s">
        <v>1395</v>
      </c>
      <c r="B2397" t="s">
        <v>1396</v>
      </c>
      <c r="C2397">
        <v>3</v>
      </c>
      <c r="D2397" t="s">
        <v>1373</v>
      </c>
      <c r="E2397" t="s">
        <v>982</v>
      </c>
      <c r="F2397" t="s">
        <v>25</v>
      </c>
      <c r="G2397">
        <v>5</v>
      </c>
      <c r="H2397">
        <v>8</v>
      </c>
      <c r="I2397" t="b">
        <v>1</v>
      </c>
      <c r="J2397" t="s">
        <v>1374</v>
      </c>
      <c r="K2397" t="s">
        <v>32</v>
      </c>
      <c r="L2397" t="s">
        <v>1398</v>
      </c>
      <c r="M2397" t="s">
        <v>1398</v>
      </c>
      <c r="N2397" t="s">
        <v>1398</v>
      </c>
      <c r="O2397" t="s">
        <v>1398</v>
      </c>
      <c r="P2397" t="s">
        <v>1398</v>
      </c>
      <c r="Q2397" t="s">
        <v>1396</v>
      </c>
      <c r="R2397" t="s">
        <v>1396</v>
      </c>
      <c r="S2397">
        <v>3</v>
      </c>
    </row>
    <row r="2398" spans="1:19" hidden="1" x14ac:dyDescent="0.25">
      <c r="A2398" t="s">
        <v>1395</v>
      </c>
      <c r="B2398" t="s">
        <v>1396</v>
      </c>
      <c r="C2398">
        <v>4</v>
      </c>
      <c r="D2398" t="s">
        <v>1373</v>
      </c>
      <c r="E2398" t="s">
        <v>919</v>
      </c>
      <c r="F2398" t="s">
        <v>25</v>
      </c>
      <c r="G2398">
        <v>2</v>
      </c>
      <c r="H2398">
        <v>5</v>
      </c>
      <c r="I2398" t="b">
        <v>1</v>
      </c>
      <c r="J2398" t="s">
        <v>1374</v>
      </c>
      <c r="K2398" t="s">
        <v>32</v>
      </c>
      <c r="L2398" t="s">
        <v>1398</v>
      </c>
      <c r="M2398" t="s">
        <v>1398</v>
      </c>
      <c r="N2398" t="s">
        <v>1398</v>
      </c>
      <c r="O2398" t="s">
        <v>1398</v>
      </c>
      <c r="P2398" t="s">
        <v>1398</v>
      </c>
      <c r="Q2398" t="s">
        <v>1396</v>
      </c>
      <c r="R2398" t="s">
        <v>1396</v>
      </c>
      <c r="S2398">
        <v>3</v>
      </c>
    </row>
    <row r="2399" spans="1:19" hidden="1" x14ac:dyDescent="0.25">
      <c r="A2399" t="s">
        <v>1395</v>
      </c>
      <c r="B2399" t="s">
        <v>1396</v>
      </c>
      <c r="C2399">
        <v>2</v>
      </c>
      <c r="D2399" t="s">
        <v>1426</v>
      </c>
      <c r="E2399" t="s">
        <v>1114</v>
      </c>
      <c r="F2399" t="s">
        <v>25</v>
      </c>
      <c r="G2399">
        <v>13</v>
      </c>
      <c r="H2399">
        <v>20</v>
      </c>
      <c r="I2399" t="b">
        <v>1</v>
      </c>
      <c r="J2399" t="s">
        <v>1427</v>
      </c>
      <c r="K2399" t="s">
        <v>32</v>
      </c>
      <c r="L2399" t="s">
        <v>1398</v>
      </c>
      <c r="M2399" t="s">
        <v>1398</v>
      </c>
      <c r="N2399" t="s">
        <v>1398</v>
      </c>
      <c r="O2399" t="s">
        <v>1398</v>
      </c>
      <c r="P2399" t="s">
        <v>1398</v>
      </c>
      <c r="Q2399" t="s">
        <v>1396</v>
      </c>
      <c r="R2399" t="s">
        <v>1396</v>
      </c>
      <c r="S2399">
        <v>4</v>
      </c>
    </row>
    <row r="2400" spans="1:19" hidden="1" x14ac:dyDescent="0.25">
      <c r="A2400" t="s">
        <v>1395</v>
      </c>
      <c r="B2400" t="s">
        <v>1396</v>
      </c>
      <c r="C2400">
        <v>3</v>
      </c>
      <c r="D2400" t="s">
        <v>1426</v>
      </c>
      <c r="E2400" t="s">
        <v>1122</v>
      </c>
      <c r="F2400" t="s">
        <v>25</v>
      </c>
      <c r="G2400">
        <v>10</v>
      </c>
      <c r="H2400">
        <v>13</v>
      </c>
      <c r="I2400" t="b">
        <v>1</v>
      </c>
      <c r="J2400" t="s">
        <v>1427</v>
      </c>
      <c r="K2400" t="s">
        <v>32</v>
      </c>
      <c r="L2400" t="s">
        <v>1398</v>
      </c>
      <c r="M2400" t="s">
        <v>1398</v>
      </c>
      <c r="N2400" t="s">
        <v>1398</v>
      </c>
      <c r="O2400" t="s">
        <v>1398</v>
      </c>
      <c r="P2400" t="s">
        <v>1398</v>
      </c>
      <c r="Q2400" t="s">
        <v>1396</v>
      </c>
      <c r="R2400" t="s">
        <v>1396</v>
      </c>
      <c r="S2400">
        <v>4</v>
      </c>
    </row>
    <row r="2401" spans="1:19" hidden="1" x14ac:dyDescent="0.25">
      <c r="A2401" t="s">
        <v>1395</v>
      </c>
      <c r="B2401" t="s">
        <v>1396</v>
      </c>
      <c r="C2401">
        <v>4</v>
      </c>
      <c r="D2401" t="s">
        <v>1426</v>
      </c>
      <c r="E2401" t="s">
        <v>1015</v>
      </c>
      <c r="F2401" t="s">
        <v>25</v>
      </c>
      <c r="G2401">
        <v>3</v>
      </c>
      <c r="H2401">
        <v>6</v>
      </c>
      <c r="I2401" t="b">
        <v>1</v>
      </c>
      <c r="J2401" t="s">
        <v>1427</v>
      </c>
      <c r="K2401" t="s">
        <v>32</v>
      </c>
      <c r="L2401" t="s">
        <v>1398</v>
      </c>
      <c r="M2401" t="s">
        <v>1398</v>
      </c>
      <c r="N2401" t="s">
        <v>1398</v>
      </c>
      <c r="O2401" t="s">
        <v>1398</v>
      </c>
      <c r="P2401" t="s">
        <v>1398</v>
      </c>
      <c r="Q2401" t="s">
        <v>1396</v>
      </c>
      <c r="R2401" t="s">
        <v>1396</v>
      </c>
      <c r="S2401">
        <v>4</v>
      </c>
    </row>
    <row r="2402" spans="1:19" hidden="1" x14ac:dyDescent="0.25">
      <c r="A2402" t="s">
        <v>1395</v>
      </c>
      <c r="B2402" t="s">
        <v>1396</v>
      </c>
      <c r="C2402">
        <v>2</v>
      </c>
      <c r="D2402" t="s">
        <v>407</v>
      </c>
      <c r="E2402" t="s">
        <v>1335</v>
      </c>
      <c r="F2402" t="s">
        <v>26</v>
      </c>
      <c r="G2402">
        <v>1</v>
      </c>
      <c r="H2402">
        <v>3</v>
      </c>
      <c r="I2402" t="b">
        <v>0</v>
      </c>
      <c r="J2402" t="s">
        <v>1365</v>
      </c>
      <c r="K2402" t="s">
        <v>32</v>
      </c>
      <c r="L2402" t="s">
        <v>1398</v>
      </c>
      <c r="M2402" t="s">
        <v>1398</v>
      </c>
      <c r="N2402" t="s">
        <v>1398</v>
      </c>
      <c r="O2402" t="s">
        <v>1398</v>
      </c>
      <c r="P2402" t="s">
        <v>1398</v>
      </c>
      <c r="Q2402" t="s">
        <v>1396</v>
      </c>
      <c r="R2402" t="s">
        <v>1396</v>
      </c>
      <c r="S2402">
        <v>5</v>
      </c>
    </row>
    <row r="2403" spans="1:19" hidden="1" x14ac:dyDescent="0.25">
      <c r="A2403" t="s">
        <v>1395</v>
      </c>
      <c r="B2403" t="s">
        <v>1396</v>
      </c>
      <c r="C2403">
        <v>3</v>
      </c>
      <c r="D2403" t="s">
        <v>407</v>
      </c>
      <c r="E2403" t="s">
        <v>1336</v>
      </c>
      <c r="F2403" t="s">
        <v>27</v>
      </c>
      <c r="G2403">
        <v>3</v>
      </c>
      <c r="H2403">
        <v>8</v>
      </c>
      <c r="I2403" t="b">
        <v>0</v>
      </c>
      <c r="J2403" t="s">
        <v>1365</v>
      </c>
      <c r="K2403" t="s">
        <v>32</v>
      </c>
      <c r="L2403" t="s">
        <v>1398</v>
      </c>
      <c r="M2403" t="s">
        <v>1398</v>
      </c>
      <c r="N2403" t="s">
        <v>1398</v>
      </c>
      <c r="O2403" t="s">
        <v>1398</v>
      </c>
      <c r="P2403" t="s">
        <v>1398</v>
      </c>
      <c r="Q2403" t="s">
        <v>1396</v>
      </c>
      <c r="R2403" t="s">
        <v>1396</v>
      </c>
      <c r="S2403">
        <v>5</v>
      </c>
    </row>
    <row r="2404" spans="1:19" hidden="1" x14ac:dyDescent="0.25">
      <c r="A2404" t="s">
        <v>1395</v>
      </c>
      <c r="B2404" t="s">
        <v>1396</v>
      </c>
      <c r="C2404">
        <v>4</v>
      </c>
      <c r="D2404" t="s">
        <v>407</v>
      </c>
      <c r="E2404" t="s">
        <v>928</v>
      </c>
      <c r="F2404" t="s">
        <v>26</v>
      </c>
      <c r="G2404">
        <v>20</v>
      </c>
      <c r="H2404">
        <v>30</v>
      </c>
      <c r="I2404" t="b">
        <v>0</v>
      </c>
      <c r="J2404" t="s">
        <v>1365</v>
      </c>
      <c r="K2404" t="s">
        <v>32</v>
      </c>
      <c r="L2404" t="s">
        <v>1398</v>
      </c>
      <c r="M2404" t="s">
        <v>1398</v>
      </c>
      <c r="N2404" t="s">
        <v>1398</v>
      </c>
      <c r="O2404" t="s">
        <v>1398</v>
      </c>
      <c r="P2404" t="s">
        <v>1398</v>
      </c>
      <c r="Q2404" t="s">
        <v>1396</v>
      </c>
      <c r="R2404" t="s">
        <v>1396</v>
      </c>
      <c r="S2404">
        <v>5</v>
      </c>
    </row>
    <row r="2405" spans="1:19" hidden="1" x14ac:dyDescent="0.25">
      <c r="A2405" t="s">
        <v>1395</v>
      </c>
      <c r="B2405" t="s">
        <v>1396</v>
      </c>
      <c r="C2405">
        <v>2</v>
      </c>
      <c r="D2405" t="s">
        <v>364</v>
      </c>
      <c r="E2405" t="s">
        <v>919</v>
      </c>
      <c r="F2405" t="s">
        <v>25</v>
      </c>
      <c r="G2405">
        <v>2</v>
      </c>
      <c r="H2405">
        <v>5</v>
      </c>
      <c r="I2405" t="b">
        <v>1</v>
      </c>
      <c r="J2405" t="s">
        <v>1406</v>
      </c>
      <c r="K2405" t="s">
        <v>32</v>
      </c>
      <c r="L2405" t="s">
        <v>1398</v>
      </c>
      <c r="M2405" t="s">
        <v>1398</v>
      </c>
      <c r="N2405" t="s">
        <v>1398</v>
      </c>
      <c r="O2405" t="s">
        <v>1398</v>
      </c>
      <c r="P2405" t="s">
        <v>1398</v>
      </c>
      <c r="Q2405" t="s">
        <v>1396</v>
      </c>
      <c r="R2405" t="s">
        <v>1396</v>
      </c>
      <c r="S2405">
        <v>6</v>
      </c>
    </row>
    <row r="2406" spans="1:19" hidden="1" x14ac:dyDescent="0.25">
      <c r="A2406" t="s">
        <v>1395</v>
      </c>
      <c r="B2406" t="s">
        <v>1396</v>
      </c>
      <c r="C2406">
        <v>3</v>
      </c>
      <c r="D2406" t="s">
        <v>364</v>
      </c>
      <c r="E2406" t="s">
        <v>1407</v>
      </c>
      <c r="F2406" t="s">
        <v>25</v>
      </c>
      <c r="G2406">
        <v>-0.5</v>
      </c>
      <c r="H2406">
        <v>1</v>
      </c>
      <c r="I2406" t="b">
        <v>1</v>
      </c>
      <c r="J2406" t="s">
        <v>1406</v>
      </c>
      <c r="K2406" t="s">
        <v>32</v>
      </c>
      <c r="L2406" t="s">
        <v>1398</v>
      </c>
      <c r="M2406" t="s">
        <v>1408</v>
      </c>
      <c r="N2406" t="s">
        <v>1398</v>
      </c>
      <c r="O2406" t="s">
        <v>1398</v>
      </c>
      <c r="P2406" t="s">
        <v>1398</v>
      </c>
      <c r="Q2406" t="s">
        <v>1396</v>
      </c>
      <c r="R2406" t="s">
        <v>1396</v>
      </c>
      <c r="S2406">
        <v>6</v>
      </c>
    </row>
    <row r="2407" spans="1:19" hidden="1" x14ac:dyDescent="0.25">
      <c r="A2407" t="s">
        <v>1395</v>
      </c>
      <c r="B2407" t="s">
        <v>1396</v>
      </c>
      <c r="C2407">
        <v>2</v>
      </c>
      <c r="D2407" t="s">
        <v>983</v>
      </c>
      <c r="E2407" t="s">
        <v>971</v>
      </c>
      <c r="F2407" t="s">
        <v>25</v>
      </c>
      <c r="G2407">
        <v>5</v>
      </c>
      <c r="H2407">
        <v>10</v>
      </c>
      <c r="I2407" t="b">
        <v>1</v>
      </c>
      <c r="J2407" t="s">
        <v>1409</v>
      </c>
      <c r="K2407" t="s">
        <v>32</v>
      </c>
      <c r="L2407" t="s">
        <v>1398</v>
      </c>
      <c r="M2407" t="s">
        <v>1398</v>
      </c>
      <c r="N2407" t="s">
        <v>1398</v>
      </c>
      <c r="O2407" t="s">
        <v>1398</v>
      </c>
      <c r="P2407" t="s">
        <v>1398</v>
      </c>
      <c r="Q2407" t="s">
        <v>1396</v>
      </c>
      <c r="R2407" t="s">
        <v>1396</v>
      </c>
      <c r="S2407">
        <v>8</v>
      </c>
    </row>
    <row r="2408" spans="1:19" hidden="1" x14ac:dyDescent="0.25">
      <c r="A2408" t="s">
        <v>1395</v>
      </c>
      <c r="B2408" t="s">
        <v>1396</v>
      </c>
      <c r="C2408">
        <v>3</v>
      </c>
      <c r="D2408" t="s">
        <v>983</v>
      </c>
      <c r="E2408" t="s">
        <v>1410</v>
      </c>
      <c r="F2408" t="s">
        <v>25</v>
      </c>
      <c r="G2408">
        <v>-1</v>
      </c>
      <c r="H2408">
        <v>5</v>
      </c>
      <c r="I2408" t="b">
        <v>1</v>
      </c>
      <c r="J2408" t="s">
        <v>1409</v>
      </c>
      <c r="K2408" t="s">
        <v>32</v>
      </c>
      <c r="L2408" t="s">
        <v>1398</v>
      </c>
      <c r="M2408" t="s">
        <v>1408</v>
      </c>
      <c r="N2408" t="s">
        <v>1398</v>
      </c>
      <c r="O2408" t="s">
        <v>1398</v>
      </c>
      <c r="P2408" t="s">
        <v>1398</v>
      </c>
      <c r="Q2408" t="s">
        <v>1396</v>
      </c>
      <c r="R2408" t="s">
        <v>1396</v>
      </c>
      <c r="S2408">
        <v>8</v>
      </c>
    </row>
    <row r="2409" spans="1:19" hidden="1" x14ac:dyDescent="0.25">
      <c r="A2409" t="s">
        <v>1395</v>
      </c>
      <c r="B2409" t="s">
        <v>1396</v>
      </c>
      <c r="C2409">
        <v>2</v>
      </c>
      <c r="D2409" t="s">
        <v>1411</v>
      </c>
      <c r="E2409" t="s">
        <v>1412</v>
      </c>
      <c r="F2409" t="s">
        <v>27</v>
      </c>
      <c r="G2409">
        <v>0</v>
      </c>
      <c r="H2409">
        <v>0.01</v>
      </c>
      <c r="I2409" t="b">
        <v>0</v>
      </c>
      <c r="J2409" t="s">
        <v>1413</v>
      </c>
      <c r="K2409" t="s">
        <v>32</v>
      </c>
      <c r="L2409" t="s">
        <v>1398</v>
      </c>
      <c r="M2409" t="s">
        <v>1398</v>
      </c>
      <c r="N2409" t="s">
        <v>1398</v>
      </c>
      <c r="O2409" t="s">
        <v>1398</v>
      </c>
      <c r="P2409" t="s">
        <v>1398</v>
      </c>
      <c r="Q2409" t="s">
        <v>1396</v>
      </c>
      <c r="R2409" t="s">
        <v>1396</v>
      </c>
      <c r="S2409">
        <v>9</v>
      </c>
    </row>
    <row r="2410" spans="1:19" hidden="1" x14ac:dyDescent="0.25">
      <c r="A2410" t="s">
        <v>1395</v>
      </c>
      <c r="B2410" t="s">
        <v>1396</v>
      </c>
      <c r="C2410">
        <v>3</v>
      </c>
      <c r="D2410" t="s">
        <v>1411</v>
      </c>
      <c r="E2410" t="s">
        <v>1268</v>
      </c>
      <c r="F2410" t="s">
        <v>27</v>
      </c>
      <c r="G2410">
        <v>2</v>
      </c>
      <c r="H2410">
        <v>5</v>
      </c>
      <c r="I2410" t="b">
        <v>0</v>
      </c>
      <c r="J2410" t="s">
        <v>1413</v>
      </c>
      <c r="K2410" t="s">
        <v>32</v>
      </c>
      <c r="L2410" t="s">
        <v>1398</v>
      </c>
      <c r="M2410" t="s">
        <v>1398</v>
      </c>
      <c r="N2410" t="s">
        <v>1398</v>
      </c>
      <c r="O2410" t="s">
        <v>1398</v>
      </c>
      <c r="P2410" t="s">
        <v>1398</v>
      </c>
      <c r="Q2410" t="s">
        <v>1396</v>
      </c>
      <c r="R2410" t="s">
        <v>1396</v>
      </c>
      <c r="S2410">
        <v>9</v>
      </c>
    </row>
    <row r="2411" spans="1:19" hidden="1" x14ac:dyDescent="0.25">
      <c r="A2411" t="s">
        <v>1395</v>
      </c>
      <c r="B2411" t="s">
        <v>1396</v>
      </c>
      <c r="C2411">
        <v>2</v>
      </c>
      <c r="D2411" t="s">
        <v>909</v>
      </c>
      <c r="E2411" t="s">
        <v>1131</v>
      </c>
      <c r="F2411" t="s">
        <v>25</v>
      </c>
      <c r="G2411">
        <v>1</v>
      </c>
      <c r="H2411">
        <v>2</v>
      </c>
      <c r="I2411" t="b">
        <v>1</v>
      </c>
      <c r="J2411" t="s">
        <v>1375</v>
      </c>
      <c r="K2411" t="s">
        <v>32</v>
      </c>
      <c r="L2411" t="s">
        <v>1398</v>
      </c>
      <c r="M2411" t="s">
        <v>1398</v>
      </c>
      <c r="N2411" t="s">
        <v>1398</v>
      </c>
      <c r="O2411" t="s">
        <v>1398</v>
      </c>
      <c r="P2411" t="s">
        <v>1398</v>
      </c>
      <c r="Q2411" t="s">
        <v>1396</v>
      </c>
      <c r="R2411" t="s">
        <v>1396</v>
      </c>
      <c r="S2411">
        <v>10</v>
      </c>
    </row>
    <row r="2412" spans="1:19" hidden="1" x14ac:dyDescent="0.25">
      <c r="A2412" t="s">
        <v>1395</v>
      </c>
      <c r="B2412" t="s">
        <v>1396</v>
      </c>
      <c r="C2412">
        <v>3</v>
      </c>
      <c r="D2412" t="s">
        <v>909</v>
      </c>
      <c r="E2412" t="s">
        <v>725</v>
      </c>
      <c r="F2412" t="s">
        <v>25</v>
      </c>
      <c r="G2412">
        <v>0</v>
      </c>
      <c r="H2412">
        <v>1</v>
      </c>
      <c r="I2412" t="b">
        <v>1</v>
      </c>
      <c r="J2412" t="s">
        <v>1375</v>
      </c>
      <c r="K2412" t="s">
        <v>32</v>
      </c>
      <c r="L2412" t="s">
        <v>1398</v>
      </c>
      <c r="M2412" t="s">
        <v>1398</v>
      </c>
      <c r="N2412" t="s">
        <v>1398</v>
      </c>
      <c r="O2412" t="s">
        <v>1398</v>
      </c>
      <c r="P2412" t="s">
        <v>1398</v>
      </c>
      <c r="Q2412" t="s">
        <v>1396</v>
      </c>
      <c r="R2412" t="s">
        <v>1396</v>
      </c>
      <c r="S2412">
        <v>10</v>
      </c>
    </row>
    <row r="2413" spans="1:19" hidden="1" x14ac:dyDescent="0.25">
      <c r="A2413" t="s">
        <v>1395</v>
      </c>
      <c r="B2413" t="s">
        <v>1396</v>
      </c>
      <c r="C2413">
        <v>2</v>
      </c>
      <c r="D2413" t="s">
        <v>912</v>
      </c>
      <c r="E2413" t="s">
        <v>941</v>
      </c>
      <c r="F2413" t="s">
        <v>25</v>
      </c>
      <c r="G2413">
        <v>1</v>
      </c>
      <c r="H2413">
        <v>4</v>
      </c>
      <c r="I2413" t="b">
        <v>1</v>
      </c>
      <c r="J2413" t="s">
        <v>1361</v>
      </c>
      <c r="K2413" t="s">
        <v>32</v>
      </c>
      <c r="L2413" t="s">
        <v>1398</v>
      </c>
      <c r="M2413" t="s">
        <v>1398</v>
      </c>
      <c r="N2413" t="s">
        <v>1398</v>
      </c>
      <c r="O2413" t="s">
        <v>1398</v>
      </c>
      <c r="P2413" t="s">
        <v>1398</v>
      </c>
      <c r="Q2413" t="s">
        <v>1396</v>
      </c>
      <c r="R2413" t="s">
        <v>1396</v>
      </c>
      <c r="S2413">
        <v>11</v>
      </c>
    </row>
    <row r="2414" spans="1:19" hidden="1" x14ac:dyDescent="0.25">
      <c r="A2414" t="s">
        <v>1395</v>
      </c>
      <c r="B2414" t="s">
        <v>1396</v>
      </c>
      <c r="C2414">
        <v>3</v>
      </c>
      <c r="D2414" t="s">
        <v>912</v>
      </c>
      <c r="E2414" t="s">
        <v>725</v>
      </c>
      <c r="F2414" t="s">
        <v>25</v>
      </c>
      <c r="G2414">
        <v>0</v>
      </c>
      <c r="H2414">
        <v>1</v>
      </c>
      <c r="I2414" t="b">
        <v>1</v>
      </c>
      <c r="J2414" t="s">
        <v>1361</v>
      </c>
      <c r="K2414" t="s">
        <v>32</v>
      </c>
      <c r="L2414" t="s">
        <v>1398</v>
      </c>
      <c r="M2414" t="s">
        <v>1398</v>
      </c>
      <c r="N2414" t="s">
        <v>1398</v>
      </c>
      <c r="O2414" t="s">
        <v>1398</v>
      </c>
      <c r="P2414" t="s">
        <v>1398</v>
      </c>
      <c r="Q2414" t="s">
        <v>1396</v>
      </c>
      <c r="R2414" t="s">
        <v>1396</v>
      </c>
      <c r="S2414">
        <v>11</v>
      </c>
    </row>
    <row r="2415" spans="1:19" hidden="1" x14ac:dyDescent="0.25">
      <c r="A2415" t="s">
        <v>1395</v>
      </c>
      <c r="B2415" t="s">
        <v>1396</v>
      </c>
      <c r="C2415">
        <v>2</v>
      </c>
      <c r="D2415" t="s">
        <v>918</v>
      </c>
      <c r="E2415" t="s">
        <v>941</v>
      </c>
      <c r="F2415" t="s">
        <v>25</v>
      </c>
      <c r="G2415">
        <v>1</v>
      </c>
      <c r="H2415">
        <v>4</v>
      </c>
      <c r="I2415" t="b">
        <v>1</v>
      </c>
      <c r="J2415" t="s">
        <v>1362</v>
      </c>
      <c r="K2415" t="s">
        <v>32</v>
      </c>
      <c r="L2415" t="s">
        <v>1398</v>
      </c>
      <c r="M2415" t="s">
        <v>1398</v>
      </c>
      <c r="N2415" t="s">
        <v>1398</v>
      </c>
      <c r="O2415" t="s">
        <v>1398</v>
      </c>
      <c r="P2415" t="s">
        <v>1398</v>
      </c>
      <c r="Q2415" t="s">
        <v>1396</v>
      </c>
      <c r="R2415" t="s">
        <v>1396</v>
      </c>
      <c r="S2415">
        <v>12</v>
      </c>
    </row>
    <row r="2416" spans="1:19" hidden="1" x14ac:dyDescent="0.25">
      <c r="A2416" t="s">
        <v>1395</v>
      </c>
      <c r="B2416" t="s">
        <v>1396</v>
      </c>
      <c r="C2416">
        <v>3</v>
      </c>
      <c r="D2416" t="s">
        <v>918</v>
      </c>
      <c r="E2416" t="s">
        <v>725</v>
      </c>
      <c r="F2416" t="s">
        <v>25</v>
      </c>
      <c r="G2416">
        <v>0</v>
      </c>
      <c r="H2416">
        <v>1</v>
      </c>
      <c r="I2416" t="b">
        <v>1</v>
      </c>
      <c r="J2416" t="s">
        <v>1362</v>
      </c>
      <c r="K2416" t="s">
        <v>32</v>
      </c>
      <c r="L2416" t="s">
        <v>1398</v>
      </c>
      <c r="M2416" t="s">
        <v>1398</v>
      </c>
      <c r="N2416" t="s">
        <v>1398</v>
      </c>
      <c r="O2416" t="s">
        <v>1398</v>
      </c>
      <c r="P2416" t="s">
        <v>1398</v>
      </c>
      <c r="Q2416" t="s">
        <v>1396</v>
      </c>
      <c r="R2416" t="s">
        <v>1396</v>
      </c>
      <c r="S2416">
        <v>12</v>
      </c>
    </row>
    <row r="2417" spans="1:19" hidden="1" x14ac:dyDescent="0.25">
      <c r="A2417" t="s">
        <v>1395</v>
      </c>
      <c r="B2417" t="s">
        <v>1396</v>
      </c>
      <c r="C2417">
        <v>2</v>
      </c>
      <c r="D2417" t="s">
        <v>1017</v>
      </c>
      <c r="E2417" t="s">
        <v>989</v>
      </c>
      <c r="F2417" t="s">
        <v>24</v>
      </c>
      <c r="G2417">
        <v>0</v>
      </c>
      <c r="H2417">
        <v>2</v>
      </c>
      <c r="I2417" t="b">
        <v>1</v>
      </c>
      <c r="J2417" t="s">
        <v>1414</v>
      </c>
      <c r="K2417" t="s">
        <v>32</v>
      </c>
      <c r="L2417" t="s">
        <v>1398</v>
      </c>
      <c r="M2417" t="s">
        <v>1398</v>
      </c>
      <c r="N2417" t="s">
        <v>1398</v>
      </c>
      <c r="O2417" t="s">
        <v>1398</v>
      </c>
      <c r="P2417" t="s">
        <v>1398</v>
      </c>
      <c r="Q2417" t="s">
        <v>1396</v>
      </c>
      <c r="R2417" t="s">
        <v>1396</v>
      </c>
      <c r="S2417">
        <v>13</v>
      </c>
    </row>
    <row r="2418" spans="1:19" hidden="1" x14ac:dyDescent="0.25">
      <c r="A2418" t="s">
        <v>1395</v>
      </c>
      <c r="B2418" t="s">
        <v>1396</v>
      </c>
      <c r="C2418">
        <v>3</v>
      </c>
      <c r="D2418" t="s">
        <v>1017</v>
      </c>
      <c r="E2418" t="s">
        <v>1415</v>
      </c>
      <c r="F2418" t="s">
        <v>25</v>
      </c>
      <c r="G2418">
        <v>-1</v>
      </c>
      <c r="H2418">
        <v>0.5</v>
      </c>
      <c r="I2418" t="b">
        <v>1</v>
      </c>
      <c r="J2418" t="s">
        <v>1414</v>
      </c>
      <c r="K2418" t="s">
        <v>32</v>
      </c>
      <c r="L2418" t="s">
        <v>1398</v>
      </c>
      <c r="M2418" t="s">
        <v>1416</v>
      </c>
      <c r="N2418" t="s">
        <v>1398</v>
      </c>
      <c r="O2418" t="s">
        <v>1398</v>
      </c>
      <c r="P2418" t="s">
        <v>1398</v>
      </c>
      <c r="Q2418" t="s">
        <v>1396</v>
      </c>
      <c r="R2418" t="s">
        <v>1396</v>
      </c>
      <c r="S2418">
        <v>13</v>
      </c>
    </row>
    <row r="2419" spans="1:19" hidden="1" x14ac:dyDescent="0.25">
      <c r="A2419" t="s">
        <v>1395</v>
      </c>
      <c r="B2419" t="s">
        <v>1396</v>
      </c>
      <c r="C2419">
        <v>4</v>
      </c>
      <c r="D2419" t="s">
        <v>1116</v>
      </c>
      <c r="E2419" t="s">
        <v>1417</v>
      </c>
      <c r="F2419" t="s">
        <v>25</v>
      </c>
      <c r="G2419">
        <v>0.5</v>
      </c>
      <c r="H2419">
        <v>2</v>
      </c>
      <c r="I2419" t="b">
        <v>1</v>
      </c>
      <c r="J2419" t="s">
        <v>1418</v>
      </c>
      <c r="K2419" t="s">
        <v>32</v>
      </c>
      <c r="L2419" t="s">
        <v>1398</v>
      </c>
      <c r="M2419" t="s">
        <v>1398</v>
      </c>
      <c r="N2419" t="s">
        <v>1398</v>
      </c>
      <c r="O2419" t="s">
        <v>1398</v>
      </c>
      <c r="P2419" t="s">
        <v>1398</v>
      </c>
      <c r="Q2419" t="s">
        <v>1396</v>
      </c>
      <c r="R2419" t="s">
        <v>1396</v>
      </c>
      <c r="S2419">
        <v>14</v>
      </c>
    </row>
    <row r="2420" spans="1:19" hidden="1" x14ac:dyDescent="0.25">
      <c r="A2420" t="s">
        <v>1395</v>
      </c>
      <c r="B2420" t="s">
        <v>1396</v>
      </c>
      <c r="C2420">
        <v>5</v>
      </c>
      <c r="D2420" t="s">
        <v>1419</v>
      </c>
      <c r="E2420" t="s">
        <v>1407</v>
      </c>
      <c r="F2420" t="s">
        <v>25</v>
      </c>
      <c r="G2420">
        <v>-0.5</v>
      </c>
      <c r="H2420">
        <v>1</v>
      </c>
      <c r="I2420" t="b">
        <v>1</v>
      </c>
      <c r="J2420" t="s">
        <v>1420</v>
      </c>
      <c r="K2420" t="s">
        <v>32</v>
      </c>
      <c r="L2420" t="s">
        <v>1398</v>
      </c>
      <c r="M2420" t="s">
        <v>1421</v>
      </c>
      <c r="N2420" t="s">
        <v>1398</v>
      </c>
      <c r="O2420" t="s">
        <v>1398</v>
      </c>
      <c r="P2420" t="s">
        <v>1398</v>
      </c>
      <c r="Q2420" t="s">
        <v>1396</v>
      </c>
      <c r="R2420" t="s">
        <v>1396</v>
      </c>
      <c r="S2420">
        <v>15</v>
      </c>
    </row>
    <row r="2421" spans="1:19" hidden="1" x14ac:dyDescent="0.25">
      <c r="A2421" t="s">
        <v>1395</v>
      </c>
      <c r="B2421" t="s">
        <v>1422</v>
      </c>
      <c r="C2421">
        <v>2</v>
      </c>
      <c r="D2421" t="s">
        <v>11</v>
      </c>
      <c r="E2421" t="s">
        <v>1397</v>
      </c>
      <c r="F2421" t="s">
        <v>25</v>
      </c>
      <c r="G2421">
        <v>15</v>
      </c>
      <c r="H2421">
        <v>18</v>
      </c>
      <c r="I2421" t="b">
        <v>1</v>
      </c>
      <c r="J2421" t="s">
        <v>0</v>
      </c>
      <c r="K2421" t="s">
        <v>32</v>
      </c>
      <c r="L2421" t="s">
        <v>1398</v>
      </c>
      <c r="M2421" t="s">
        <v>1398</v>
      </c>
      <c r="N2421" t="s">
        <v>1398</v>
      </c>
      <c r="O2421" t="s">
        <v>1398</v>
      </c>
      <c r="P2421" t="s">
        <v>1398</v>
      </c>
      <c r="Q2421" t="s">
        <v>1422</v>
      </c>
      <c r="R2421" t="s">
        <v>1422</v>
      </c>
      <c r="S2421">
        <v>1</v>
      </c>
    </row>
    <row r="2422" spans="1:19" hidden="1" x14ac:dyDescent="0.25">
      <c r="A2422" t="s">
        <v>1395</v>
      </c>
      <c r="B2422" t="s">
        <v>1422</v>
      </c>
      <c r="C2422">
        <v>3</v>
      </c>
      <c r="D2422" t="s">
        <v>11</v>
      </c>
      <c r="E2422" t="s">
        <v>1423</v>
      </c>
      <c r="F2422" t="s">
        <v>25</v>
      </c>
      <c r="G2422">
        <v>12</v>
      </c>
      <c r="H2422">
        <v>15</v>
      </c>
      <c r="I2422" t="b">
        <v>1</v>
      </c>
      <c r="J2422" t="s">
        <v>0</v>
      </c>
      <c r="K2422" t="s">
        <v>32</v>
      </c>
      <c r="L2422" t="s">
        <v>1398</v>
      </c>
      <c r="M2422" t="s">
        <v>1398</v>
      </c>
      <c r="N2422" t="s">
        <v>1398</v>
      </c>
      <c r="O2422" t="s">
        <v>1398</v>
      </c>
      <c r="P2422" t="s">
        <v>1398</v>
      </c>
      <c r="Q2422" t="s">
        <v>1422</v>
      </c>
      <c r="R2422" t="s">
        <v>1422</v>
      </c>
      <c r="S2422">
        <v>1</v>
      </c>
    </row>
    <row r="2423" spans="1:19" hidden="1" x14ac:dyDescent="0.25">
      <c r="A2423" t="s">
        <v>1395</v>
      </c>
      <c r="B2423" t="s">
        <v>1422</v>
      </c>
      <c r="C2423">
        <v>4</v>
      </c>
      <c r="D2423" t="s">
        <v>11</v>
      </c>
      <c r="E2423" t="s">
        <v>971</v>
      </c>
      <c r="F2423" t="s">
        <v>25</v>
      </c>
      <c r="G2423">
        <v>5</v>
      </c>
      <c r="H2423">
        <v>10</v>
      </c>
      <c r="I2423" t="b">
        <v>1</v>
      </c>
      <c r="J2423" t="s">
        <v>0</v>
      </c>
      <c r="K2423" t="s">
        <v>32</v>
      </c>
      <c r="L2423" t="s">
        <v>1398</v>
      </c>
      <c r="M2423" t="s">
        <v>1398</v>
      </c>
      <c r="N2423" t="s">
        <v>1398</v>
      </c>
      <c r="O2423" t="s">
        <v>1398</v>
      </c>
      <c r="P2423" t="s">
        <v>1398</v>
      </c>
      <c r="Q2423" t="s">
        <v>1422</v>
      </c>
      <c r="R2423" t="s">
        <v>1422</v>
      </c>
      <c r="S2423">
        <v>1</v>
      </c>
    </row>
    <row r="2424" spans="1:19" hidden="1" x14ac:dyDescent="0.25">
      <c r="A2424" t="s">
        <v>1395</v>
      </c>
      <c r="B2424" t="s">
        <v>1422</v>
      </c>
      <c r="C2424">
        <v>5</v>
      </c>
      <c r="D2424" t="s">
        <v>11</v>
      </c>
      <c r="E2424" t="s">
        <v>941</v>
      </c>
      <c r="F2424" t="s">
        <v>25</v>
      </c>
      <c r="G2424">
        <v>1</v>
      </c>
      <c r="H2424">
        <v>4</v>
      </c>
      <c r="I2424" t="b">
        <v>1</v>
      </c>
      <c r="J2424" t="s">
        <v>0</v>
      </c>
      <c r="K2424" t="s">
        <v>32</v>
      </c>
      <c r="L2424" t="s">
        <v>1398</v>
      </c>
      <c r="M2424" t="s">
        <v>1398</v>
      </c>
      <c r="N2424" t="s">
        <v>1398</v>
      </c>
      <c r="O2424" t="s">
        <v>1398</v>
      </c>
      <c r="P2424" t="s">
        <v>1398</v>
      </c>
      <c r="Q2424" t="s">
        <v>1422</v>
      </c>
      <c r="R2424" t="s">
        <v>1422</v>
      </c>
      <c r="S2424">
        <v>1</v>
      </c>
    </row>
    <row r="2425" spans="1:19" hidden="1" x14ac:dyDescent="0.25">
      <c r="A2425" t="s">
        <v>1395</v>
      </c>
      <c r="B2425" t="s">
        <v>1422</v>
      </c>
      <c r="C2425">
        <v>2</v>
      </c>
      <c r="D2425" t="s">
        <v>342</v>
      </c>
      <c r="E2425" t="s">
        <v>1400</v>
      </c>
      <c r="F2425" t="s">
        <v>25</v>
      </c>
      <c r="G2425">
        <v>2.9</v>
      </c>
      <c r="H2425">
        <v>3.2</v>
      </c>
      <c r="I2425" t="b">
        <v>1</v>
      </c>
      <c r="J2425" t="s">
        <v>1401</v>
      </c>
      <c r="K2425" t="s">
        <v>32</v>
      </c>
      <c r="L2425" t="s">
        <v>1398</v>
      </c>
      <c r="M2425" t="s">
        <v>1398</v>
      </c>
      <c r="N2425" t="s">
        <v>1398</v>
      </c>
      <c r="O2425" t="s">
        <v>1398</v>
      </c>
      <c r="P2425" t="s">
        <v>1398</v>
      </c>
      <c r="Q2425" t="s">
        <v>1422</v>
      </c>
      <c r="R2425" t="s">
        <v>1422</v>
      </c>
      <c r="S2425">
        <v>2</v>
      </c>
    </row>
    <row r="2426" spans="1:19" hidden="1" x14ac:dyDescent="0.25">
      <c r="A2426" t="s">
        <v>1395</v>
      </c>
      <c r="B2426" t="s">
        <v>1422</v>
      </c>
      <c r="C2426">
        <v>3</v>
      </c>
      <c r="D2426" t="s">
        <v>342</v>
      </c>
      <c r="E2426" t="s">
        <v>1402</v>
      </c>
      <c r="F2426" t="s">
        <v>24</v>
      </c>
      <c r="G2426">
        <v>2.5</v>
      </c>
      <c r="H2426">
        <v>2.9</v>
      </c>
      <c r="I2426" t="b">
        <v>1</v>
      </c>
      <c r="J2426" t="s">
        <v>1401</v>
      </c>
      <c r="K2426" t="s">
        <v>32</v>
      </c>
      <c r="L2426" t="s">
        <v>1398</v>
      </c>
      <c r="M2426" t="s">
        <v>1398</v>
      </c>
      <c r="N2426" t="s">
        <v>1398</v>
      </c>
      <c r="O2426" t="s">
        <v>1398</v>
      </c>
      <c r="P2426" t="s">
        <v>1398</v>
      </c>
      <c r="Q2426" t="s">
        <v>1422</v>
      </c>
      <c r="R2426" t="s">
        <v>1422</v>
      </c>
      <c r="S2426">
        <v>2</v>
      </c>
    </row>
    <row r="2427" spans="1:19" hidden="1" x14ac:dyDescent="0.25">
      <c r="A2427" t="s">
        <v>1395</v>
      </c>
      <c r="B2427" t="s">
        <v>1422</v>
      </c>
      <c r="C2427">
        <v>4</v>
      </c>
      <c r="D2427" t="s">
        <v>342</v>
      </c>
      <c r="E2427" t="s">
        <v>1403</v>
      </c>
      <c r="F2427" t="s">
        <v>25</v>
      </c>
      <c r="G2427">
        <v>1.5</v>
      </c>
      <c r="H2427">
        <v>2.2000000000000002</v>
      </c>
      <c r="I2427" t="b">
        <v>1</v>
      </c>
      <c r="J2427" t="s">
        <v>1401</v>
      </c>
      <c r="K2427" t="s">
        <v>32</v>
      </c>
      <c r="L2427" t="s">
        <v>1398</v>
      </c>
      <c r="M2427" t="s">
        <v>1398</v>
      </c>
      <c r="N2427" t="s">
        <v>1398</v>
      </c>
      <c r="O2427" t="s">
        <v>1398</v>
      </c>
      <c r="P2427" t="s">
        <v>1398</v>
      </c>
      <c r="Q2427" t="s">
        <v>1422</v>
      </c>
      <c r="R2427" t="s">
        <v>1422</v>
      </c>
      <c r="S2427">
        <v>2</v>
      </c>
    </row>
    <row r="2428" spans="1:19" hidden="1" x14ac:dyDescent="0.25">
      <c r="A2428" t="s">
        <v>1395</v>
      </c>
      <c r="B2428" t="s">
        <v>1422</v>
      </c>
      <c r="C2428">
        <v>5</v>
      </c>
      <c r="D2428" t="s">
        <v>342</v>
      </c>
      <c r="E2428" t="s">
        <v>1404</v>
      </c>
      <c r="F2428" t="s">
        <v>24</v>
      </c>
      <c r="G2428">
        <v>0.5</v>
      </c>
      <c r="H2428">
        <v>1</v>
      </c>
      <c r="I2428" t="b">
        <v>1</v>
      </c>
      <c r="J2428" t="s">
        <v>1401</v>
      </c>
      <c r="K2428" t="s">
        <v>32</v>
      </c>
      <c r="L2428" t="s">
        <v>1398</v>
      </c>
      <c r="M2428" t="s">
        <v>1398</v>
      </c>
      <c r="N2428" t="s">
        <v>1398</v>
      </c>
      <c r="O2428" t="s">
        <v>1398</v>
      </c>
      <c r="P2428" t="s">
        <v>1398</v>
      </c>
      <c r="Q2428" t="s">
        <v>1422</v>
      </c>
      <c r="R2428" t="s">
        <v>1422</v>
      </c>
      <c r="S2428">
        <v>2</v>
      </c>
    </row>
    <row r="2429" spans="1:19" hidden="1" x14ac:dyDescent="0.25">
      <c r="A2429" t="s">
        <v>1395</v>
      </c>
      <c r="B2429" t="s">
        <v>1422</v>
      </c>
      <c r="C2429">
        <v>2</v>
      </c>
      <c r="D2429" t="s">
        <v>1373</v>
      </c>
      <c r="E2429" t="s">
        <v>1424</v>
      </c>
      <c r="F2429" t="s">
        <v>25</v>
      </c>
      <c r="G2429">
        <v>9</v>
      </c>
      <c r="H2429">
        <v>12</v>
      </c>
      <c r="I2429" t="b">
        <v>1</v>
      </c>
      <c r="J2429" t="s">
        <v>1374</v>
      </c>
      <c r="K2429" t="s">
        <v>32</v>
      </c>
      <c r="L2429" t="s">
        <v>1398</v>
      </c>
      <c r="M2429" t="s">
        <v>1398</v>
      </c>
      <c r="N2429" t="s">
        <v>1398</v>
      </c>
      <c r="O2429" t="s">
        <v>1398</v>
      </c>
      <c r="P2429" t="s">
        <v>1398</v>
      </c>
      <c r="Q2429" t="s">
        <v>1422</v>
      </c>
      <c r="R2429" t="s">
        <v>1422</v>
      </c>
      <c r="S2429">
        <v>3</v>
      </c>
    </row>
    <row r="2430" spans="1:19" hidden="1" x14ac:dyDescent="0.25">
      <c r="A2430" t="s">
        <v>1395</v>
      </c>
      <c r="B2430" t="s">
        <v>1422</v>
      </c>
      <c r="C2430">
        <v>3</v>
      </c>
      <c r="D2430" t="s">
        <v>1373</v>
      </c>
      <c r="E2430" t="s">
        <v>1360</v>
      </c>
      <c r="F2430" t="s">
        <v>25</v>
      </c>
      <c r="G2430">
        <v>6</v>
      </c>
      <c r="H2430">
        <v>9</v>
      </c>
      <c r="I2430" t="b">
        <v>1</v>
      </c>
      <c r="J2430" t="s">
        <v>1374</v>
      </c>
      <c r="K2430" t="s">
        <v>32</v>
      </c>
      <c r="L2430" t="s">
        <v>1398</v>
      </c>
      <c r="M2430" t="s">
        <v>1398</v>
      </c>
      <c r="N2430" t="s">
        <v>1398</v>
      </c>
      <c r="O2430" t="s">
        <v>1398</v>
      </c>
      <c r="P2430" t="s">
        <v>1398</v>
      </c>
      <c r="Q2430" t="s">
        <v>1422</v>
      </c>
      <c r="R2430" t="s">
        <v>1422</v>
      </c>
      <c r="S2430">
        <v>3</v>
      </c>
    </row>
    <row r="2431" spans="1:19" hidden="1" x14ac:dyDescent="0.25">
      <c r="A2431" t="s">
        <v>1395</v>
      </c>
      <c r="B2431" t="s">
        <v>1422</v>
      </c>
      <c r="C2431">
        <v>4</v>
      </c>
      <c r="D2431" t="s">
        <v>1373</v>
      </c>
      <c r="E2431" t="s">
        <v>919</v>
      </c>
      <c r="F2431" t="s">
        <v>25</v>
      </c>
      <c r="G2431">
        <v>2</v>
      </c>
      <c r="H2431">
        <v>5</v>
      </c>
      <c r="I2431" t="b">
        <v>1</v>
      </c>
      <c r="J2431" t="s">
        <v>1374</v>
      </c>
      <c r="K2431" t="s">
        <v>32</v>
      </c>
      <c r="L2431" t="s">
        <v>1398</v>
      </c>
      <c r="M2431" t="s">
        <v>1398</v>
      </c>
      <c r="N2431" t="s">
        <v>1398</v>
      </c>
      <c r="O2431" t="s">
        <v>1398</v>
      </c>
      <c r="P2431" t="s">
        <v>1398</v>
      </c>
      <c r="Q2431" t="s">
        <v>1422</v>
      </c>
      <c r="R2431" t="s">
        <v>1422</v>
      </c>
      <c r="S2431">
        <v>3</v>
      </c>
    </row>
    <row r="2432" spans="1:19" hidden="1" x14ac:dyDescent="0.25">
      <c r="A2432" t="s">
        <v>1395</v>
      </c>
      <c r="B2432" t="s">
        <v>1422</v>
      </c>
      <c r="C2432">
        <v>2</v>
      </c>
      <c r="D2432" t="s">
        <v>1426</v>
      </c>
      <c r="E2432" t="s">
        <v>1114</v>
      </c>
      <c r="F2432" t="s">
        <v>25</v>
      </c>
      <c r="G2432">
        <v>13</v>
      </c>
      <c r="H2432">
        <v>20</v>
      </c>
      <c r="I2432" t="b">
        <v>1</v>
      </c>
      <c r="J2432" t="s">
        <v>1427</v>
      </c>
      <c r="K2432" t="s">
        <v>32</v>
      </c>
      <c r="L2432" t="s">
        <v>1398</v>
      </c>
      <c r="M2432" t="s">
        <v>1398</v>
      </c>
      <c r="N2432" t="s">
        <v>1398</v>
      </c>
      <c r="O2432" t="s">
        <v>1398</v>
      </c>
      <c r="P2432" t="s">
        <v>1398</v>
      </c>
      <c r="Q2432" t="s">
        <v>1422</v>
      </c>
      <c r="R2432" t="s">
        <v>1422</v>
      </c>
      <c r="S2432">
        <v>4</v>
      </c>
    </row>
    <row r="2433" spans="1:19" hidden="1" x14ac:dyDescent="0.25">
      <c r="A2433" t="s">
        <v>1395</v>
      </c>
      <c r="B2433" t="s">
        <v>1422</v>
      </c>
      <c r="C2433">
        <v>3</v>
      </c>
      <c r="D2433" t="s">
        <v>1426</v>
      </c>
      <c r="E2433" t="s">
        <v>1122</v>
      </c>
      <c r="F2433" t="s">
        <v>25</v>
      </c>
      <c r="G2433">
        <v>10</v>
      </c>
      <c r="H2433">
        <v>13</v>
      </c>
      <c r="I2433" t="b">
        <v>1</v>
      </c>
      <c r="J2433" t="s">
        <v>1427</v>
      </c>
      <c r="K2433" t="s">
        <v>32</v>
      </c>
      <c r="L2433" t="s">
        <v>1398</v>
      </c>
      <c r="M2433" t="s">
        <v>1398</v>
      </c>
      <c r="N2433" t="s">
        <v>1398</v>
      </c>
      <c r="O2433" t="s">
        <v>1398</v>
      </c>
      <c r="P2433" t="s">
        <v>1398</v>
      </c>
      <c r="Q2433" t="s">
        <v>1422</v>
      </c>
      <c r="R2433" t="s">
        <v>1422</v>
      </c>
      <c r="S2433">
        <v>4</v>
      </c>
    </row>
    <row r="2434" spans="1:19" hidden="1" x14ac:dyDescent="0.25">
      <c r="A2434" t="s">
        <v>1395</v>
      </c>
      <c r="B2434" t="s">
        <v>1422</v>
      </c>
      <c r="C2434">
        <v>4</v>
      </c>
      <c r="D2434" t="s">
        <v>1426</v>
      </c>
      <c r="E2434" t="s">
        <v>1425</v>
      </c>
      <c r="F2434" t="s">
        <v>24</v>
      </c>
      <c r="G2434">
        <v>8</v>
      </c>
      <c r="H2434">
        <v>10</v>
      </c>
      <c r="I2434" t="b">
        <v>1</v>
      </c>
      <c r="J2434" t="s">
        <v>1427</v>
      </c>
      <c r="K2434" t="s">
        <v>32</v>
      </c>
      <c r="L2434" t="s">
        <v>1398</v>
      </c>
      <c r="M2434" t="s">
        <v>1398</v>
      </c>
      <c r="N2434" t="s">
        <v>1398</v>
      </c>
      <c r="O2434" t="s">
        <v>1398</v>
      </c>
      <c r="P2434" t="s">
        <v>1398</v>
      </c>
      <c r="Q2434" t="s">
        <v>1422</v>
      </c>
      <c r="R2434" t="s">
        <v>1422</v>
      </c>
      <c r="S2434">
        <v>4</v>
      </c>
    </row>
    <row r="2435" spans="1:19" hidden="1" x14ac:dyDescent="0.25">
      <c r="A2435" t="s">
        <v>1395</v>
      </c>
      <c r="B2435" t="s">
        <v>1422</v>
      </c>
      <c r="C2435">
        <v>2</v>
      </c>
      <c r="D2435" t="s">
        <v>407</v>
      </c>
      <c r="E2435" t="s">
        <v>1335</v>
      </c>
      <c r="F2435" t="s">
        <v>26</v>
      </c>
      <c r="G2435">
        <v>1</v>
      </c>
      <c r="H2435">
        <v>3</v>
      </c>
      <c r="I2435" t="b">
        <v>0</v>
      </c>
      <c r="J2435" t="s">
        <v>1365</v>
      </c>
      <c r="K2435" t="s">
        <v>32</v>
      </c>
      <c r="L2435" t="s">
        <v>1398</v>
      </c>
      <c r="M2435" t="s">
        <v>1398</v>
      </c>
      <c r="N2435" t="s">
        <v>1398</v>
      </c>
      <c r="O2435" t="s">
        <v>1398</v>
      </c>
      <c r="P2435" t="s">
        <v>1398</v>
      </c>
      <c r="Q2435" t="s">
        <v>1422</v>
      </c>
      <c r="R2435" t="s">
        <v>1422</v>
      </c>
      <c r="S2435">
        <v>5</v>
      </c>
    </row>
    <row r="2436" spans="1:19" hidden="1" x14ac:dyDescent="0.25">
      <c r="A2436" t="s">
        <v>1395</v>
      </c>
      <c r="B2436" t="s">
        <v>1422</v>
      </c>
      <c r="C2436">
        <v>3</v>
      </c>
      <c r="D2436" t="s">
        <v>407</v>
      </c>
      <c r="E2436" t="s">
        <v>1336</v>
      </c>
      <c r="F2436" t="s">
        <v>27</v>
      </c>
      <c r="G2436">
        <v>3</v>
      </c>
      <c r="H2436">
        <v>8</v>
      </c>
      <c r="I2436" t="b">
        <v>0</v>
      </c>
      <c r="J2436" t="s">
        <v>1365</v>
      </c>
      <c r="K2436" t="s">
        <v>32</v>
      </c>
      <c r="L2436" t="s">
        <v>1398</v>
      </c>
      <c r="M2436" t="s">
        <v>1398</v>
      </c>
      <c r="N2436" t="s">
        <v>1398</v>
      </c>
      <c r="O2436" t="s">
        <v>1398</v>
      </c>
      <c r="P2436" t="s">
        <v>1398</v>
      </c>
      <c r="Q2436" t="s">
        <v>1422</v>
      </c>
      <c r="R2436" t="s">
        <v>1422</v>
      </c>
      <c r="S2436">
        <v>5</v>
      </c>
    </row>
    <row r="2437" spans="1:19" hidden="1" x14ac:dyDescent="0.25">
      <c r="A2437" t="s">
        <v>1395</v>
      </c>
      <c r="B2437" t="s">
        <v>1422</v>
      </c>
      <c r="C2437">
        <v>4</v>
      </c>
      <c r="D2437" t="s">
        <v>407</v>
      </c>
      <c r="E2437" t="s">
        <v>928</v>
      </c>
      <c r="F2437" t="s">
        <v>26</v>
      </c>
      <c r="G2437">
        <v>20</v>
      </c>
      <c r="H2437">
        <v>30</v>
      </c>
      <c r="I2437" t="b">
        <v>0</v>
      </c>
      <c r="J2437" t="s">
        <v>1365</v>
      </c>
      <c r="K2437" t="s">
        <v>32</v>
      </c>
      <c r="L2437" t="s">
        <v>1398</v>
      </c>
      <c r="M2437" t="s">
        <v>1398</v>
      </c>
      <c r="N2437" t="s">
        <v>1398</v>
      </c>
      <c r="O2437" t="s">
        <v>1398</v>
      </c>
      <c r="P2437" t="s">
        <v>1398</v>
      </c>
      <c r="Q2437" t="s">
        <v>1422</v>
      </c>
      <c r="R2437" t="s">
        <v>1422</v>
      </c>
      <c r="S2437">
        <v>5</v>
      </c>
    </row>
    <row r="2438" spans="1:19" hidden="1" x14ac:dyDescent="0.25">
      <c r="A2438" t="s">
        <v>1395</v>
      </c>
      <c r="B2438" t="s">
        <v>1422</v>
      </c>
      <c r="C2438">
        <v>2</v>
      </c>
      <c r="D2438" t="s">
        <v>364</v>
      </c>
      <c r="E2438" t="s">
        <v>919</v>
      </c>
      <c r="F2438" t="s">
        <v>25</v>
      </c>
      <c r="G2438">
        <v>2</v>
      </c>
      <c r="H2438">
        <v>5</v>
      </c>
      <c r="I2438" t="b">
        <v>1</v>
      </c>
      <c r="J2438" t="s">
        <v>1406</v>
      </c>
      <c r="K2438" t="s">
        <v>32</v>
      </c>
      <c r="L2438" t="s">
        <v>1398</v>
      </c>
      <c r="M2438" t="s">
        <v>1398</v>
      </c>
      <c r="N2438" t="s">
        <v>1398</v>
      </c>
      <c r="O2438" t="s">
        <v>1398</v>
      </c>
      <c r="P2438" t="s">
        <v>1398</v>
      </c>
      <c r="Q2438" t="s">
        <v>1422</v>
      </c>
      <c r="R2438" t="s">
        <v>1422</v>
      </c>
      <c r="S2438">
        <v>6</v>
      </c>
    </row>
    <row r="2439" spans="1:19" hidden="1" x14ac:dyDescent="0.25">
      <c r="A2439" t="s">
        <v>1395</v>
      </c>
      <c r="B2439" t="s">
        <v>1422</v>
      </c>
      <c r="C2439">
        <v>3</v>
      </c>
      <c r="D2439" t="s">
        <v>364</v>
      </c>
      <c r="E2439" t="s">
        <v>1275</v>
      </c>
      <c r="F2439" t="s">
        <v>25</v>
      </c>
      <c r="G2439">
        <v>-0.5</v>
      </c>
      <c r="H2439">
        <v>2</v>
      </c>
      <c r="I2439" t="b">
        <v>1</v>
      </c>
      <c r="J2439" t="s">
        <v>1406</v>
      </c>
      <c r="K2439" t="s">
        <v>32</v>
      </c>
      <c r="L2439" t="s">
        <v>1398</v>
      </c>
      <c r="M2439" t="s">
        <v>1408</v>
      </c>
      <c r="N2439" t="s">
        <v>1398</v>
      </c>
      <c r="O2439" t="s">
        <v>1398</v>
      </c>
      <c r="P2439" t="s">
        <v>1398</v>
      </c>
      <c r="Q2439" t="s">
        <v>1422</v>
      </c>
      <c r="R2439" t="s">
        <v>1422</v>
      </c>
      <c r="S2439">
        <v>6</v>
      </c>
    </row>
    <row r="2440" spans="1:19" hidden="1" x14ac:dyDescent="0.25">
      <c r="A2440" t="s">
        <v>1395</v>
      </c>
      <c r="B2440" t="s">
        <v>1422</v>
      </c>
      <c r="C2440">
        <v>2</v>
      </c>
      <c r="D2440" t="s">
        <v>397</v>
      </c>
      <c r="E2440" t="s">
        <v>971</v>
      </c>
      <c r="F2440" t="s">
        <v>25</v>
      </c>
      <c r="G2440">
        <v>5</v>
      </c>
      <c r="H2440">
        <v>10</v>
      </c>
      <c r="I2440" t="b">
        <v>1</v>
      </c>
      <c r="J2440" t="s">
        <v>1409</v>
      </c>
      <c r="K2440" t="s">
        <v>32</v>
      </c>
      <c r="L2440" t="s">
        <v>1398</v>
      </c>
      <c r="M2440" t="s">
        <v>1398</v>
      </c>
      <c r="N2440" t="s">
        <v>1398</v>
      </c>
      <c r="O2440" t="s">
        <v>1398</v>
      </c>
      <c r="P2440" t="s">
        <v>1398</v>
      </c>
      <c r="Q2440" t="s">
        <v>1422</v>
      </c>
      <c r="R2440" t="s">
        <v>1422</v>
      </c>
      <c r="S2440">
        <v>7</v>
      </c>
    </row>
    <row r="2441" spans="1:19" hidden="1" x14ac:dyDescent="0.25">
      <c r="A2441" t="s">
        <v>1395</v>
      </c>
      <c r="B2441" t="s">
        <v>1422</v>
      </c>
      <c r="C2441">
        <v>3</v>
      </c>
      <c r="D2441" t="s">
        <v>397</v>
      </c>
      <c r="E2441" t="s">
        <v>1410</v>
      </c>
      <c r="F2441" t="s">
        <v>25</v>
      </c>
      <c r="G2441">
        <v>-1</v>
      </c>
      <c r="H2441">
        <v>5</v>
      </c>
      <c r="I2441" t="b">
        <v>1</v>
      </c>
      <c r="J2441" t="s">
        <v>1409</v>
      </c>
      <c r="K2441" t="s">
        <v>32</v>
      </c>
      <c r="L2441" t="s">
        <v>1398</v>
      </c>
      <c r="M2441" t="s">
        <v>1408</v>
      </c>
      <c r="N2441" t="s">
        <v>1398</v>
      </c>
      <c r="O2441" t="s">
        <v>1398</v>
      </c>
      <c r="P2441" t="s">
        <v>1398</v>
      </c>
      <c r="Q2441" t="s">
        <v>1422</v>
      </c>
      <c r="R2441" t="s">
        <v>1422</v>
      </c>
      <c r="S2441">
        <v>7</v>
      </c>
    </row>
    <row r="2442" spans="1:19" hidden="1" x14ac:dyDescent="0.25">
      <c r="A2442" t="s">
        <v>1395</v>
      </c>
      <c r="B2442" t="s">
        <v>1422</v>
      </c>
      <c r="C2442">
        <v>2</v>
      </c>
      <c r="D2442" t="s">
        <v>1411</v>
      </c>
      <c r="E2442" t="s">
        <v>1412</v>
      </c>
      <c r="F2442" t="s">
        <v>27</v>
      </c>
      <c r="G2442">
        <v>0</v>
      </c>
      <c r="H2442">
        <v>0.01</v>
      </c>
      <c r="I2442" t="b">
        <v>0</v>
      </c>
      <c r="J2442" t="s">
        <v>1413</v>
      </c>
      <c r="K2442" t="s">
        <v>32</v>
      </c>
      <c r="L2442" t="s">
        <v>1398</v>
      </c>
      <c r="M2442" t="s">
        <v>1398</v>
      </c>
      <c r="N2442" t="s">
        <v>1398</v>
      </c>
      <c r="O2442" t="s">
        <v>1398</v>
      </c>
      <c r="P2442" t="s">
        <v>1398</v>
      </c>
      <c r="Q2442" t="s">
        <v>1422</v>
      </c>
      <c r="R2442" t="s">
        <v>1422</v>
      </c>
      <c r="S2442">
        <v>9</v>
      </c>
    </row>
    <row r="2443" spans="1:19" hidden="1" x14ac:dyDescent="0.25">
      <c r="A2443" t="s">
        <v>1395</v>
      </c>
      <c r="B2443" t="s">
        <v>1422</v>
      </c>
      <c r="C2443">
        <v>3</v>
      </c>
      <c r="D2443" t="s">
        <v>1411</v>
      </c>
      <c r="E2443" t="s">
        <v>1268</v>
      </c>
      <c r="F2443" t="s">
        <v>27</v>
      </c>
      <c r="G2443">
        <v>2</v>
      </c>
      <c r="H2443">
        <v>5</v>
      </c>
      <c r="I2443" t="b">
        <v>0</v>
      </c>
      <c r="J2443" t="s">
        <v>1413</v>
      </c>
      <c r="K2443" t="s">
        <v>32</v>
      </c>
      <c r="L2443" t="s">
        <v>1398</v>
      </c>
      <c r="M2443" t="s">
        <v>1398</v>
      </c>
      <c r="N2443" t="s">
        <v>1398</v>
      </c>
      <c r="O2443" t="s">
        <v>1398</v>
      </c>
      <c r="P2443" t="s">
        <v>1398</v>
      </c>
      <c r="Q2443" t="s">
        <v>1422</v>
      </c>
      <c r="R2443" t="s">
        <v>1422</v>
      </c>
      <c r="S2443">
        <v>9</v>
      </c>
    </row>
    <row r="2444" spans="1:19" hidden="1" x14ac:dyDescent="0.25">
      <c r="A2444" t="s">
        <v>1395</v>
      </c>
      <c r="B2444" t="s">
        <v>1422</v>
      </c>
      <c r="C2444">
        <v>2</v>
      </c>
      <c r="D2444" t="s">
        <v>909</v>
      </c>
      <c r="E2444" t="s">
        <v>1131</v>
      </c>
      <c r="F2444" t="s">
        <v>25</v>
      </c>
      <c r="G2444">
        <v>1</v>
      </c>
      <c r="H2444">
        <v>2</v>
      </c>
      <c r="I2444" t="b">
        <v>1</v>
      </c>
      <c r="J2444" t="s">
        <v>1375</v>
      </c>
      <c r="K2444" t="s">
        <v>32</v>
      </c>
      <c r="L2444" t="s">
        <v>1398</v>
      </c>
      <c r="M2444" t="s">
        <v>1398</v>
      </c>
      <c r="N2444" t="s">
        <v>1398</v>
      </c>
      <c r="O2444" t="s">
        <v>1398</v>
      </c>
      <c r="P2444" t="s">
        <v>1398</v>
      </c>
      <c r="Q2444" t="s">
        <v>1422</v>
      </c>
      <c r="R2444" t="s">
        <v>1422</v>
      </c>
      <c r="S2444">
        <v>10</v>
      </c>
    </row>
    <row r="2445" spans="1:19" hidden="1" x14ac:dyDescent="0.25">
      <c r="A2445" t="s">
        <v>1395</v>
      </c>
      <c r="B2445" t="s">
        <v>1422</v>
      </c>
      <c r="C2445">
        <v>3</v>
      </c>
      <c r="D2445" t="s">
        <v>909</v>
      </c>
      <c r="E2445" t="s">
        <v>725</v>
      </c>
      <c r="F2445" t="s">
        <v>25</v>
      </c>
      <c r="G2445">
        <v>0</v>
      </c>
      <c r="H2445">
        <v>1</v>
      </c>
      <c r="I2445" t="b">
        <v>1</v>
      </c>
      <c r="J2445" t="s">
        <v>1375</v>
      </c>
      <c r="K2445" t="s">
        <v>32</v>
      </c>
      <c r="L2445" t="s">
        <v>1398</v>
      </c>
      <c r="M2445" t="s">
        <v>1398</v>
      </c>
      <c r="N2445" t="s">
        <v>1398</v>
      </c>
      <c r="O2445" t="s">
        <v>1398</v>
      </c>
      <c r="P2445" t="s">
        <v>1398</v>
      </c>
      <c r="Q2445" t="s">
        <v>1422</v>
      </c>
      <c r="R2445" t="s">
        <v>1422</v>
      </c>
      <c r="S2445">
        <v>10</v>
      </c>
    </row>
    <row r="2446" spans="1:19" hidden="1" x14ac:dyDescent="0.25">
      <c r="A2446" t="s">
        <v>1395</v>
      </c>
      <c r="B2446" t="s">
        <v>1422</v>
      </c>
      <c r="C2446">
        <v>2</v>
      </c>
      <c r="D2446" t="s">
        <v>912</v>
      </c>
      <c r="E2446" t="s">
        <v>941</v>
      </c>
      <c r="F2446" t="s">
        <v>25</v>
      </c>
      <c r="G2446">
        <v>1</v>
      </c>
      <c r="H2446">
        <v>4</v>
      </c>
      <c r="I2446" t="b">
        <v>1</v>
      </c>
      <c r="J2446" t="s">
        <v>1361</v>
      </c>
      <c r="K2446" t="s">
        <v>32</v>
      </c>
      <c r="L2446" t="s">
        <v>1398</v>
      </c>
      <c r="M2446" t="s">
        <v>1398</v>
      </c>
      <c r="N2446" t="s">
        <v>1398</v>
      </c>
      <c r="O2446" t="s">
        <v>1398</v>
      </c>
      <c r="P2446" t="s">
        <v>1398</v>
      </c>
      <c r="Q2446" t="s">
        <v>1422</v>
      </c>
      <c r="R2446" t="s">
        <v>1422</v>
      </c>
      <c r="S2446">
        <v>11</v>
      </c>
    </row>
    <row r="2447" spans="1:19" hidden="1" x14ac:dyDescent="0.25">
      <c r="A2447" t="s">
        <v>1395</v>
      </c>
      <c r="B2447" t="s">
        <v>1422</v>
      </c>
      <c r="C2447">
        <v>3</v>
      </c>
      <c r="D2447" t="s">
        <v>912</v>
      </c>
      <c r="E2447" t="s">
        <v>725</v>
      </c>
      <c r="F2447" t="s">
        <v>25</v>
      </c>
      <c r="G2447">
        <v>0</v>
      </c>
      <c r="H2447">
        <v>1</v>
      </c>
      <c r="I2447" t="b">
        <v>1</v>
      </c>
      <c r="J2447" t="s">
        <v>1361</v>
      </c>
      <c r="K2447" t="s">
        <v>32</v>
      </c>
      <c r="L2447" t="s">
        <v>1398</v>
      </c>
      <c r="M2447" t="s">
        <v>1398</v>
      </c>
      <c r="N2447" t="s">
        <v>1398</v>
      </c>
      <c r="O2447" t="s">
        <v>1398</v>
      </c>
      <c r="P2447" t="s">
        <v>1398</v>
      </c>
      <c r="Q2447" t="s">
        <v>1422</v>
      </c>
      <c r="R2447" t="s">
        <v>1422</v>
      </c>
      <c r="S2447">
        <v>11</v>
      </c>
    </row>
    <row r="2448" spans="1:19" hidden="1" x14ac:dyDescent="0.25">
      <c r="A2448" t="s">
        <v>1395</v>
      </c>
      <c r="B2448" t="s">
        <v>1422</v>
      </c>
      <c r="C2448">
        <v>2</v>
      </c>
      <c r="D2448" t="s">
        <v>918</v>
      </c>
      <c r="E2448" t="s">
        <v>941</v>
      </c>
      <c r="F2448" t="s">
        <v>25</v>
      </c>
      <c r="G2448">
        <v>1</v>
      </c>
      <c r="H2448">
        <v>4</v>
      </c>
      <c r="I2448" t="b">
        <v>1</v>
      </c>
      <c r="J2448" t="s">
        <v>1362</v>
      </c>
      <c r="K2448" t="s">
        <v>32</v>
      </c>
      <c r="L2448" t="s">
        <v>1398</v>
      </c>
      <c r="M2448" t="s">
        <v>1398</v>
      </c>
      <c r="N2448" t="s">
        <v>1398</v>
      </c>
      <c r="O2448" t="s">
        <v>1398</v>
      </c>
      <c r="P2448" t="s">
        <v>1398</v>
      </c>
      <c r="Q2448" t="s">
        <v>1422</v>
      </c>
      <c r="R2448" t="s">
        <v>1422</v>
      </c>
      <c r="S2448">
        <v>12</v>
      </c>
    </row>
    <row r="2449" spans="1:19" hidden="1" x14ac:dyDescent="0.25">
      <c r="A2449" t="s">
        <v>1395</v>
      </c>
      <c r="B2449" t="s">
        <v>1422</v>
      </c>
      <c r="C2449">
        <v>3</v>
      </c>
      <c r="D2449" t="s">
        <v>918</v>
      </c>
      <c r="E2449" t="s">
        <v>725</v>
      </c>
      <c r="F2449" t="s">
        <v>25</v>
      </c>
      <c r="G2449">
        <v>0</v>
      </c>
      <c r="H2449">
        <v>1</v>
      </c>
      <c r="I2449" t="b">
        <v>1</v>
      </c>
      <c r="J2449" t="s">
        <v>1362</v>
      </c>
      <c r="K2449" t="s">
        <v>32</v>
      </c>
      <c r="L2449" t="s">
        <v>1398</v>
      </c>
      <c r="M2449" t="s">
        <v>1398</v>
      </c>
      <c r="N2449" t="s">
        <v>1398</v>
      </c>
      <c r="O2449" t="s">
        <v>1398</v>
      </c>
      <c r="P2449" t="s">
        <v>1398</v>
      </c>
      <c r="Q2449" t="s">
        <v>1422</v>
      </c>
      <c r="R2449" t="s">
        <v>1422</v>
      </c>
      <c r="S2449">
        <v>12</v>
      </c>
    </row>
    <row r="2450" spans="1:19" hidden="1" x14ac:dyDescent="0.25">
      <c r="A2450" t="s">
        <v>1395</v>
      </c>
      <c r="B2450" t="s">
        <v>1422</v>
      </c>
      <c r="C2450">
        <v>2</v>
      </c>
      <c r="D2450" t="s">
        <v>1017</v>
      </c>
      <c r="E2450" t="s">
        <v>989</v>
      </c>
      <c r="F2450" t="s">
        <v>24</v>
      </c>
      <c r="G2450">
        <v>0</v>
      </c>
      <c r="H2450">
        <v>2</v>
      </c>
      <c r="I2450" t="b">
        <v>1</v>
      </c>
      <c r="J2450" t="s">
        <v>1414</v>
      </c>
      <c r="K2450" t="s">
        <v>32</v>
      </c>
      <c r="L2450" t="s">
        <v>1398</v>
      </c>
      <c r="M2450" t="s">
        <v>1398</v>
      </c>
      <c r="N2450" t="s">
        <v>1398</v>
      </c>
      <c r="O2450" t="s">
        <v>1398</v>
      </c>
      <c r="P2450" t="s">
        <v>1398</v>
      </c>
      <c r="Q2450" t="s">
        <v>1422</v>
      </c>
      <c r="R2450" t="s">
        <v>1422</v>
      </c>
      <c r="S2450">
        <v>13</v>
      </c>
    </row>
    <row r="2451" spans="1:19" hidden="1" x14ac:dyDescent="0.25">
      <c r="A2451" t="s">
        <v>1395</v>
      </c>
      <c r="B2451" t="s">
        <v>1422</v>
      </c>
      <c r="C2451">
        <v>3</v>
      </c>
      <c r="D2451" t="s">
        <v>1017</v>
      </c>
      <c r="E2451" t="s">
        <v>1415</v>
      </c>
      <c r="F2451" t="s">
        <v>25</v>
      </c>
      <c r="G2451">
        <v>-1</v>
      </c>
      <c r="H2451">
        <v>0.5</v>
      </c>
      <c r="I2451" t="b">
        <v>1</v>
      </c>
      <c r="J2451" t="s">
        <v>1414</v>
      </c>
      <c r="K2451" t="s">
        <v>32</v>
      </c>
      <c r="L2451" t="s">
        <v>1398</v>
      </c>
      <c r="M2451" t="s">
        <v>1416</v>
      </c>
      <c r="N2451" t="s">
        <v>1398</v>
      </c>
      <c r="O2451" t="s">
        <v>1398</v>
      </c>
      <c r="P2451" t="s">
        <v>1398</v>
      </c>
      <c r="Q2451" t="s">
        <v>1422</v>
      </c>
      <c r="R2451" t="s">
        <v>1422</v>
      </c>
      <c r="S2451">
        <v>13</v>
      </c>
    </row>
    <row r="2452" spans="1:19" hidden="1" x14ac:dyDescent="0.25">
      <c r="A2452" t="s">
        <v>1395</v>
      </c>
      <c r="B2452" t="s">
        <v>1422</v>
      </c>
      <c r="C2452">
        <v>4</v>
      </c>
      <c r="D2452" t="s">
        <v>1116</v>
      </c>
      <c r="E2452" t="s">
        <v>1379</v>
      </c>
      <c r="F2452" t="s">
        <v>25</v>
      </c>
      <c r="G2452">
        <v>0.5</v>
      </c>
      <c r="H2452">
        <v>2</v>
      </c>
      <c r="I2452" t="b">
        <v>1</v>
      </c>
      <c r="J2452" t="s">
        <v>1418</v>
      </c>
      <c r="K2452" t="s">
        <v>32</v>
      </c>
      <c r="L2452" t="s">
        <v>1398</v>
      </c>
      <c r="M2452" t="s">
        <v>1398</v>
      </c>
      <c r="N2452" t="s">
        <v>1398</v>
      </c>
      <c r="O2452" t="s">
        <v>1398</v>
      </c>
      <c r="P2452" t="s">
        <v>1398</v>
      </c>
      <c r="Q2452" t="s">
        <v>1422</v>
      </c>
      <c r="R2452" t="s">
        <v>1422</v>
      </c>
      <c r="S2452">
        <v>14</v>
      </c>
    </row>
    <row r="2453" spans="1:19" hidden="1" x14ac:dyDescent="0.25">
      <c r="A2453" t="s">
        <v>1395</v>
      </c>
      <c r="B2453" t="s">
        <v>1422</v>
      </c>
      <c r="C2453">
        <v>5</v>
      </c>
      <c r="D2453" t="s">
        <v>1419</v>
      </c>
      <c r="E2453" t="s">
        <v>1407</v>
      </c>
      <c r="F2453" t="s">
        <v>25</v>
      </c>
      <c r="G2453">
        <v>-0.5</v>
      </c>
      <c r="H2453">
        <v>1</v>
      </c>
      <c r="I2453" t="b">
        <v>1</v>
      </c>
      <c r="J2453" t="s">
        <v>1420</v>
      </c>
      <c r="K2453" t="s">
        <v>32</v>
      </c>
      <c r="L2453" t="s">
        <v>1398</v>
      </c>
      <c r="M2453" t="s">
        <v>1421</v>
      </c>
      <c r="N2453" t="s">
        <v>1398</v>
      </c>
      <c r="O2453" t="s">
        <v>1398</v>
      </c>
      <c r="P2453" t="s">
        <v>1398</v>
      </c>
      <c r="Q2453" t="s">
        <v>1422</v>
      </c>
      <c r="R2453" t="s">
        <v>1422</v>
      </c>
      <c r="S2453">
        <v>15</v>
      </c>
    </row>
  </sheetData>
  <autoFilter ref="A1:S2453" xr:uid="{E3709D81-A89F-4E77-8861-F908BC2287F9}">
    <filterColumn colId="0">
      <filters>
        <filter val="BCG_ORWA_v1_Bugs500ct"/>
      </filters>
    </filterColumn>
    <filterColumn colId="3">
      <filters>
        <filter val="pi_dom01_BCG_att456"/>
        <filter val="pi_dom01_BCG_att456t"/>
        <filter val="pi_dom02_BCG_att456"/>
        <filter val="pi_NonIns_BCG_att456"/>
        <filter val="pi_NonInsJugaRiss_BCG_att456"/>
        <filter val="pi_NonInsTrombJuga_BCG_att456"/>
        <filter val="pt_NonIns_BCG_att456"/>
        <filter val="pt_NonIns_BCG_att456t"/>
      </filters>
    </filterColumn>
  </autoFilter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9" priority="47" operator="equal">
      <formula>TRUE</formula>
    </cfRule>
  </conditionalFormatting>
  <conditionalFormatting sqref="I896:I1246">
    <cfRule type="cellIs" dxfId="8" priority="21" operator="equal">
      <formula>FALSE</formula>
    </cfRule>
    <cfRule type="cellIs" dxfId="7" priority="22" operator="equal">
      <formula>TRUE</formula>
    </cfRule>
  </conditionalFormatting>
  <conditionalFormatting sqref="I1371:I1460">
    <cfRule type="cellIs" dxfId="6" priority="17" operator="equal">
      <formula>TRUE</formula>
    </cfRule>
  </conditionalFormatting>
  <conditionalFormatting sqref="K2:K329 K896:K1246">
    <cfRule type="cellIs" dxfId="5" priority="41" operator="equal">
      <formula>"Rule2"</formula>
    </cfRule>
    <cfRule type="cellIs" dxfId="4" priority="42" operator="equal">
      <formula>"Rule1"</formula>
    </cfRule>
    <cfRule type="cellIs" dxfId="3" priority="43" operator="equal">
      <formula>"Rule0"</formula>
    </cfRule>
  </conditionalFormatting>
  <conditionalFormatting sqref="K1371:K1460">
    <cfRule type="cellIs" dxfId="2" priority="14" operator="equal">
      <formula>"Rule2"</formula>
    </cfRule>
    <cfRule type="cellIs" dxfId="1" priority="15" operator="equal">
      <formula>"Rule1"</formula>
    </cfRule>
    <cfRule type="cellIs" dxfId="0" priority="16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1091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1087</v>
      </c>
    </row>
    <row r="11" spans="1:4" x14ac:dyDescent="0.25">
      <c r="A11" t="s">
        <v>1083</v>
      </c>
      <c r="B11" t="s">
        <v>1088</v>
      </c>
    </row>
    <row r="12" spans="1:4" x14ac:dyDescent="0.25">
      <c r="A12" t="s">
        <v>716</v>
      </c>
      <c r="B12" t="s">
        <v>1089</v>
      </c>
    </row>
    <row r="13" spans="1:4" x14ac:dyDescent="0.25">
      <c r="A13" t="s">
        <v>740</v>
      </c>
      <c r="B13" t="s">
        <v>1090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1094</v>
      </c>
      <c r="B16" t="s">
        <v>1095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Leppo, Erik</cp:lastModifiedBy>
  <cp:lastPrinted>2018-02-21T19:14:55Z</cp:lastPrinted>
  <dcterms:created xsi:type="dcterms:W3CDTF">2017-11-15T17:50:57Z</dcterms:created>
  <dcterms:modified xsi:type="dcterms:W3CDTF">2026-07-07T16:59:57Z</dcterms:modified>
</cp:coreProperties>
</file>