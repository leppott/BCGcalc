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4D9D1E71-155F-4EFB-BC2B-8C68CABE6C9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Rules!$A$1:$S$2449</definedName>
    <definedName name="FileName" localSheetId="2">#REF!</definedName>
    <definedName name="FileName">NOTES!$B$10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8" l="1"/>
  <c r="R1303" i="10"/>
  <c r="Q1303" i="10"/>
  <c r="R1302" i="10"/>
  <c r="Q1302" i="10"/>
  <c r="R1301" i="10"/>
  <c r="Q1301" i="10"/>
  <c r="R1300" i="10"/>
  <c r="Q1300" i="10"/>
  <c r="R1299" i="10"/>
  <c r="Q1299" i="10"/>
  <c r="R1298" i="10"/>
  <c r="Q1298" i="10"/>
  <c r="R1297" i="10"/>
  <c r="Q1297" i="10"/>
  <c r="R1296" i="10"/>
  <c r="Q1296" i="10"/>
  <c r="R1295" i="10"/>
  <c r="Q1295" i="10"/>
  <c r="R1294" i="10"/>
  <c r="Q1294" i="10"/>
  <c r="R1293" i="10"/>
  <c r="Q1293" i="10"/>
  <c r="R1292" i="10"/>
  <c r="Q1292" i="10"/>
  <c r="R1291" i="10"/>
  <c r="Q1291" i="10"/>
  <c r="R1290" i="10"/>
  <c r="Q1290" i="10"/>
  <c r="R1289" i="10"/>
  <c r="Q1289" i="10"/>
  <c r="R1288" i="10"/>
  <c r="Q1288" i="10"/>
  <c r="R1287" i="10"/>
  <c r="Q1287" i="10"/>
  <c r="R1286" i="10"/>
  <c r="Q1286" i="10"/>
  <c r="R1285" i="10"/>
  <c r="Q1285" i="10"/>
  <c r="R1284" i="10"/>
  <c r="Q1284" i="10"/>
  <c r="R1283" i="10"/>
  <c r="Q1283" i="10"/>
  <c r="R1282" i="10"/>
  <c r="Q1282" i="10"/>
  <c r="R1281" i="10"/>
  <c r="Q1281" i="10"/>
  <c r="R1280" i="10"/>
  <c r="Q1280" i="10"/>
  <c r="R1279" i="10"/>
  <c r="Q1279" i="10"/>
  <c r="R1278" i="10"/>
  <c r="Q1278" i="10"/>
  <c r="R1277" i="10"/>
  <c r="Q1277" i="10"/>
  <c r="R1276" i="10"/>
  <c r="Q1276" i="10"/>
  <c r="R1275" i="10"/>
  <c r="Q1275" i="10"/>
  <c r="R1274" i="10"/>
  <c r="Q1274" i="10"/>
  <c r="R1273" i="10"/>
  <c r="Q1273" i="10"/>
  <c r="R1272" i="10"/>
  <c r="Q1272" i="10"/>
  <c r="R1271" i="10"/>
  <c r="Q1271" i="10"/>
  <c r="R1270" i="10"/>
  <c r="Q1270" i="10"/>
  <c r="R1269" i="10"/>
  <c r="Q1269" i="10"/>
  <c r="R1268" i="10"/>
  <c r="Q1268" i="10"/>
  <c r="R1267" i="10"/>
  <c r="Q1267" i="10"/>
  <c r="R1266" i="10"/>
  <c r="Q1266" i="10"/>
  <c r="R1265" i="10"/>
  <c r="Q1265" i="10"/>
  <c r="R1264" i="10"/>
  <c r="Q1264" i="10"/>
  <c r="R1263" i="10"/>
  <c r="Q1263" i="10"/>
  <c r="R1262" i="10"/>
  <c r="Q1262" i="10"/>
  <c r="R1261" i="10"/>
  <c r="Q1261" i="10"/>
  <c r="R1260" i="10"/>
  <c r="Q1260" i="10"/>
  <c r="R1259" i="10"/>
  <c r="Q1259" i="10"/>
  <c r="R1258" i="10"/>
  <c r="Q1258" i="10"/>
  <c r="R1257" i="10"/>
  <c r="Q1257" i="10"/>
  <c r="R1256" i="10"/>
  <c r="Q1256" i="10"/>
  <c r="R1255" i="10"/>
  <c r="Q1255" i="10"/>
  <c r="R1254" i="10"/>
  <c r="Q1254" i="10"/>
  <c r="R1253" i="10"/>
  <c r="Q1253" i="10"/>
  <c r="R1252" i="10"/>
  <c r="Q1252" i="10"/>
  <c r="R1251" i="10"/>
  <c r="Q1251" i="10"/>
  <c r="R1250" i="10"/>
  <c r="Q1250" i="10"/>
  <c r="R1249" i="10"/>
  <c r="Q1249" i="10"/>
  <c r="R1248" i="10"/>
  <c r="Q1248" i="10"/>
  <c r="R1247" i="10"/>
  <c r="Q1247" i="10"/>
  <c r="R1246" i="10"/>
  <c r="Q1246" i="10"/>
  <c r="R1245" i="10"/>
  <c r="Q1245" i="10"/>
  <c r="R1244" i="10"/>
  <c r="Q1244" i="10"/>
  <c r="R1243" i="10"/>
  <c r="Q1243" i="10"/>
  <c r="R1242" i="10"/>
  <c r="Q1242" i="10"/>
  <c r="R1241" i="10"/>
  <c r="Q1241" i="10"/>
  <c r="R1240" i="10"/>
  <c r="Q1240" i="10"/>
  <c r="R1239" i="10"/>
  <c r="Q1239" i="10"/>
  <c r="R1238" i="10"/>
  <c r="Q1238" i="10"/>
  <c r="R1237" i="10"/>
  <c r="Q1237" i="10"/>
  <c r="R1236" i="10"/>
  <c r="Q1236" i="10"/>
  <c r="R1235" i="10"/>
  <c r="Q1235" i="10"/>
  <c r="R1234" i="10"/>
  <c r="Q1234" i="10"/>
  <c r="R1233" i="10"/>
  <c r="Q1233" i="10"/>
  <c r="R1232" i="10"/>
  <c r="Q1232" i="10"/>
  <c r="R1231" i="10"/>
  <c r="Q1231" i="10"/>
  <c r="R1230" i="10"/>
  <c r="Q1230" i="10"/>
  <c r="R1229" i="10"/>
  <c r="Q1229" i="10"/>
  <c r="R1228" i="10"/>
  <c r="Q1228" i="10"/>
  <c r="R1227" i="10"/>
  <c r="Q1227" i="10"/>
  <c r="R1226" i="10"/>
  <c r="Q1226" i="10"/>
  <c r="R1225" i="10"/>
  <c r="Q1225" i="10"/>
  <c r="R1224" i="10"/>
  <c r="Q1224" i="10"/>
  <c r="R1223" i="10"/>
  <c r="Q1223" i="10"/>
  <c r="R1222" i="10"/>
  <c r="Q1222" i="10"/>
  <c r="R1221" i="10"/>
  <c r="Q1221" i="10"/>
  <c r="R1220" i="10"/>
  <c r="Q1220" i="10"/>
  <c r="R1219" i="10"/>
  <c r="Q1219" i="10"/>
  <c r="R1218" i="10"/>
  <c r="Q1218" i="10"/>
  <c r="R1217" i="10"/>
  <c r="Q1217" i="10"/>
  <c r="R1216" i="10"/>
  <c r="Q1216" i="10"/>
  <c r="R1215" i="10"/>
  <c r="Q1215" i="10"/>
  <c r="R1214" i="10"/>
  <c r="Q1214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1" i="8" l="1"/>
  <c r="B10" i="8"/>
  <c r="B9" i="8"/>
  <c r="C19" i="8" l="1"/>
  <c r="C21" i="8"/>
  <c r="C20" i="8"/>
  <c r="C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9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<sst xmlns="http://schemas.openxmlformats.org/spreadsheetml/2006/main" count="23215" uniqueCount="1433">
  <si>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</si>
  <si>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</si>
  <si>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</si>
  <si>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</si>
  <si>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</si>
  <si>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</si>
  <si>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</si>
  <si>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</si>
  <si>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</si>
  <si>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</si>
  <si>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</si>
  <si>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</si>
  <si>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</si>
  <si>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</si>
  <si>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</si>
  <si>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</si>
  <si>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</si>
  <si>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</si>
  <si>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</si>
  <si>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</si>
  <si>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</si>
  <si>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</si>
  <si>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</si>
  <si>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</si>
  <si>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</si>
  <si>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</si>
  <si>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</si>
  <si>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</si>
  <si>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</si>
  <si>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</si>
  <si>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</si>
  <si>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</si>
  <si>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</si>
  <si>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</si>
  <si>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</si>
  <si>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</si>
  <si>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</si>
  <si>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</si>
  <si>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</si>
  <si>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</si>
  <si>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</si>
  <si>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</si>
  <si>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</si>
  <si>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</si>
  <si>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</si>
  <si>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</si>
  <si>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</si>
  <si>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</si>
  <si>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</si>
  <si>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</si>
  <si>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</si>
  <si>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</si>
  <si>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</si>
  <si>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</si>
  <si>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</si>
  <si>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</si>
  <si>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</si>
  <si>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</si>
  <si>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</si>
  <si>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</si>
  <si>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</si>
  <si>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</si>
  <si>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</si>
  <si>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</si>
  <si>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</si>
  <si>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</si>
  <si>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</si>
  <si>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</si>
  <si>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</si>
  <si>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</si>
  <si>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</si>
  <si>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</si>
  <si>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</si>
  <si>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</si>
  <si>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</si>
  <si>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</si>
  <si>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</si>
  <si>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</si>
  <si>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</si>
  <si>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</si>
  <si>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</si>
  <si>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</si>
  <si>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</si>
  <si>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</si>
  <si>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</si>
  <si>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</si>
  <si>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</si>
  <si>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</si>
  <si>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</si>
  <si>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</si>
  <si>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</si>
  <si>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</si>
  <si>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</si>
  <si>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</si>
  <si>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</si>
  <si>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</si>
  <si>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</si>
  <si>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</si>
  <si>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</si>
  <si>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</si>
  <si>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</si>
  <si>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</si>
  <si>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</si>
  <si>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</si>
  <si>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</si>
  <si>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</si>
  <si>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</si>
  <si>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</si>
  <si>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</si>
  <si>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</si>
  <si>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</si>
  <si>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</si>
  <si>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</si>
  <si>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</si>
  <si>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</si>
  <si>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</si>
  <si>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</si>
  <si>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</si>
  <si>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</si>
  <si>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</si>
  <si>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</si>
  <si>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</si>
  <si>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</si>
  <si>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</si>
  <si>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</si>
  <si>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</si>
  <si>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</si>
  <si>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</si>
  <si>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</si>
  <si>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</si>
  <si>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</si>
  <si>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</si>
  <si>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</si>
  <si>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</si>
  <si>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</si>
  <si>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</si>
  <si>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</si>
  <si>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</si>
  <si>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</si>
  <si>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</si>
  <si>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</si>
  <si>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</si>
  <si>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</si>
  <si>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</si>
  <si>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</si>
  <si>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</si>
  <si>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</si>
  <si>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</si>
  <si>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</si>
  <si>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</si>
  <si>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</si>
  <si>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</si>
  <si>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</si>
  <si>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</si>
  <si>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</si>
  <si>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</si>
  <si>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</si>
  <si>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</si>
  <si>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</si>
  <si>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</si>
  <si>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</si>
  <si>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</si>
  <si>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</si>
  <si>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</si>
  <si>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</si>
  <si>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</si>
  <si>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</si>
  <si>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</si>
  <si>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</si>
  <si>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</si>
  <si>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</si>
  <si>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</si>
  <si>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</si>
  <si>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</si>
  <si>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</si>
  <si>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</si>
  <si>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</si>
  <si>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</si>
  <si>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</si>
  <si>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</si>
  <si>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</si>
  <si>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</si>
  <si>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</si>
  <si>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</si>
  <si>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</si>
  <si>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</si>
  <si>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</si>
  <si>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</si>
  <si>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</si>
  <si>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</si>
  <si>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</si>
  <si>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</si>
  <si>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</si>
  <si>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</si>
  <si>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</si>
  <si>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</si>
  <si>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</si>
  <si>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</si>
  <si>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</si>
  <si>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</si>
  <si>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</si>
  <si>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</si>
  <si>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</si>
  <si>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</si>
  <si>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</si>
  <si>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</si>
  <si>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</si>
  <si>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</si>
  <si>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</si>
  <si>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</si>
  <si>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</si>
  <si>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</si>
  <si>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</si>
  <si>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</si>
  <si>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</si>
  <si>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</si>
  <si>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</si>
  <si>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</si>
  <si>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</si>
  <si>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</si>
  <si>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</si>
  <si>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</si>
  <si>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</si>
  <si>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</si>
  <si>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</si>
  <si>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</si>
  <si>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</si>
  <si>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</si>
  <si>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</si>
  <si>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</si>
  <si>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</si>
  <si>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</si>
  <si>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</si>
  <si>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</si>
  <si>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</si>
  <si>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</si>
  <si>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</si>
  <si>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</si>
  <si>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</si>
  <si>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</si>
  <si>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</si>
  <si>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</si>
  <si>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</si>
  <si>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</si>
  <si>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</si>
  <si>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</si>
  <si>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</si>
  <si>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</si>
  <si>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</si>
  <si>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</si>
  <si>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</si>
  <si>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</si>
  <si>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</si>
  <si>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</si>
  <si>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</si>
  <si>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</si>
  <si>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</si>
  <si>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</si>
  <si>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</si>
  <si>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</si>
  <si>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</si>
  <si>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</si>
  <si>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</si>
  <si>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</si>
  <si>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</si>
  <si>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</si>
  <si>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</si>
  <si>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</si>
  <si>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</si>
  <si>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</si>
  <si>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</si>
  <si>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</si>
  <si>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</si>
  <si>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</si>
  <si>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</si>
  <si>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</si>
  <si>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</si>
  <si>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</si>
  <si>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</si>
  <si>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</si>
  <si>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</si>
  <si>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</si>
  <si>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</si>
  <si>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</si>
  <si>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</si>
  <si>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</si>
  <si>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</si>
  <si>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</si>
  <si>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</si>
  <si>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</si>
  <si>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</si>
  <si>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</si>
  <si>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</si>
  <si>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</si>
  <si>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</si>
  <si>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</si>
  <si>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</si>
  <si>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</si>
  <si>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</si>
  <si>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</si>
  <si>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</si>
  <si>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</si>
  <si>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</si>
  <si>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</si>
  <si>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</si>
  <si>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</si>
  <si>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</si>
  <si>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</si>
  <si>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</si>
  <si>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</si>
  <si>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</si>
  <si>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</si>
  <si>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</si>
  <si>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</si>
  <si>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</si>
  <si>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</si>
  <si>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</si>
  <si>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</si>
  <si>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</si>
  <si>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</si>
  <si>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</si>
  <si>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</si>
  <si>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</si>
  <si>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</si>
  <si>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</si>
  <si>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</si>
  <si>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</si>
  <si>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</si>
  <si>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</si>
  <si>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</si>
  <si>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</si>
  <si>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</si>
  <si>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</si>
  <si>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</si>
  <si>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</si>
  <si>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</si>
  <si>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</si>
  <si>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</si>
  <si>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</si>
  <si>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</si>
  <si>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</si>
  <si>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</si>
  <si>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</si>
  <si>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</si>
  <si>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</si>
  <si>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</si>
  <si>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</si>
  <si>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</si>
  <si>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</si>
  <si>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</si>
  <si>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</si>
  <si>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</si>
  <si>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</si>
  <si>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</si>
  <si>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</si>
  <si>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</si>
  <si>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</si>
  <si>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</si>
  <si>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</si>
  <si>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</si>
  <si>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</si>
  <si>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</si>
  <si>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</si>
  <si>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</si>
  <si>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</si>
  <si>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</si>
  <si>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</si>
  <si>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</si>
  <si>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</si>
  <si>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</si>
  <si>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</si>
  <si>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</si>
  <si>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</si>
  <si>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</si>
  <si>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</si>
  <si>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</si>
  <si>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</si>
  <si>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</si>
  <si>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</si>
  <si>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</si>
  <si>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</si>
  <si>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</si>
  <si>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</si>
  <si>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</si>
  <si>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</si>
  <si>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</si>
  <si>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</si>
  <si>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</si>
  <si>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</si>
  <si>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</si>
  <si>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</si>
  <si>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</si>
  <si>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</si>
  <si>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</si>
  <si>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</si>
  <si>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</si>
  <si>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</si>
  <si>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</si>
  <si>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</si>
  <si>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</si>
  <si>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</si>
  <si>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</si>
  <si>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</si>
  <si>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</si>
  <si>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</si>
  <si>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</si>
  <si>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</si>
  <si>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</si>
  <si>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</si>
  <si>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</si>
  <si>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</si>
  <si>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</si>
  <si>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</si>
  <si>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</si>
  <si>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</si>
  <si>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</si>
  <si>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</si>
  <si>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</si>
  <si>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</si>
  <si>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</si>
  <si>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</si>
  <si>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</si>
  <si>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</si>
  <si>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</si>
  <si>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</si>
  <si>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</si>
  <si>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</si>
  <si>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</si>
  <si>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</si>
  <si>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</si>
  <si>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</si>
  <si>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</si>
  <si>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</si>
  <si>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</si>
  <si>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</si>
  <si>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</si>
  <si>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</si>
  <si>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</si>
  <si>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</si>
  <si>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</si>
  <si>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</si>
  <si>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</si>
  <si>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</si>
  <si>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</si>
  <si>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</si>
  <si>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</si>
  <si>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</si>
  <si>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</si>
  <si>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</si>
  <si>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</si>
  <si>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</si>
  <si>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</si>
  <si>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</si>
  <si>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</si>
  <si>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</si>
  <si>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</si>
  <si>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</si>
  <si>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</si>
  <si>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</si>
  <si>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</si>
  <si>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</si>
  <si>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</si>
  <si>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</si>
  <si>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</si>
  <si>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</si>
  <si>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</si>
  <si>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</si>
  <si>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</si>
  <si>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</si>
  <si>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</si>
  <si>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</si>
  <si>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</si>
  <si>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</si>
  <si>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</si>
  <si>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</si>
  <si>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</si>
  <si>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</si>
  <si>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</si>
  <si>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</si>
  <si>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</si>
  <si>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</si>
  <si>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</si>
  <si>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</si>
  <si>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</si>
  <si>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</si>
  <si>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</si>
  <si>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</si>
  <si>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</si>
  <si>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</si>
  <si>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</si>
  <si>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</si>
  <si>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</si>
  <si>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</si>
  <si>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</si>
  <si>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</si>
  <si>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</si>
  <si>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</si>
  <si>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</si>
  <si>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</si>
  <si>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</si>
  <si>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</si>
  <si>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</si>
  <si>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</si>
  <si>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</si>
  <si>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</si>
  <si>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</si>
  <si>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</si>
  <si>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</si>
  <si>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</si>
  <si>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</si>
  <si>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</si>
  <si>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</si>
  <si>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</si>
  <si>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</si>
  <si>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</si>
  <si>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</si>
  <si>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</si>
  <si>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</si>
  <si>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</si>
  <si>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</si>
  <si>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</si>
  <si>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</si>
  <si>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</si>
  <si>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</si>
  <si>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</si>
  <si>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</si>
  <si>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</si>
  <si>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</si>
  <si>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</si>
  <si>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</si>
  <si>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</si>
  <si>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</si>
  <si>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</si>
  <si>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</si>
  <si>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</si>
  <si>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</si>
  <si>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</si>
  <si>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</si>
  <si>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</si>
  <si>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</si>
  <si>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</si>
  <si>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</si>
  <si>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</si>
  <si>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</si>
  <si>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</si>
  <si>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</si>
  <si>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</si>
  <si>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</si>
  <si>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</si>
  <si>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</si>
  <si>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</si>
  <si>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</si>
  <si>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</si>
  <si>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</si>
  <si>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</si>
  <si>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</si>
  <si>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</si>
  <si>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</si>
  <si>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</si>
  <si>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</si>
  <si>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</si>
  <si>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</si>
  <si>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</si>
  <si>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</si>
  <si>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</si>
  <si>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</si>
  <si>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</si>
  <si>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</si>
  <si>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</si>
  <si>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</si>
  <si>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</si>
  <si>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</si>
  <si>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</si>
  <si>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</si>
  <si>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</si>
  <si>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</si>
  <si>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</si>
  <si>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</si>
  <si>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</si>
  <si>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</si>
  <si>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</si>
  <si>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</si>
  <si>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</si>
  <si>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</si>
  <si>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</si>
  <si>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</si>
  <si>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</si>
  <si>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</si>
  <si>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</si>
  <si>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</si>
  <si>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</si>
  <si>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</si>
  <si>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</si>
  <si>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</si>
  <si>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</si>
  <si>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</si>
  <si>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</si>
  <si>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</si>
  <si>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</si>
  <si>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</si>
  <si>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</si>
  <si>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</si>
  <si>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</si>
  <si>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</si>
  <si>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</si>
  <si>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</si>
  <si>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</si>
  <si>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</si>
  <si>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</si>
  <si>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</si>
  <si>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</si>
  <si>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</si>
  <si>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</si>
  <si>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</si>
  <si>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</si>
  <si>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</si>
  <si>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</si>
  <si>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</si>
  <si>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</si>
  <si>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</si>
  <si>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</si>
  <si>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</si>
  <si>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</si>
  <si>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</si>
  <si>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</si>
  <si>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</si>
  <si>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</si>
  <si>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</si>
  <si>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</si>
  <si>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</si>
  <si>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</si>
  <si>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</si>
  <si>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</si>
  <si>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</si>
  <si>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</si>
  <si>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</si>
  <si>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</si>
  <si>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</si>
  <si>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</si>
  <si>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</si>
  <si>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</si>
  <si>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</si>
  <si>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</si>
  <si>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</si>
  <si>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</si>
  <si>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</si>
  <si>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</si>
  <si>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</si>
  <si>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</si>
  <si>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</si>
  <si>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</si>
  <si>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</si>
  <si>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</si>
  <si>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</si>
  <si>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</si>
  <si>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</si>
  <si>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</si>
  <si>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</si>
  <si>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</si>
  <si>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</si>
  <si>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</si>
  <si>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</si>
  <si>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</si>
  <si>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</si>
  <si>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</si>
  <si>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</si>
  <si>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</si>
  <si>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</si>
  <si>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</si>
  <si>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</si>
  <si>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</si>
  <si>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</si>
  <si>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</si>
  <si>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</si>
  <si>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</si>
  <si>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</si>
  <si>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</si>
  <si>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</si>
  <si>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</si>
  <si>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</si>
  <si>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</si>
  <si>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</si>
  <si>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</si>
  <si>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</si>
  <si>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</si>
  <si>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</si>
  <si>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</si>
  <si>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</si>
  <si>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</si>
  <si>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</si>
  <si>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</si>
  <si>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</si>
  <si>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</si>
  <si>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</si>
  <si>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</si>
  <si>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</si>
  <si>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</si>
  <si>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</si>
  <si>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</si>
  <si>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</si>
  <si>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</si>
  <si>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</si>
  <si>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</si>
  <si>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</si>
  <si>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</si>
  <si>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</si>
  <si>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</si>
  <si>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</si>
  <si>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</si>
  <si>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</si>
  <si>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</si>
  <si>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</si>
  <si>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</si>
  <si>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</si>
  <si>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</si>
  <si>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</si>
  <si>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</si>
  <si>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</si>
  <si>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</si>
  <si>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</si>
  <si>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</si>
  <si>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</si>
  <si>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</si>
  <si>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</si>
  <si>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</si>
  <si>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</si>
  <si>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</si>
  <si>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</si>
  <si>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</si>
  <si>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</si>
  <si>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</si>
  <si>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</si>
  <si>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</si>
  <si>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</si>
  <si>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</si>
  <si>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</si>
  <si>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</si>
  <si>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</si>
  <si>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</si>
  <si>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</si>
  <si>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</si>
  <si>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</si>
  <si>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</si>
  <si>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</si>
  <si>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</si>
  <si>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</si>
  <si>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</si>
  <si>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</si>
  <si>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</si>
  <si>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</si>
  <si>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</si>
  <si>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</si>
  <si>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</si>
  <si>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</si>
  <si>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</si>
  <si>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</si>
  <si>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</si>
  <si>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</si>
  <si>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</si>
  <si>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</si>
  <si>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</si>
  <si>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</si>
  <si>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</si>
  <si>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</si>
  <si>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</si>
  <si>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</si>
  <si>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</si>
  <si>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</si>
  <si>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</si>
  <si>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</si>
  <si>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</si>
  <si>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</si>
  <si>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</si>
  <si>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</si>
  <si>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</si>
  <si>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</si>
  <si>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</si>
  <si>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</si>
  <si>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</si>
  <si>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</si>
  <si>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</si>
  <si>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</si>
  <si>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</si>
  <si>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</si>
  <si>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</si>
  <si>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</si>
  <si>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</si>
  <si>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</si>
  <si>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</si>
  <si>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</si>
  <si>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</si>
  <si>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</si>
  <si>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</si>
  <si>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</si>
  <si>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</si>
  <si>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</si>
  <si>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</si>
  <si>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</si>
  <si>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</si>
  <si>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</si>
  <si>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</si>
  <si>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</si>
  <si>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</si>
  <si>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</si>
  <si>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</si>
  <si>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</si>
  <si>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</si>
  <si>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</si>
  <si>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</si>
  <si>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</si>
  <si>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</si>
  <si>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</si>
  <si>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</si>
  <si>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</si>
  <si>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</si>
  <si>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</si>
  <si>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</si>
  <si>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</si>
  <si>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</si>
  <si>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</si>
  <si>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</si>
  <si>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</si>
  <si>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</si>
  <si>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</si>
  <si>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</si>
  <si>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</si>
  <si>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</si>
  <si>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</si>
  <si>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</si>
  <si>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</si>
  <si>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</si>
  <si>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</si>
  <si>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</si>
  <si>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</si>
  <si>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</si>
  <si>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</si>
  <si>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</si>
  <si>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</si>
  <si>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</si>
  <si>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</si>
  <si>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</si>
  <si>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</si>
  <si>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</si>
  <si>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</si>
  <si>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</si>
  <si>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</si>
  <si>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</si>
  <si>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</si>
  <si>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</si>
  <si>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</si>
  <si>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</si>
  <si>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</si>
  <si>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</si>
  <si>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</si>
  <si>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</si>
  <si>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</si>
  <si>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</si>
  <si>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</si>
  <si>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</si>
  <si>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</si>
  <si>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</si>
  <si>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</si>
  <si>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</si>
  <si>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</si>
  <si>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</si>
  <si>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</si>
  <si>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</si>
  <si>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</si>
  <si>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</si>
  <si>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</si>
  <si>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</si>
  <si>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</si>
  <si>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</si>
  <si>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</si>
  <si>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</si>
  <si>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</si>
  <si>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</si>
  <si>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</si>
  <si>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</si>
  <si>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</si>
  <si>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</si>
  <si>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</si>
  <si>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</si>
  <si>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</si>
  <si>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</si>
  <si>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</si>
  <si>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</si>
  <si>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</si>
  <si>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</si>
  <si>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</si>
  <si>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</si>
  <si>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</si>
  <si>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</si>
  <si>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</si>
  <si>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</si>
  <si>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</si>
  <si>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</si>
  <si>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</si>
  <si>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</si>
  <si>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</si>
  <si>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</si>
  <si>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</si>
  <si>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</si>
  <si>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</si>
  <si>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</si>
  <si>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&gt;3 (3-4)</t>
  </si>
  <si>
    <t>nt_Coleo_BCG_att234b4m</t>
  </si>
  <si>
    <t>&gt;6 (4-9)</t>
  </si>
  <si>
    <t>nt_Ephem_BCG_att234b4m</t>
  </si>
  <si>
    <t>nt_Odon_BCG_att234b4m</t>
  </si>
  <si>
    <t>&gt;=5 (3-7)</t>
  </si>
  <si>
    <t>nt_Trich_BCG_att234b4m</t>
  </si>
  <si>
    <t>&gt;3 (2-5)</t>
  </si>
  <si>
    <t>&lt;=65 (60-70)</t>
  </si>
  <si>
    <t>pi_BCG_att4w5</t>
  </si>
  <si>
    <t>&lt;=35 (30-40)</t>
  </si>
  <si>
    <t>pt_BCG_att4w5</t>
  </si>
  <si>
    <t>&lt;=25 (20-30)</t>
  </si>
  <si>
    <t>&lt;=55 (50-60)</t>
  </si>
  <si>
    <t>&gt;=40 (35-45)</t>
  </si>
  <si>
    <t>&gt;=30 (25-35)</t>
  </si>
  <si>
    <t>nt_habit_climbcling</t>
  </si>
  <si>
    <t>&gt;=25 (20-30)</t>
  </si>
  <si>
    <t>&gt;1 (0-3)</t>
  </si>
  <si>
    <t>&gt;2 (1-4)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</si>
  <si>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</si>
  <si>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</si>
  <si>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</si>
  <si>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</si>
  <si>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</si>
  <si>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</si>
  <si>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</si>
  <si>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</si>
  <si>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</si>
  <si>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</si>
  <si>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</si>
  <si>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</si>
  <si>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</si>
  <si>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</si>
  <si>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&gt;21 (18-25)</t>
  </si>
  <si>
    <t>&lt;=90 (85-95)</t>
  </si>
  <si>
    <t>WCBP_medlrg_soft</t>
  </si>
  <si>
    <t>&gt;5 (3-8)</t>
  </si>
  <si>
    <t>&gt;4 (2-7)</t>
  </si>
  <si>
    <t>&gt;19 (17-22)</t>
  </si>
  <si>
    <t>&lt;=80 (75-85)</t>
  </si>
  <si>
    <t>&gt;=15 (10-20)</t>
  </si>
  <si>
    <t>IowaSrf_medlrg_soft</t>
  </si>
  <si>
    <t>&gt;7 (5-10)</t>
  </si>
  <si>
    <t>&gt;=9 (6-12)</t>
  </si>
  <si>
    <t>&lt;23 (20-25)</t>
  </si>
  <si>
    <t>&gt;=55 (50-60)</t>
  </si>
  <si>
    <t>&gt;37 (35-40)</t>
  </si>
  <si>
    <t>&gt;=45 (40-50)</t>
  </si>
  <si>
    <t>&gt;22 (20-25)</t>
  </si>
  <si>
    <t>KS_Bugs_BCG</t>
  </si>
  <si>
    <t>&gt;6 (5-8)</t>
  </si>
  <si>
    <t>pi_BCG_att1i234b</t>
  </si>
  <si>
    <t>&gt;6 (3-10)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</si>
  <si>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</si>
  <si>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</si>
  <si>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</si>
  <si>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</si>
  <si>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</si>
  <si>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</si>
  <si>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</si>
  <si>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</si>
  <si>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</si>
  <si>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</si>
  <si>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</si>
  <si>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</si>
  <si>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</si>
  <si>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</si>
  <si>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</si>
  <si>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</si>
  <si>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</si>
  <si>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</si>
  <si>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</si>
  <si>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</si>
  <si>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</si>
  <si>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</si>
  <si>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</si>
  <si>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</si>
  <si>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</si>
  <si>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</si>
  <si>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</si>
  <si>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</si>
  <si>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</si>
  <si>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</si>
  <si>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</si>
  <si>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</si>
  <si>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</si>
  <si>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</si>
  <si>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</si>
  <si>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</si>
  <si>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</si>
  <si>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</si>
  <si>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</si>
  <si>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</si>
  <si>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</si>
  <si>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</si>
  <si>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</si>
  <si>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</si>
  <si>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</si>
  <si>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</si>
  <si>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</si>
  <si>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</si>
  <si>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</si>
  <si>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</si>
  <si>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</si>
  <si>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</si>
  <si>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</si>
  <si>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</si>
  <si>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</si>
  <si>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</si>
  <si>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</si>
  <si>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</si>
  <si>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</si>
  <si>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</si>
  <si>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</si>
  <si>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</si>
  <si>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</si>
  <si>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</si>
  <si>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</si>
  <si>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</si>
  <si>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</si>
  <si>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</si>
  <si>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</si>
  <si>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</si>
  <si>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</si>
  <si>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</si>
  <si>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</si>
  <si>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</si>
  <si>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</si>
  <si>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</si>
  <si>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</si>
  <si>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</si>
  <si>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</si>
  <si>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</si>
  <si>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</si>
  <si>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</si>
  <si>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</si>
  <si>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</si>
  <si>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</si>
  <si>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</si>
  <si>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</si>
  <si>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</si>
  <si>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</si>
  <si>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</si>
  <si>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</si>
  <si>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</si>
  <si>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</si>
  <si>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</si>
  <si>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</si>
  <si>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</si>
  <si>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</si>
  <si>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</si>
  <si>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</si>
  <si>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</si>
  <si>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</si>
  <si>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</si>
  <si>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</si>
  <si>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</si>
  <si>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</si>
  <si>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</si>
  <si>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</si>
  <si>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</si>
  <si>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</si>
  <si>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</si>
  <si>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</si>
  <si>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</si>
  <si>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</si>
  <si>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</si>
  <si>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&gt;37% (35-40)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</si>
  <si>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</si>
  <si>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</si>
  <si>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</si>
  <si>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</si>
  <si>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</si>
  <si>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</si>
  <si>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</si>
  <si>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</si>
  <si>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</si>
  <si>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</si>
  <si>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</si>
  <si>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</si>
  <si>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</si>
  <si>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</si>
  <si>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</si>
  <si>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</si>
  <si>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</si>
  <si>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</si>
  <si>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</si>
  <si>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</si>
  <si>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</si>
  <si>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</si>
  <si>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</si>
  <si>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</si>
  <si>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</si>
  <si>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</si>
  <si>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</si>
  <si>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</si>
  <si>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</si>
  <si>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</si>
  <si>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</si>
  <si>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</si>
  <si>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</si>
  <si>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</si>
  <si>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</si>
  <si>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</si>
  <si>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</si>
  <si>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</si>
  <si>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</si>
  <si>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</si>
  <si>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</si>
  <si>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</si>
  <si>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</si>
  <si>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</si>
  <si>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</si>
  <si>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</si>
  <si>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</si>
  <si>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</si>
  <si>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</si>
  <si>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</si>
  <si>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</si>
  <si>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</si>
  <si>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</si>
  <si>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</si>
  <si>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</si>
  <si>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</si>
  <si>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</si>
  <si>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</si>
  <si>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</si>
  <si>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</si>
  <si>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</si>
  <si>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</si>
  <si>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</si>
  <si>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</si>
  <si>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</si>
  <si>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</si>
  <si>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</si>
  <si>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</si>
  <si>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</si>
  <si>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</si>
  <si>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</si>
  <si>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</si>
  <si>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</si>
  <si>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</si>
  <si>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</si>
  <si>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</si>
  <si>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</si>
  <si>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</si>
  <si>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</si>
  <si>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</si>
  <si>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</si>
  <si>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</si>
  <si>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</si>
  <si>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</si>
  <si>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</si>
  <si>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</si>
  <si>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</si>
  <si>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</si>
  <si>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</si>
  <si>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</si>
  <si>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</si>
  <si>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</si>
  <si>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</si>
  <si>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</si>
  <si>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</si>
  <si>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</si>
  <si>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</si>
  <si>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</si>
  <si>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</si>
  <si>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</si>
  <si>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</si>
  <si>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</si>
  <si>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</si>
  <si>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</si>
  <si>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</si>
  <si>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</si>
  <si>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</si>
  <si>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</si>
  <si>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</si>
  <si>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</si>
  <si>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</si>
  <si>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</si>
  <si>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</si>
  <si>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</si>
  <si>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</si>
  <si>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</si>
  <si>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</si>
  <si>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</si>
  <si>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</si>
  <si>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</si>
  <si>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</si>
  <si>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</si>
  <si>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</si>
  <si>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</si>
  <si>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</si>
  <si>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</si>
  <si>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</si>
  <si>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</si>
  <si>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</si>
  <si>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</si>
  <si>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</si>
  <si>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</si>
  <si>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</si>
  <si>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</si>
  <si>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</si>
  <si>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</si>
  <si>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</si>
  <si>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</si>
  <si>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</si>
  <si>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</si>
  <si>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</si>
  <si>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</si>
  <si>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</si>
  <si>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</si>
  <si>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</si>
  <si>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</si>
  <si>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</si>
  <si>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</si>
  <si>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</si>
  <si>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</si>
  <si>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</si>
  <si>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</si>
  <si>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</si>
  <si>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</si>
  <si>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</si>
  <si>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</si>
  <si>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</si>
  <si>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</si>
  <si>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</si>
  <si>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</si>
  <si>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</si>
  <si>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</si>
  <si>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</si>
  <si>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</si>
  <si>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</si>
  <si>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</si>
  <si>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</si>
  <si>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</si>
  <si>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</si>
  <si>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</si>
  <si>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</si>
  <si>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</si>
  <si>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</si>
  <si>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</si>
  <si>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</si>
  <si>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</si>
  <si>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</si>
  <si>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</si>
  <si>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</si>
  <si>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</si>
  <si>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</si>
  <si>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</si>
  <si>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</si>
  <si>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</si>
  <si>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</si>
  <si>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</si>
  <si>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</si>
  <si>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</si>
  <si>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</si>
  <si>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</si>
  <si>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</si>
  <si>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</si>
  <si>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</si>
  <si>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</si>
  <si>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</si>
  <si>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</si>
  <si>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</si>
  <si>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</si>
  <si>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</si>
  <si>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</si>
  <si>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</si>
  <si>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</si>
  <si>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</si>
  <si>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</si>
  <si>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</si>
  <si>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</si>
  <si>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</si>
  <si>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</si>
  <si>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</si>
  <si>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</si>
  <si>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</si>
  <si>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</si>
  <si>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</si>
  <si>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</si>
  <si>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</si>
  <si>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</si>
  <si>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</si>
  <si>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</si>
  <si>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</si>
  <si>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</si>
  <si>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</si>
  <si>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</si>
  <si>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</si>
  <si>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</si>
  <si>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</si>
  <si>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</si>
  <si>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</si>
  <si>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</si>
  <si>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</si>
  <si>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</si>
  <si>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</si>
  <si>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</si>
  <si>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</si>
  <si>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</si>
  <si>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</si>
  <si>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</si>
  <si>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</si>
  <si>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&lt;28 (25-30)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</si>
  <si>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</si>
  <si>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</si>
  <si>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</si>
  <si>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</si>
  <si>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</si>
  <si>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</si>
  <si>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</si>
  <si>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</si>
  <si>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</si>
  <si>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</si>
  <si>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</si>
  <si>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&gt;=3 (2-4)</t>
  </si>
  <si>
    <t>&gt;7 (6-9)</t>
  </si>
  <si>
    <t>&lt;=1 (0-2)</t>
  </si>
  <si>
    <t>nt_BCG_att6m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</si>
  <si>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</si>
  <si>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</si>
  <si>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</si>
  <si>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</si>
  <si>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</si>
  <si>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</si>
  <si>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&gt;24 (22-27)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</si>
  <si>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</si>
  <si>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</si>
  <si>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</si>
  <si>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</si>
  <si>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</si>
  <si>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</si>
  <si>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</si>
  <si>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</si>
  <si>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</si>
  <si>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</si>
  <si>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</si>
  <si>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</si>
  <si>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</si>
  <si>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</si>
  <si>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</si>
  <si>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</si>
  <si>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</si>
  <si>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</si>
  <si>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</si>
  <si>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</si>
  <si>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</si>
  <si>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</si>
  <si>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&gt;=2.7 (2.5-2.9)</t>
  </si>
  <si>
    <t>&gt;1.8 (1.5-2.2)</t>
  </si>
  <si>
    <t>&gt;=0.75 (0.5-1)</t>
  </si>
  <si>
    <t>&gt;9 (8-11)</t>
  </si>
  <si>
    <t>&gt;0 (-0.5-1)</t>
  </si>
  <si>
    <t>Lower limit is negative to allow for partial membership in Level 3 (4+) if the sensitive taxa metrics are the only L3 rules not being met</t>
  </si>
  <si>
    <t>&gt;2 (-1-5)</t>
  </si>
  <si>
    <t>pi_BCG_att6m</t>
  </si>
  <si>
    <t>&lt;0.01 (0-0.01)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</si>
  <si>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</si>
  <si>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</si>
  <si>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</si>
  <si>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</si>
  <si>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</si>
  <si>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</si>
  <si>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</si>
  <si>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</si>
  <si>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</si>
  <si>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</si>
  <si>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</si>
  <si>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pi_COEPT_BCG_att1i234b4m</t>
  </si>
  <si>
    <t>Replace pi_COEPT_BCG_att234b4m with pi_COEPT_BCG_att1i234b4m</t>
  </si>
  <si>
    <t>Updated KS GP BCG rules mistake.</t>
  </si>
  <si>
    <t>&lt;45 (40-50)</t>
  </si>
  <si>
    <t>&lt;10 (7-14)</t>
  </si>
  <si>
    <t>number of total taxa</t>
  </si>
  <si>
    <t>&gt; 9 (8-11)</t>
  </si>
  <si>
    <t>&lt; 0 (0-1)</t>
  </si>
  <si>
    <t>&lt;= 2 (1-3)</t>
  </si>
  <si>
    <t>&gt;= 1 (0-2)</t>
  </si>
  <si>
    <t>&gt; 1 (-1-4)</t>
  </si>
  <si>
    <t>Update Lower Boise Fish NotuseParma rules (replace all)</t>
  </si>
  <si>
    <t>Update ORWA 456 to 456m6t</t>
  </si>
  <si>
    <t>Percent individuals - most dominant, non-sensitive (Attr 4, 5, 6m, 6t) taxon</t>
  </si>
  <si>
    <t>Percent individuals - two most dominant, non-sensitive (Attr 4, 5, 6m, 6t) taxa</t>
  </si>
  <si>
    <t>pi_dom01_BCG_att456m6t</t>
  </si>
  <si>
    <t>pi_dom02_BCG_att456m6t</t>
  </si>
  <si>
    <t>pi_NonInsTrombJuga_BCG_att456m6t</t>
  </si>
  <si>
    <t>&gt;=27 (22-32)</t>
  </si>
  <si>
    <t>Update OK_Bugs_BCG, CIP and CGP, pi_COEPT_BCG_att1i234b4m thresholds</t>
  </si>
  <si>
    <t>Update Boise Fish NotusParma duplicate level 4 nt_total, 2nd to level 5</t>
  </si>
  <si>
    <t>BCG_ORWA_v1_Bugs500ct, Foothills_Multihab, remove nt_ti_stenocold_cold_cool from levels 2, 3, and 4</t>
  </si>
  <si>
    <t>Update GP bugs indices, Issue #102</t>
  </si>
  <si>
    <t>Number of sensitive (BCG Attr II+III+IV_better) taxa</t>
  </si>
  <si>
    <t>Number of Coleoptera (BCG Attr II+III+IV_better+IV_middle) taxa</t>
  </si>
  <si>
    <t>Number of Ephemeroptera (BCG Attr II+III+IV_better+IV_middle) taxa</t>
  </si>
  <si>
    <t>Number of Climber (CB) + Clinger (CN) taxa</t>
  </si>
  <si>
    <t>Number of Odonata (BCG Attr II+III+IV_better+IV_middle) taxa</t>
  </si>
  <si>
    <t>Number of Trichoptera (BCG Attr II+III+IV_better+IV_middle) taxa</t>
  </si>
  <si>
    <t>Percent tolerant (BCG Attr IV_worse+V) individuals</t>
  </si>
  <si>
    <t>&lt;0.1 (0-0.1)</t>
  </si>
  <si>
    <t>Percent very tolerant (BCG Attr V) individuals</t>
  </si>
  <si>
    <t>pi_ChiroOligoHiru</t>
  </si>
  <si>
    <t>Percent Chironomidae, worm (Oligochaeta) and leech (Hirudinea) individuals</t>
  </si>
  <si>
    <t>Percent Collector-Filterer (CF) individuals</t>
  </si>
  <si>
    <t>&lt;0.5 (0.1-1)</t>
  </si>
  <si>
    <t>&lt;68 (65-70)</t>
  </si>
  <si>
    <t>2nd worst</t>
  </si>
  <si>
    <t>&lt;4 (1-6)</t>
  </si>
  <si>
    <t>&lt;88 (80-95)</t>
  </si>
  <si>
    <t>&lt;=95 (90-100)</t>
  </si>
  <si>
    <t>&lt;93 (90-95)</t>
  </si>
  <si>
    <t>&gt;8 (7-10)</t>
  </si>
  <si>
    <t>&gt;10 (8-13)</t>
  </si>
  <si>
    <t>&lt;=4 (1-7)</t>
  </si>
  <si>
    <t>&lt;=12 (7-17)</t>
  </si>
  <si>
    <t>&lt;78 (75-80)</t>
  </si>
  <si>
    <t>Percent of sensitive (BCG Attr II+III+IV_better) individuals</t>
  </si>
  <si>
    <t>Percent tolerant (BCG Attr IV_worse+V) taxa</t>
  </si>
  <si>
    <t>pt_COEPT</t>
  </si>
  <si>
    <t>Percent Coleoptera, Odonata, Ephemeroptera, Plecoptera and Trichoptera (COEPT) taxa</t>
  </si>
  <si>
    <t>&lt;=80% (75-85)</t>
  </si>
  <si>
    <t>Number of sensitive (BCG Attr II+III) taxa</t>
  </si>
  <si>
    <t>Percent non-native, intermediate tolerant (Attr VI m) individuals</t>
  </si>
  <si>
    <t>Percent COEPT (BCG Attr Ii + II+III+IV_better+IV_middle) individuals</t>
  </si>
  <si>
    <t>Percent sensitive (BCG Attr II+III) individuals</t>
  </si>
  <si>
    <t>Number of non-native, intermediate tolerant (Attr VI m) taxa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</si>
</sst>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8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1" totalsRowShown="0">
  <autoFilter ref="A17:C21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76"/>
  <sheetViews>
    <sheetView zoomScaleNormal="100" workbookViewId="0">
      <pane ySplit="7" topLeftCell="A55" activePane="bottomLeft" state="frozen"/>
      <selection pane="bottomLeft" activeCell="B75" sqref="B75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2" ht="23.25" x14ac:dyDescent="0.35">
      <c r="A1" s="13" t="s">
        <v>58</v>
      </c>
    </row>
    <row r="2" spans="1:2" ht="20.25" thickBot="1" x14ac:dyDescent="0.35">
      <c r="A2" s="14" t="s">
        <v>59</v>
      </c>
    </row>
    <row r="3" spans="1:2" ht="15.75" thickTop="1" x14ac:dyDescent="0.25"/>
    <row r="4" spans="1:2" x14ac:dyDescent="0.25">
      <c r="A4" s="21" t="s">
        <v>60</v>
      </c>
    </row>
    <row r="5" spans="1:2" x14ac:dyDescent="0.25">
      <c r="A5" s="74" t="s">
        <v>680</v>
      </c>
    </row>
    <row r="6" spans="1:2" x14ac:dyDescent="0.25">
      <c r="A6" s="74" t="s">
        <v>808</v>
      </c>
      <c r="B6" s="74"/>
    </row>
    <row r="7" spans="1:2" x14ac:dyDescent="0.25">
      <c r="A7" s="60">
        <f>MAX(A23:A562)</f>
        <v>46248</v>
      </c>
    </row>
    <row r="9" spans="1:2" x14ac:dyDescent="0.25">
      <c r="A9" s="15" t="s">
        <v>49</v>
      </c>
      <c r="B9" s="16" t="str">
        <f ca="1">LEFT(CELL("filename",B9),FIND("]",CELL("filename",B9)))</f>
        <v>C:\Users\Erik.Leppo\Documents\GitHub\BCGcalc\inst\extdata\[Rules.xlsx]</v>
      </c>
    </row>
    <row r="10" spans="1:2" x14ac:dyDescent="0.25">
      <c r="A10" s="15" t="s">
        <v>50</v>
      </c>
      <c r="B10" s="16" t="str">
        <f ca="1">MID(CELL("filename",B10),FIND("[",CELL("filename",B10)),(FIND("]",CELL("filename",B10))-FIND("[",CELL("filename",B10)))+1)</f>
        <v>[Rules.xlsx]</v>
      </c>
    </row>
    <row r="11" spans="1:2" x14ac:dyDescent="0.25">
      <c r="A11" s="15" t="s">
        <v>51</v>
      </c>
      <c r="B11" s="17" t="str">
        <f ca="1">MID(CELL("filename",B11),FIND("]",CELL("filename",B11))+1,LEN(CELL("filename",B11))-FIND("]",CELL("filename",B11)))</f>
        <v>NOTES</v>
      </c>
    </row>
    <row r="13" spans="1:2" ht="18" thickBot="1" x14ac:dyDescent="0.35">
      <c r="A13" s="18" t="s">
        <v>52</v>
      </c>
    </row>
    <row r="14" spans="1:2" ht="15.75" thickTop="1" x14ac:dyDescent="0.25">
      <c r="A14" t="s">
        <v>61</v>
      </c>
    </row>
    <row r="15" spans="1:2" x14ac:dyDescent="0.25">
      <c r="A15" t="s">
        <v>62</v>
      </c>
    </row>
    <row r="17" spans="1:3" x14ac:dyDescent="0.25">
      <c r="A17" t="s">
        <v>53</v>
      </c>
      <c r="B17" t="s">
        <v>54</v>
      </c>
      <c r="C17" s="19" t="s">
        <v>55</v>
      </c>
    </row>
    <row r="18" spans="1:3" x14ac:dyDescent="0.25">
      <c r="A18" t="s">
        <v>56</v>
      </c>
      <c r="B18" t="s">
        <v>57</v>
      </c>
      <c r="C18" s="20" t="str">
        <f t="shared" ref="C18:C20" ca="1" si="0">HYPERLINK(FileName&amp;A18&amp;"!A1",A18)</f>
        <v>NOTES</v>
      </c>
    </row>
    <row r="19" spans="1:3" x14ac:dyDescent="0.25">
      <c r="A19" t="s">
        <v>450</v>
      </c>
      <c r="B19" t="s">
        <v>451</v>
      </c>
      <c r="C19" s="53" t="str">
        <f t="shared" ca="1" si="0"/>
        <v>Rules</v>
      </c>
    </row>
    <row r="20" spans="1:3" x14ac:dyDescent="0.25">
      <c r="A20" t="s">
        <v>443</v>
      </c>
      <c r="B20" t="s">
        <v>444</v>
      </c>
      <c r="C20" s="43" t="str">
        <f t="shared" ca="1" si="0"/>
        <v>MetricMetadata</v>
      </c>
    </row>
    <row r="21" spans="1:3" x14ac:dyDescent="0.25">
      <c r="A21" t="s">
        <v>1064</v>
      </c>
      <c r="B21" t="s">
        <v>1065</v>
      </c>
      <c r="C21" s="43" t="str">
        <f ca="1">HYPERLINK(FileName&amp;A21&amp;"!A1",A21)</f>
        <v>EXC_RULES_Metadata</v>
      </c>
    </row>
    <row r="23" spans="1:3" x14ac:dyDescent="0.25">
      <c r="A23" s="60">
        <v>44531</v>
      </c>
      <c r="B23" t="s">
        <v>483</v>
      </c>
    </row>
    <row r="24" spans="1:3" x14ac:dyDescent="0.25">
      <c r="A24" s="60">
        <v>44603</v>
      </c>
      <c r="B24" t="s">
        <v>486</v>
      </c>
    </row>
    <row r="25" spans="1:3" x14ac:dyDescent="0.25">
      <c r="A25" s="60">
        <v>44606</v>
      </c>
      <c r="B25" t="s">
        <v>491</v>
      </c>
    </row>
    <row r="26" spans="1:3" x14ac:dyDescent="0.25">
      <c r="A26" s="60">
        <v>44845</v>
      </c>
      <c r="B26" t="s">
        <v>492</v>
      </c>
    </row>
    <row r="27" spans="1:3" x14ac:dyDescent="0.25">
      <c r="A27" s="60">
        <v>44855</v>
      </c>
      <c r="B27" t="s">
        <v>512</v>
      </c>
    </row>
    <row r="28" spans="1:3" x14ac:dyDescent="0.25">
      <c r="A28" s="60">
        <v>44866</v>
      </c>
      <c r="B28" t="s">
        <v>515</v>
      </c>
    </row>
    <row r="29" spans="1:3" x14ac:dyDescent="0.25">
      <c r="A29" s="60">
        <v>44881</v>
      </c>
      <c r="B29" t="s">
        <v>517</v>
      </c>
    </row>
    <row r="30" spans="1:3" x14ac:dyDescent="0.25">
      <c r="B30" t="s">
        <v>520</v>
      </c>
    </row>
    <row r="31" spans="1:3" x14ac:dyDescent="0.25">
      <c r="A31" s="60">
        <v>44882</v>
      </c>
      <c r="B31" t="s">
        <v>630</v>
      </c>
    </row>
    <row r="32" spans="1:3" x14ac:dyDescent="0.25">
      <c r="A32" s="60">
        <v>45118</v>
      </c>
      <c r="B32" t="s">
        <v>678</v>
      </c>
    </row>
    <row r="33" spans="1:2" x14ac:dyDescent="0.25">
      <c r="B33" t="s">
        <v>664</v>
      </c>
    </row>
    <row r="34" spans="1:2" x14ac:dyDescent="0.25">
      <c r="A34" s="60">
        <v>45120</v>
      </c>
      <c r="B34" t="s">
        <v>679</v>
      </c>
    </row>
    <row r="35" spans="1:2" x14ac:dyDescent="0.25">
      <c r="A35" s="60">
        <v>45250</v>
      </c>
      <c r="B35" t="s">
        <v>677</v>
      </c>
    </row>
    <row r="36" spans="1:2" x14ac:dyDescent="0.25">
      <c r="A36" s="60">
        <v>45264</v>
      </c>
      <c r="B36" t="s">
        <v>712</v>
      </c>
    </row>
    <row r="37" spans="1:2" x14ac:dyDescent="0.25">
      <c r="A37" s="60">
        <v>45266</v>
      </c>
      <c r="B37" t="s">
        <v>706</v>
      </c>
    </row>
    <row r="38" spans="1:2" x14ac:dyDescent="0.25">
      <c r="B38" t="s">
        <v>709</v>
      </c>
    </row>
    <row r="39" spans="1:2" x14ac:dyDescent="0.25">
      <c r="A39" s="60">
        <v>45272</v>
      </c>
      <c r="B39" t="s">
        <v>710</v>
      </c>
    </row>
    <row r="40" spans="1:2" x14ac:dyDescent="0.25">
      <c r="A40" s="60">
        <v>45294</v>
      </c>
      <c r="B40" t="s">
        <v>711</v>
      </c>
    </row>
    <row r="41" spans="1:2" x14ac:dyDescent="0.25">
      <c r="A41" s="60">
        <v>45302</v>
      </c>
      <c r="B41" t="s">
        <v>807</v>
      </c>
    </row>
    <row r="42" spans="1:2" x14ac:dyDescent="0.25">
      <c r="A42" s="60">
        <v>45302</v>
      </c>
      <c r="B42" t="s">
        <v>809</v>
      </c>
    </row>
    <row r="43" spans="1:2" x14ac:dyDescent="0.25">
      <c r="A43" s="60">
        <v>45379</v>
      </c>
      <c r="B43" t="s">
        <v>810</v>
      </c>
    </row>
    <row r="44" spans="1:2" x14ac:dyDescent="0.25">
      <c r="A44" s="60">
        <v>45380</v>
      </c>
      <c r="B44" t="s">
        <v>827</v>
      </c>
    </row>
    <row r="45" spans="1:2" x14ac:dyDescent="0.25">
      <c r="A45" s="60">
        <v>45419</v>
      </c>
      <c r="B45" t="s">
        <v>997</v>
      </c>
    </row>
    <row r="46" spans="1:2" x14ac:dyDescent="0.25">
      <c r="A46" s="60">
        <v>45426</v>
      </c>
      <c r="B46" t="s">
        <v>998</v>
      </c>
    </row>
    <row r="47" spans="1:2" x14ac:dyDescent="0.25">
      <c r="A47" s="60">
        <v>45449</v>
      </c>
      <c r="B47" t="s">
        <v>1000</v>
      </c>
    </row>
    <row r="48" spans="1:2" x14ac:dyDescent="0.25">
      <c r="A48" s="60">
        <v>45497</v>
      </c>
      <c r="B48" t="s">
        <v>1008</v>
      </c>
    </row>
    <row r="49" spans="1:2" x14ac:dyDescent="0.25">
      <c r="B49" t="s">
        <v>1011</v>
      </c>
    </row>
    <row r="50" spans="1:2" x14ac:dyDescent="0.25">
      <c r="A50" s="60">
        <v>45573</v>
      </c>
      <c r="B50" t="s">
        <v>1056</v>
      </c>
    </row>
    <row r="51" spans="1:2" x14ac:dyDescent="0.25">
      <c r="B51" t="s">
        <v>1057</v>
      </c>
    </row>
    <row r="52" spans="1:2" x14ac:dyDescent="0.25">
      <c r="B52" t="s">
        <v>1058</v>
      </c>
    </row>
    <row r="53" spans="1:2" x14ac:dyDescent="0.25">
      <c r="B53" t="s">
        <v>1068</v>
      </c>
    </row>
    <row r="54" spans="1:2" x14ac:dyDescent="0.25">
      <c r="A54" s="60">
        <v>45695</v>
      </c>
      <c r="B54" t="s">
        <v>1069</v>
      </c>
    </row>
    <row r="55" spans="1:2" x14ac:dyDescent="0.25">
      <c r="A55" s="60">
        <v>45820</v>
      </c>
      <c r="B55" t="s">
        <v>1109</v>
      </c>
    </row>
    <row r="56" spans="1:2" x14ac:dyDescent="0.25">
      <c r="A56" s="60">
        <v>46017</v>
      </c>
      <c r="B56" t="s">
        <v>1150</v>
      </c>
    </row>
    <row r="57" spans="1:2" x14ac:dyDescent="0.25">
      <c r="A57" s="60">
        <v>46160</v>
      </c>
      <c r="B57" t="s">
        <v>1165</v>
      </c>
    </row>
    <row r="58" spans="1:2" x14ac:dyDescent="0.25">
      <c r="A58" s="60">
        <v>46161</v>
      </c>
      <c r="B58" t="s">
        <v>1166</v>
      </c>
    </row>
    <row r="59" spans="1:2" x14ac:dyDescent="0.25">
      <c r="A59" s="60">
        <v>46162</v>
      </c>
      <c r="B59" t="s">
        <v>1208</v>
      </c>
    </row>
    <row r="60" spans="1:2" x14ac:dyDescent="0.25">
      <c r="A60" s="60">
        <v>46168</v>
      </c>
      <c r="B60" t="s">
        <v>1209</v>
      </c>
    </row>
    <row r="61" spans="1:2" x14ac:dyDescent="0.25">
      <c r="B61" t="s">
        <v>1210</v>
      </c>
    </row>
    <row r="62" spans="1:2" x14ac:dyDescent="0.25">
      <c r="A62" s="60">
        <v>46177</v>
      </c>
      <c r="B62" t="s">
        <v>1274</v>
      </c>
    </row>
    <row r="63" spans="1:2" x14ac:dyDescent="0.25">
      <c r="A63" s="60">
        <v>46182</v>
      </c>
      <c r="B63" t="s">
        <v>1275</v>
      </c>
    </row>
    <row r="64" spans="1:2" x14ac:dyDescent="0.25">
      <c r="B64" t="s">
        <v>1276</v>
      </c>
    </row>
    <row r="65" spans="1:2" x14ac:dyDescent="0.25">
      <c r="A65" s="60">
        <v>46196</v>
      </c>
      <c r="B65" t="s">
        <v>1297</v>
      </c>
    </row>
    <row r="66" spans="1:2" x14ac:dyDescent="0.25">
      <c r="A66" s="60">
        <v>46197</v>
      </c>
      <c r="B66" t="s">
        <v>1349</v>
      </c>
    </row>
    <row r="67" spans="1:2" x14ac:dyDescent="0.25">
      <c r="A67" s="60"/>
      <c r="B67" t="s">
        <v>1377</v>
      </c>
    </row>
    <row r="68" spans="1:2" x14ac:dyDescent="0.25">
      <c r="A68" s="60">
        <v>46198</v>
      </c>
      <c r="B68" t="s">
        <v>1378</v>
      </c>
    </row>
    <row r="69" spans="1:2" x14ac:dyDescent="0.25">
      <c r="A69" s="60">
        <v>46210</v>
      </c>
      <c r="B69" t="s">
        <v>1387</v>
      </c>
    </row>
    <row r="70" spans="1:2" x14ac:dyDescent="0.25">
      <c r="A70" s="60">
        <v>46210</v>
      </c>
      <c r="B70" t="s">
        <v>1388</v>
      </c>
    </row>
    <row r="71" spans="1:2" x14ac:dyDescent="0.25">
      <c r="A71" s="60">
        <v>46211</v>
      </c>
      <c r="B71" t="s">
        <v>1395</v>
      </c>
    </row>
    <row r="72" spans="1:2" x14ac:dyDescent="0.25">
      <c r="A72" s="60">
        <v>46212</v>
      </c>
      <c r="B72" t="s">
        <v>1396</v>
      </c>
    </row>
    <row r="73" spans="1:2" x14ac:dyDescent="0.25">
      <c r="A73" s="60">
        <v>46213</v>
      </c>
      <c r="B73" t="s">
        <v>1397</v>
      </c>
    </row>
    <row r="74" spans="1:2" x14ac:dyDescent="0.25">
      <c r="A74" s="60">
        <v>46248</v>
      </c>
      <c r="B74" t="s">
        <v>1398</v>
      </c>
    </row>
    <row r="75" spans="1:2" x14ac:dyDescent="0.25">
      <c r="A75" s="2"/>
    </row>
    <row r="76" spans="1:2" x14ac:dyDescent="0.25">
      <c r="A76" s="2"/>
    </row>
  </sheetData>
  <dataValidations count="1">
    <dataValidation type="custom" allowBlank="1" showInputMessage="1" showErrorMessage="1" sqref="B9:B10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A6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449"/>
  <sheetViews>
    <sheetView tabSelected="1" zoomScale="80" zoomScaleNormal="80" workbookViewId="0">
      <pane xSplit="3" ySplit="1" topLeftCell="D2010" activePane="bottomRight" state="frozen"/>
      <selection pane="topRight" activeCell="E1" sqref="E1"/>
      <selection pane="bottomLeft" activeCell="A2" sqref="A2"/>
      <selection pane="bottomRight" activeCell="A2016" sqref="A2016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38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82.1406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1002</v>
      </c>
      <c r="O1" s="78" t="s">
        <v>1004</v>
      </c>
      <c r="P1" s="78" t="s">
        <v>1003</v>
      </c>
      <c r="Q1" s="67" t="s">
        <v>518</v>
      </c>
      <c r="R1" s="67" t="s">
        <v>519</v>
      </c>
      <c r="S1" s="84" t="s">
        <v>1226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1012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1031</v>
      </c>
      <c r="K330" s="68" t="s">
        <v>32</v>
      </c>
      <c r="Q330" t="s">
        <v>632</v>
      </c>
      <c r="R330" t="s">
        <v>1012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1049</v>
      </c>
      <c r="K331" s="68" t="s">
        <v>32</v>
      </c>
      <c r="Q331" t="s">
        <v>632</v>
      </c>
      <c r="R331" t="s">
        <v>1012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1012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1012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1032</v>
      </c>
      <c r="K334" s="68" t="s">
        <v>32</v>
      </c>
      <c r="Q334" t="s">
        <v>632</v>
      </c>
      <c r="R334" t="s">
        <v>1012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1066</v>
      </c>
      <c r="Q335" t="s">
        <v>632</v>
      </c>
      <c r="R335" t="s">
        <v>1012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1049</v>
      </c>
      <c r="K336" s="68" t="s">
        <v>32</v>
      </c>
      <c r="L336" t="s">
        <v>1066</v>
      </c>
      <c r="Q336" t="s">
        <v>632</v>
      </c>
      <c r="R336" t="s">
        <v>1012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1066</v>
      </c>
      <c r="Q337" t="s">
        <v>632</v>
      </c>
      <c r="R337" t="s">
        <v>1012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1066</v>
      </c>
      <c r="Q338" t="s">
        <v>632</v>
      </c>
      <c r="R338" t="s">
        <v>1012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1044</v>
      </c>
      <c r="K339" s="68" t="s">
        <v>32</v>
      </c>
      <c r="L339" t="s">
        <v>1066</v>
      </c>
      <c r="Q339" t="s">
        <v>632</v>
      </c>
      <c r="R339" t="s">
        <v>1012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1032</v>
      </c>
      <c r="K340" s="68" t="s">
        <v>32</v>
      </c>
      <c r="L340" t="s">
        <v>1066</v>
      </c>
      <c r="Q340" t="s">
        <v>632</v>
      </c>
      <c r="R340" t="s">
        <v>1012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1012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1049</v>
      </c>
      <c r="K342" s="68" t="s">
        <v>32</v>
      </c>
      <c r="Q342" t="s">
        <v>632</v>
      </c>
      <c r="R342" t="s">
        <v>1012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1012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1012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1044</v>
      </c>
      <c r="K345" s="68" t="s">
        <v>32</v>
      </c>
      <c r="Q345" t="s">
        <v>632</v>
      </c>
      <c r="R345" t="s">
        <v>1012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1032</v>
      </c>
      <c r="K346" s="68" t="s">
        <v>32</v>
      </c>
      <c r="Q346" t="s">
        <v>632</v>
      </c>
      <c r="R346" t="s">
        <v>1012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1012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1012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1044</v>
      </c>
      <c r="K349" s="68" t="s">
        <v>32</v>
      </c>
      <c r="Q349" t="s">
        <v>632</v>
      </c>
      <c r="R349" t="s">
        <v>1012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1013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1031</v>
      </c>
      <c r="K351" s="68" t="s">
        <v>32</v>
      </c>
      <c r="Q351" t="s">
        <v>639</v>
      </c>
      <c r="R351" t="s">
        <v>1013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1049</v>
      </c>
      <c r="K352" s="68" t="s">
        <v>32</v>
      </c>
      <c r="Q352" t="s">
        <v>639</v>
      </c>
      <c r="R352" t="s">
        <v>1013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1013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1013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1032</v>
      </c>
      <c r="K355" s="68" t="s">
        <v>32</v>
      </c>
      <c r="Q355" t="s">
        <v>639</v>
      </c>
      <c r="R355" t="s">
        <v>1013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1013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1049</v>
      </c>
      <c r="K357" s="68" t="s">
        <v>32</v>
      </c>
      <c r="Q357" t="s">
        <v>639</v>
      </c>
      <c r="R357" t="s">
        <v>1013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1013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1013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1044</v>
      </c>
      <c r="K360" s="68" t="s">
        <v>32</v>
      </c>
      <c r="Q360" t="s">
        <v>639</v>
      </c>
      <c r="R360" t="s">
        <v>1013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1032</v>
      </c>
      <c r="K361" s="68" t="s">
        <v>32</v>
      </c>
      <c r="Q361" t="s">
        <v>639</v>
      </c>
      <c r="R361" t="s">
        <v>1013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1013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1049</v>
      </c>
      <c r="K363" s="68" t="s">
        <v>32</v>
      </c>
      <c r="Q363" t="s">
        <v>639</v>
      </c>
      <c r="R363" t="s">
        <v>1013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1013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1013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1044</v>
      </c>
      <c r="K366" s="68" t="s">
        <v>32</v>
      </c>
      <c r="Q366" t="s">
        <v>639</v>
      </c>
      <c r="R366" t="s">
        <v>1013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1032</v>
      </c>
      <c r="K367" s="68" t="s">
        <v>32</v>
      </c>
      <c r="Q367" t="s">
        <v>639</v>
      </c>
      <c r="R367" t="s">
        <v>1013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1013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1013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1044</v>
      </c>
      <c r="K370" s="68" t="s">
        <v>32</v>
      </c>
      <c r="Q370" t="s">
        <v>639</v>
      </c>
      <c r="R370" t="s">
        <v>1013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1014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1031</v>
      </c>
      <c r="K372" s="68" t="s">
        <v>32</v>
      </c>
      <c r="Q372" t="s">
        <v>643</v>
      </c>
      <c r="R372" t="s">
        <v>1014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1049</v>
      </c>
      <c r="K373" s="68" t="s">
        <v>32</v>
      </c>
      <c r="Q373" t="s">
        <v>643</v>
      </c>
      <c r="R373" t="s">
        <v>1014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1014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1014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1032</v>
      </c>
      <c r="K376" s="68" t="s">
        <v>32</v>
      </c>
      <c r="Q376" t="s">
        <v>643</v>
      </c>
      <c r="R376" t="s">
        <v>1014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1066</v>
      </c>
      <c r="Q377" t="s">
        <v>643</v>
      </c>
      <c r="R377" t="s">
        <v>1014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1049</v>
      </c>
      <c r="K378" s="68" t="s">
        <v>32</v>
      </c>
      <c r="L378" t="s">
        <v>1066</v>
      </c>
      <c r="Q378" t="s">
        <v>643</v>
      </c>
      <c r="R378" t="s">
        <v>1014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1066</v>
      </c>
      <c r="Q379" t="s">
        <v>643</v>
      </c>
      <c r="R379" t="s">
        <v>1014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1043</v>
      </c>
      <c r="K380" s="68" t="s">
        <v>32</v>
      </c>
      <c r="L380" t="s">
        <v>1066</v>
      </c>
      <c r="Q380" t="s">
        <v>643</v>
      </c>
      <c r="R380" t="s">
        <v>1014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1044</v>
      </c>
      <c r="K381" s="68" t="s">
        <v>32</v>
      </c>
      <c r="L381" t="s">
        <v>1066</v>
      </c>
      <c r="Q381" t="s">
        <v>643</v>
      </c>
      <c r="R381" t="s">
        <v>1014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1032</v>
      </c>
      <c r="K382" s="68" t="s">
        <v>32</v>
      </c>
      <c r="L382" t="s">
        <v>1066</v>
      </c>
      <c r="Q382" t="s">
        <v>643</v>
      </c>
      <c r="R382" t="s">
        <v>1014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1014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1049</v>
      </c>
      <c r="K384" s="68" t="s">
        <v>32</v>
      </c>
      <c r="Q384" t="s">
        <v>643</v>
      </c>
      <c r="R384" t="s">
        <v>1014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1014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1014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1044</v>
      </c>
      <c r="K387" s="68" t="s">
        <v>32</v>
      </c>
      <c r="Q387" t="s">
        <v>643</v>
      </c>
      <c r="R387" t="s">
        <v>1014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1032</v>
      </c>
      <c r="K388" s="68" t="s">
        <v>32</v>
      </c>
      <c r="Q388" t="s">
        <v>643</v>
      </c>
      <c r="R388" t="s">
        <v>1014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1066</v>
      </c>
      <c r="Q389" t="s">
        <v>643</v>
      </c>
      <c r="R389" t="s">
        <v>1014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1066</v>
      </c>
      <c r="Q390" t="s">
        <v>643</v>
      </c>
      <c r="R390" t="s">
        <v>1014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1044</v>
      </c>
      <c r="K391" s="68" t="s">
        <v>32</v>
      </c>
      <c r="L391" t="s">
        <v>1066</v>
      </c>
      <c r="Q391" t="s">
        <v>643</v>
      </c>
      <c r="R391" t="s">
        <v>1014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1015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1031</v>
      </c>
      <c r="K393" s="68" t="s">
        <v>32</v>
      </c>
      <c r="Q393" t="s">
        <v>649</v>
      </c>
      <c r="R393" t="s">
        <v>1015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1049</v>
      </c>
      <c r="K394" s="68" t="s">
        <v>32</v>
      </c>
      <c r="Q394" t="s">
        <v>649</v>
      </c>
      <c r="R394" t="s">
        <v>1015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1015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1043</v>
      </c>
      <c r="K396" s="68" t="s">
        <v>32</v>
      </c>
      <c r="Q396" t="s">
        <v>649</v>
      </c>
      <c r="R396" t="s">
        <v>1015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1015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1032</v>
      </c>
      <c r="K398" s="68" t="s">
        <v>32</v>
      </c>
      <c r="Q398" t="s">
        <v>649</v>
      </c>
      <c r="R398" t="s">
        <v>1015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1066</v>
      </c>
      <c r="Q399" t="s">
        <v>649</v>
      </c>
      <c r="R399" t="s">
        <v>1015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1049</v>
      </c>
      <c r="K400" s="68" t="s">
        <v>32</v>
      </c>
      <c r="L400" t="s">
        <v>1066</v>
      </c>
      <c r="Q400" t="s">
        <v>649</v>
      </c>
      <c r="R400" t="s">
        <v>1015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1066</v>
      </c>
      <c r="Q401" t="s">
        <v>649</v>
      </c>
      <c r="R401" t="s">
        <v>1015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1066</v>
      </c>
      <c r="Q402" t="s">
        <v>649</v>
      </c>
      <c r="R402" t="s">
        <v>1015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1044</v>
      </c>
      <c r="K403" s="68" t="s">
        <v>32</v>
      </c>
      <c r="L403" t="s">
        <v>1066</v>
      </c>
      <c r="Q403" t="s">
        <v>649</v>
      </c>
      <c r="R403" t="s">
        <v>1015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1032</v>
      </c>
      <c r="K404" s="68" t="s">
        <v>32</v>
      </c>
      <c r="L404" t="s">
        <v>1066</v>
      </c>
      <c r="Q404" t="s">
        <v>649</v>
      </c>
      <c r="R404" t="s">
        <v>1015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1015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1049</v>
      </c>
      <c r="K406" s="68" t="s">
        <v>32</v>
      </c>
      <c r="Q406" t="s">
        <v>649</v>
      </c>
      <c r="R406" t="s">
        <v>1015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1015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1015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1044</v>
      </c>
      <c r="K409" s="68" t="s">
        <v>32</v>
      </c>
      <c r="Q409" t="s">
        <v>649</v>
      </c>
      <c r="R409" t="s">
        <v>1015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1015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1015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1044</v>
      </c>
      <c r="K412" s="68" t="s">
        <v>32</v>
      </c>
      <c r="Q412" t="s">
        <v>649</v>
      </c>
      <c r="R412" t="s">
        <v>1015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1016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1031</v>
      </c>
      <c r="K414" s="68" t="s">
        <v>32</v>
      </c>
      <c r="Q414" t="s">
        <v>650</v>
      </c>
      <c r="R414" t="s">
        <v>1016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1049</v>
      </c>
      <c r="K415" s="68" t="s">
        <v>32</v>
      </c>
      <c r="Q415" t="s">
        <v>650</v>
      </c>
      <c r="R415" t="s">
        <v>1016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1016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1016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1032</v>
      </c>
      <c r="K418" s="68" t="s">
        <v>32</v>
      </c>
      <c r="Q418" t="s">
        <v>650</v>
      </c>
      <c r="R418" t="s">
        <v>1016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1066</v>
      </c>
      <c r="Q419" t="s">
        <v>650</v>
      </c>
      <c r="R419" t="s">
        <v>1016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1049</v>
      </c>
      <c r="K420" s="68" t="s">
        <v>32</v>
      </c>
      <c r="L420" t="s">
        <v>1066</v>
      </c>
      <c r="Q420" t="s">
        <v>650</v>
      </c>
      <c r="R420" t="s">
        <v>1016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1066</v>
      </c>
      <c r="Q421" t="s">
        <v>650</v>
      </c>
      <c r="R421" t="s">
        <v>1016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1066</v>
      </c>
      <c r="Q422" t="s">
        <v>650</v>
      </c>
      <c r="R422" t="s">
        <v>1016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1044</v>
      </c>
      <c r="K423" s="68" t="s">
        <v>32</v>
      </c>
      <c r="L423" t="s">
        <v>1066</v>
      </c>
      <c r="Q423" t="s">
        <v>650</v>
      </c>
      <c r="R423" t="s">
        <v>1016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1032</v>
      </c>
      <c r="K424" s="68" t="s">
        <v>32</v>
      </c>
      <c r="L424" t="s">
        <v>1066</v>
      </c>
      <c r="Q424" t="s">
        <v>650</v>
      </c>
      <c r="R424" t="s">
        <v>1016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1066</v>
      </c>
      <c r="Q425" t="s">
        <v>650</v>
      </c>
      <c r="R425" t="s">
        <v>1016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1049</v>
      </c>
      <c r="K426" s="68" t="s">
        <v>32</v>
      </c>
      <c r="L426" t="s">
        <v>1066</v>
      </c>
      <c r="Q426" t="s">
        <v>650</v>
      </c>
      <c r="R426" t="s">
        <v>1016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1066</v>
      </c>
      <c r="Q427" t="s">
        <v>650</v>
      </c>
      <c r="R427" t="s">
        <v>1016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1066</v>
      </c>
      <c r="Q428" t="s">
        <v>650</v>
      </c>
      <c r="R428" t="s">
        <v>1016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1044</v>
      </c>
      <c r="K429" s="68" t="s">
        <v>32</v>
      </c>
      <c r="L429" t="s">
        <v>1066</v>
      </c>
      <c r="Q429" t="s">
        <v>650</v>
      </c>
      <c r="R429" t="s">
        <v>1016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1032</v>
      </c>
      <c r="K430" s="68" t="s">
        <v>32</v>
      </c>
      <c r="L430" t="s">
        <v>1066</v>
      </c>
      <c r="Q430" t="s">
        <v>650</v>
      </c>
      <c r="R430" t="s">
        <v>1016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1066</v>
      </c>
      <c r="Q431" t="s">
        <v>650</v>
      </c>
      <c r="R431" t="s">
        <v>1016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1066</v>
      </c>
      <c r="Q432" t="s">
        <v>650</v>
      </c>
      <c r="R432" t="s">
        <v>1016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1044</v>
      </c>
      <c r="K433" s="68" t="s">
        <v>32</v>
      </c>
      <c r="L433" t="s">
        <v>1066</v>
      </c>
      <c r="Q433" t="s">
        <v>650</v>
      </c>
      <c r="R433" t="s">
        <v>1016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1017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1031</v>
      </c>
      <c r="K435" s="68" t="s">
        <v>32</v>
      </c>
      <c r="Q435" t="s">
        <v>651</v>
      </c>
      <c r="R435" t="s">
        <v>1017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1049</v>
      </c>
      <c r="K436" s="68" t="s">
        <v>32</v>
      </c>
      <c r="Q436" t="s">
        <v>651</v>
      </c>
      <c r="R436" t="s">
        <v>1017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1017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1043</v>
      </c>
      <c r="K438" s="68" t="s">
        <v>32</v>
      </c>
      <c r="Q438" t="s">
        <v>651</v>
      </c>
      <c r="R438" t="s">
        <v>1017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1017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1032</v>
      </c>
      <c r="K440" s="68" t="s">
        <v>32</v>
      </c>
      <c r="Q440" t="s">
        <v>651</v>
      </c>
      <c r="R440" t="s">
        <v>1017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1066</v>
      </c>
      <c r="Q441" t="s">
        <v>651</v>
      </c>
      <c r="R441" t="s">
        <v>1017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1049</v>
      </c>
      <c r="K442" s="68" t="s">
        <v>32</v>
      </c>
      <c r="L442" t="s">
        <v>1066</v>
      </c>
      <c r="Q442" t="s">
        <v>651</v>
      </c>
      <c r="R442" t="s">
        <v>1017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1066</v>
      </c>
      <c r="Q443" t="s">
        <v>651</v>
      </c>
      <c r="R443" t="s">
        <v>1017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1043</v>
      </c>
      <c r="K444" s="68" t="s">
        <v>32</v>
      </c>
      <c r="L444" t="s">
        <v>1066</v>
      </c>
      <c r="Q444" t="s">
        <v>651</v>
      </c>
      <c r="R444" t="s">
        <v>1017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1066</v>
      </c>
      <c r="Q445" t="s">
        <v>651</v>
      </c>
      <c r="R445" t="s">
        <v>1017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1044</v>
      </c>
      <c r="K446" s="68" t="s">
        <v>32</v>
      </c>
      <c r="L446" t="s">
        <v>1066</v>
      </c>
      <c r="Q446" t="s">
        <v>651</v>
      </c>
      <c r="R446" t="s">
        <v>1017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1032</v>
      </c>
      <c r="K447" s="68" t="s">
        <v>32</v>
      </c>
      <c r="L447" t="s">
        <v>1066</v>
      </c>
      <c r="Q447" t="s">
        <v>651</v>
      </c>
      <c r="R447" t="s">
        <v>1017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1017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1049</v>
      </c>
      <c r="K449" s="68" t="s">
        <v>32</v>
      </c>
      <c r="Q449" t="s">
        <v>651</v>
      </c>
      <c r="R449" t="s">
        <v>1017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1017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1017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1017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1044</v>
      </c>
      <c r="K453" s="68" t="s">
        <v>32</v>
      </c>
      <c r="Q453" t="s">
        <v>651</v>
      </c>
      <c r="R453" t="s">
        <v>1017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1017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1017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1044</v>
      </c>
      <c r="K456" s="68" t="s">
        <v>32</v>
      </c>
      <c r="Q456" t="s">
        <v>651</v>
      </c>
      <c r="R456" t="s">
        <v>1017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1018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1031</v>
      </c>
      <c r="K458" s="68" t="s">
        <v>32</v>
      </c>
      <c r="Q458" t="s">
        <v>655</v>
      </c>
      <c r="R458" t="s">
        <v>1018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1049</v>
      </c>
      <c r="K459" s="68" t="s">
        <v>32</v>
      </c>
      <c r="Q459" t="s">
        <v>655</v>
      </c>
      <c r="R459" t="s">
        <v>1018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1018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1043</v>
      </c>
      <c r="K461" s="68" t="s">
        <v>32</v>
      </c>
      <c r="Q461" t="s">
        <v>655</v>
      </c>
      <c r="R461" t="s">
        <v>1018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1018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1032</v>
      </c>
      <c r="K463" s="68" t="s">
        <v>32</v>
      </c>
      <c r="Q463" t="s">
        <v>655</v>
      </c>
      <c r="R463" t="s">
        <v>1018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1066</v>
      </c>
      <c r="Q464" t="s">
        <v>655</v>
      </c>
      <c r="R464" t="s">
        <v>1018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1049</v>
      </c>
      <c r="K465" s="68" t="s">
        <v>32</v>
      </c>
      <c r="L465" t="s">
        <v>1066</v>
      </c>
      <c r="Q465" t="s">
        <v>655</v>
      </c>
      <c r="R465" t="s">
        <v>1018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1066</v>
      </c>
      <c r="Q466" t="s">
        <v>655</v>
      </c>
      <c r="R466" t="s">
        <v>1018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1066</v>
      </c>
      <c r="Q467" t="s">
        <v>655</v>
      </c>
      <c r="R467" t="s">
        <v>1018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1044</v>
      </c>
      <c r="K468" s="68" t="s">
        <v>32</v>
      </c>
      <c r="L468" t="s">
        <v>1066</v>
      </c>
      <c r="Q468" t="s">
        <v>655</v>
      </c>
      <c r="R468" t="s">
        <v>1018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1032</v>
      </c>
      <c r="K469" s="68" t="s">
        <v>32</v>
      </c>
      <c r="L469" t="s">
        <v>1066</v>
      </c>
      <c r="Q469" t="s">
        <v>655</v>
      </c>
      <c r="R469" t="s">
        <v>1018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1018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1049</v>
      </c>
      <c r="K471" s="68" t="s">
        <v>32</v>
      </c>
      <c r="Q471" t="s">
        <v>655</v>
      </c>
      <c r="R471" t="s">
        <v>1018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1018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1018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1044</v>
      </c>
      <c r="K474" s="68" t="s">
        <v>32</v>
      </c>
      <c r="Q474" t="s">
        <v>655</v>
      </c>
      <c r="R474" t="s">
        <v>1018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1018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1018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1044</v>
      </c>
      <c r="K477" s="68" t="s">
        <v>32</v>
      </c>
      <c r="Q477" t="s">
        <v>655</v>
      </c>
      <c r="R477" t="s">
        <v>1018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1019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1031</v>
      </c>
      <c r="K479" s="68" t="s">
        <v>32</v>
      </c>
      <c r="Q479" t="s">
        <v>658</v>
      </c>
      <c r="R479" t="s">
        <v>1019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1033</v>
      </c>
      <c r="K480" s="68" t="s">
        <v>32</v>
      </c>
      <c r="Q480" t="s">
        <v>658</v>
      </c>
      <c r="R480" t="s">
        <v>1019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1049</v>
      </c>
      <c r="K481" s="68" t="s">
        <v>32</v>
      </c>
      <c r="Q481" t="s">
        <v>658</v>
      </c>
      <c r="R481" t="s">
        <v>1019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1019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1032</v>
      </c>
      <c r="K483" s="68" t="s">
        <v>32</v>
      </c>
      <c r="Q483" t="s">
        <v>658</v>
      </c>
      <c r="R483" t="s">
        <v>1019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1066</v>
      </c>
      <c r="Q484" t="s">
        <v>658</v>
      </c>
      <c r="R484" t="s">
        <v>1019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1031</v>
      </c>
      <c r="K485" s="68" t="s">
        <v>32</v>
      </c>
      <c r="L485" t="s">
        <v>1066</v>
      </c>
      <c r="Q485" t="s">
        <v>658</v>
      </c>
      <c r="R485" t="s">
        <v>1019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1049</v>
      </c>
      <c r="K486" s="68" t="s">
        <v>32</v>
      </c>
      <c r="L486" t="s">
        <v>1066</v>
      </c>
      <c r="Q486" t="s">
        <v>658</v>
      </c>
      <c r="R486" t="s">
        <v>1019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1066</v>
      </c>
      <c r="Q487" t="s">
        <v>658</v>
      </c>
      <c r="R487" t="s">
        <v>1019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1044</v>
      </c>
      <c r="K488" s="68" t="s">
        <v>32</v>
      </c>
      <c r="L488" t="s">
        <v>1066</v>
      </c>
      <c r="Q488" t="s">
        <v>658</v>
      </c>
      <c r="R488" t="s">
        <v>1019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1054</v>
      </c>
      <c r="K489" s="68" t="s">
        <v>32</v>
      </c>
      <c r="L489" t="s">
        <v>1066</v>
      </c>
      <c r="Q489" t="s">
        <v>658</v>
      </c>
      <c r="R489" t="s">
        <v>1019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1019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1049</v>
      </c>
      <c r="K491" s="68" t="s">
        <v>32</v>
      </c>
      <c r="Q491" t="s">
        <v>658</v>
      </c>
      <c r="R491" t="s">
        <v>1019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1019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1019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1032</v>
      </c>
      <c r="K494" s="68" t="s">
        <v>32</v>
      </c>
      <c r="Q494" t="s">
        <v>658</v>
      </c>
      <c r="R494" t="s">
        <v>1019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1019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1044</v>
      </c>
      <c r="K496" s="68" t="s">
        <v>32</v>
      </c>
      <c r="Q496" t="s">
        <v>658</v>
      </c>
      <c r="R496" t="s">
        <v>1019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1020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1048</v>
      </c>
      <c r="K498" s="68" t="s">
        <v>32</v>
      </c>
      <c r="Q498" t="s">
        <v>660</v>
      </c>
      <c r="R498" t="s">
        <v>1020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1049</v>
      </c>
      <c r="K499" s="68" t="s">
        <v>32</v>
      </c>
      <c r="Q499" t="s">
        <v>660</v>
      </c>
      <c r="R499" t="s">
        <v>1020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1020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1044</v>
      </c>
      <c r="K501" s="68" t="s">
        <v>32</v>
      </c>
      <c r="Q501" t="s">
        <v>660</v>
      </c>
      <c r="R501" t="s">
        <v>1020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1032</v>
      </c>
      <c r="K502" s="68" t="s">
        <v>32</v>
      </c>
      <c r="Q502" t="s">
        <v>660</v>
      </c>
      <c r="R502" t="s">
        <v>1020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1066</v>
      </c>
      <c r="Q503" t="s">
        <v>660</v>
      </c>
      <c r="R503" t="s">
        <v>1020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1049</v>
      </c>
      <c r="K504" s="68" t="s">
        <v>32</v>
      </c>
      <c r="L504" t="s">
        <v>1066</v>
      </c>
      <c r="Q504" t="s">
        <v>660</v>
      </c>
      <c r="R504" t="s">
        <v>1020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1066</v>
      </c>
      <c r="Q505" t="s">
        <v>660</v>
      </c>
      <c r="R505" t="s">
        <v>1020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1043</v>
      </c>
      <c r="K506" s="68" t="s">
        <v>32</v>
      </c>
      <c r="L506" t="s">
        <v>1066</v>
      </c>
      <c r="Q506" t="s">
        <v>660</v>
      </c>
      <c r="R506" t="s">
        <v>1020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1066</v>
      </c>
      <c r="Q507" t="s">
        <v>660</v>
      </c>
      <c r="R507" t="s">
        <v>1020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1054</v>
      </c>
      <c r="K508" s="68" t="s">
        <v>32</v>
      </c>
      <c r="L508" t="s">
        <v>1066</v>
      </c>
      <c r="Q508" t="s">
        <v>660</v>
      </c>
      <c r="R508" t="s">
        <v>1020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1020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1049</v>
      </c>
      <c r="K510" s="68" t="s">
        <v>32</v>
      </c>
      <c r="Q510" t="s">
        <v>660</v>
      </c>
      <c r="R510" t="s">
        <v>1020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1020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1020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1032</v>
      </c>
      <c r="K513" s="68" t="s">
        <v>32</v>
      </c>
      <c r="Q513" t="s">
        <v>660</v>
      </c>
      <c r="R513" t="s">
        <v>1020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1020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1020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1066</v>
      </c>
      <c r="Q516" t="s">
        <v>632</v>
      </c>
      <c r="R516" t="s">
        <v>1012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1049</v>
      </c>
      <c r="K517" s="69" t="s">
        <v>447</v>
      </c>
      <c r="L517" t="s">
        <v>1066</v>
      </c>
      <c r="Q517" t="s">
        <v>632</v>
      </c>
      <c r="R517" t="s">
        <v>1012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1066</v>
      </c>
      <c r="Q518" t="s">
        <v>632</v>
      </c>
      <c r="R518" t="s">
        <v>1012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1066</v>
      </c>
      <c r="Q519" t="s">
        <v>632</v>
      </c>
      <c r="R519" t="s">
        <v>1012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1044</v>
      </c>
      <c r="K520" s="69" t="s">
        <v>447</v>
      </c>
      <c r="L520" t="s">
        <v>1066</v>
      </c>
      <c r="Q520" t="s">
        <v>632</v>
      </c>
      <c r="R520" t="s">
        <v>1012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1032</v>
      </c>
      <c r="K521" s="69" t="s">
        <v>447</v>
      </c>
      <c r="L521" t="s">
        <v>1066</v>
      </c>
      <c r="Q521" t="s">
        <v>632</v>
      </c>
      <c r="R521" t="s">
        <v>1012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1066</v>
      </c>
      <c r="Q522" t="s">
        <v>643</v>
      </c>
      <c r="R522" t="s">
        <v>1014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1049</v>
      </c>
      <c r="K523" s="69" t="s">
        <v>447</v>
      </c>
      <c r="L523" t="s">
        <v>1066</v>
      </c>
      <c r="Q523" t="s">
        <v>643</v>
      </c>
      <c r="R523" t="s">
        <v>1014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1066</v>
      </c>
      <c r="Q524" t="s">
        <v>643</v>
      </c>
      <c r="R524" t="s">
        <v>1014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1043</v>
      </c>
      <c r="K525" s="69" t="s">
        <v>447</v>
      </c>
      <c r="L525" t="s">
        <v>1066</v>
      </c>
      <c r="Q525" t="s">
        <v>643</v>
      </c>
      <c r="R525" t="s">
        <v>1014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1044</v>
      </c>
      <c r="K526" s="69" t="s">
        <v>447</v>
      </c>
      <c r="L526" t="s">
        <v>1066</v>
      </c>
      <c r="Q526" t="s">
        <v>643</v>
      </c>
      <c r="R526" t="s">
        <v>1014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1032</v>
      </c>
      <c r="K527" s="69" t="s">
        <v>447</v>
      </c>
      <c r="L527" t="s">
        <v>1066</v>
      </c>
      <c r="Q527" t="s">
        <v>643</v>
      </c>
      <c r="R527" t="s">
        <v>1014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1066</v>
      </c>
      <c r="Q528" t="s">
        <v>643</v>
      </c>
      <c r="R528" t="s">
        <v>1014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1066</v>
      </c>
      <c r="Q529" t="s">
        <v>643</v>
      </c>
      <c r="R529" t="s">
        <v>1014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1044</v>
      </c>
      <c r="K530" s="69" t="s">
        <v>447</v>
      </c>
      <c r="L530" t="s">
        <v>1066</v>
      </c>
      <c r="Q530" t="s">
        <v>643</v>
      </c>
      <c r="R530" t="s">
        <v>1014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1066</v>
      </c>
      <c r="Q531" t="s">
        <v>649</v>
      </c>
      <c r="R531" t="s">
        <v>1015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1031</v>
      </c>
      <c r="K532" s="69" t="s">
        <v>447</v>
      </c>
      <c r="L532" t="s">
        <v>1066</v>
      </c>
      <c r="Q532" t="s">
        <v>649</v>
      </c>
      <c r="R532" t="s">
        <v>1015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1049</v>
      </c>
      <c r="K533" s="69" t="s">
        <v>447</v>
      </c>
      <c r="L533" t="s">
        <v>1066</v>
      </c>
      <c r="Q533" t="s">
        <v>649</v>
      </c>
      <c r="R533" t="s">
        <v>1015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1066</v>
      </c>
      <c r="Q534" t="s">
        <v>649</v>
      </c>
      <c r="R534" t="s">
        <v>1015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1066</v>
      </c>
      <c r="Q535" t="s">
        <v>649</v>
      </c>
      <c r="R535" t="s">
        <v>1015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1044</v>
      </c>
      <c r="K536" s="69" t="s">
        <v>447</v>
      </c>
      <c r="L536" t="s">
        <v>1066</v>
      </c>
      <c r="Q536" t="s">
        <v>649</v>
      </c>
      <c r="R536" t="s">
        <v>1015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1066</v>
      </c>
      <c r="Q537" t="s">
        <v>650</v>
      </c>
      <c r="R537" t="s">
        <v>1015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1049</v>
      </c>
      <c r="K538" s="69" t="s">
        <v>447</v>
      </c>
      <c r="L538" t="s">
        <v>1066</v>
      </c>
      <c r="Q538" t="s">
        <v>650</v>
      </c>
      <c r="R538" t="s">
        <v>1015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1066</v>
      </c>
      <c r="Q539" t="s">
        <v>650</v>
      </c>
      <c r="R539" t="s">
        <v>1015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1066</v>
      </c>
      <c r="Q540" t="s">
        <v>650</v>
      </c>
      <c r="R540" t="s">
        <v>1015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1044</v>
      </c>
      <c r="K541" s="69" t="s">
        <v>447</v>
      </c>
      <c r="L541" t="s">
        <v>1066</v>
      </c>
      <c r="Q541" t="s">
        <v>650</v>
      </c>
      <c r="R541" t="s">
        <v>1015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1032</v>
      </c>
      <c r="K542" s="69" t="s">
        <v>447</v>
      </c>
      <c r="L542" t="s">
        <v>1066</v>
      </c>
      <c r="Q542" t="s">
        <v>650</v>
      </c>
      <c r="R542" t="s">
        <v>1015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1066</v>
      </c>
      <c r="Q543" t="s">
        <v>650</v>
      </c>
      <c r="R543" t="s">
        <v>1015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1049</v>
      </c>
      <c r="K544" s="69" t="s">
        <v>447</v>
      </c>
      <c r="L544" t="s">
        <v>1066</v>
      </c>
      <c r="Q544" t="s">
        <v>650</v>
      </c>
      <c r="R544" t="s">
        <v>1015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1066</v>
      </c>
      <c r="Q545" t="s">
        <v>650</v>
      </c>
      <c r="R545" t="s">
        <v>1015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1066</v>
      </c>
      <c r="Q546" t="s">
        <v>650</v>
      </c>
      <c r="R546" t="s">
        <v>1015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1044</v>
      </c>
      <c r="K547" s="69" t="s">
        <v>447</v>
      </c>
      <c r="L547" t="s">
        <v>1066</v>
      </c>
      <c r="Q547" t="s">
        <v>650</v>
      </c>
      <c r="R547" t="s">
        <v>1015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1032</v>
      </c>
      <c r="K548" s="69" t="s">
        <v>447</v>
      </c>
      <c r="L548" t="s">
        <v>1066</v>
      </c>
      <c r="Q548" t="s">
        <v>650</v>
      </c>
      <c r="R548" t="s">
        <v>1015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1066</v>
      </c>
      <c r="Q549" t="s">
        <v>650</v>
      </c>
      <c r="R549" t="s">
        <v>1015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1050</v>
      </c>
      <c r="K550" s="69" t="s">
        <v>447</v>
      </c>
      <c r="L550" t="s">
        <v>1066</v>
      </c>
      <c r="Q550" t="s">
        <v>650</v>
      </c>
      <c r="R550" t="s">
        <v>1015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1066</v>
      </c>
      <c r="Q551" t="s">
        <v>651</v>
      </c>
      <c r="R551" t="s">
        <v>1017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1049</v>
      </c>
      <c r="K552" s="69" t="s">
        <v>447</v>
      </c>
      <c r="L552" t="s">
        <v>1066</v>
      </c>
      <c r="Q552" t="s">
        <v>651</v>
      </c>
      <c r="R552" t="s">
        <v>1017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1066</v>
      </c>
      <c r="Q553" t="s">
        <v>651</v>
      </c>
      <c r="R553" t="s">
        <v>1017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1043</v>
      </c>
      <c r="K554" s="69" t="s">
        <v>447</v>
      </c>
      <c r="L554" t="s">
        <v>1066</v>
      </c>
      <c r="Q554" t="s">
        <v>651</v>
      </c>
      <c r="R554" t="s">
        <v>1017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1066</v>
      </c>
      <c r="Q555" t="s">
        <v>651</v>
      </c>
      <c r="R555" t="s">
        <v>1017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1044</v>
      </c>
      <c r="K556" s="69" t="s">
        <v>447</v>
      </c>
      <c r="L556" t="s">
        <v>1066</v>
      </c>
      <c r="Q556" t="s">
        <v>651</v>
      </c>
      <c r="R556" t="s">
        <v>1017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1032</v>
      </c>
      <c r="K557" s="69" t="s">
        <v>447</v>
      </c>
      <c r="L557" t="s">
        <v>1066</v>
      </c>
      <c r="Q557" t="s">
        <v>651</v>
      </c>
      <c r="R557" t="s">
        <v>1017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1066</v>
      </c>
      <c r="Q558" t="s">
        <v>655</v>
      </c>
      <c r="R558" t="s">
        <v>1018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1049</v>
      </c>
      <c r="K559" s="69" t="s">
        <v>447</v>
      </c>
      <c r="L559" t="s">
        <v>1066</v>
      </c>
      <c r="Q559" t="s">
        <v>655</v>
      </c>
      <c r="R559" t="s">
        <v>1018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1066</v>
      </c>
      <c r="Q560" t="s">
        <v>655</v>
      </c>
      <c r="R560" t="s">
        <v>1018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1066</v>
      </c>
      <c r="Q561" t="s">
        <v>655</v>
      </c>
      <c r="R561" t="s">
        <v>1018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1044</v>
      </c>
      <c r="K562" s="69" t="s">
        <v>447</v>
      </c>
      <c r="L562" t="s">
        <v>1066</v>
      </c>
      <c r="Q562" t="s">
        <v>655</v>
      </c>
      <c r="R562" t="s">
        <v>1018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1032</v>
      </c>
      <c r="K563" s="69" t="s">
        <v>447</v>
      </c>
      <c r="L563" t="s">
        <v>1066</v>
      </c>
      <c r="Q563" t="s">
        <v>655</v>
      </c>
      <c r="R563" t="s">
        <v>1018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1066</v>
      </c>
      <c r="Q564" t="s">
        <v>658</v>
      </c>
      <c r="R564" t="s">
        <v>1019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1049</v>
      </c>
      <c r="K565" s="69" t="s">
        <v>447</v>
      </c>
      <c r="L565" t="s">
        <v>1066</v>
      </c>
      <c r="Q565" t="s">
        <v>658</v>
      </c>
      <c r="R565" t="s">
        <v>1019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1066</v>
      </c>
      <c r="Q566" t="s">
        <v>658</v>
      </c>
      <c r="R566" t="s">
        <v>1019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1044</v>
      </c>
      <c r="K567" s="69" t="s">
        <v>447</v>
      </c>
      <c r="L567" t="s">
        <v>1066</v>
      </c>
      <c r="Q567" t="s">
        <v>658</v>
      </c>
      <c r="R567" t="s">
        <v>1019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1054</v>
      </c>
      <c r="K568" s="69" t="s">
        <v>447</v>
      </c>
      <c r="L568" t="s">
        <v>1066</v>
      </c>
      <c r="Q568" t="s">
        <v>658</v>
      </c>
      <c r="R568" t="s">
        <v>1019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1066</v>
      </c>
      <c r="Q569" t="s">
        <v>660</v>
      </c>
      <c r="R569" t="s">
        <v>1020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1049</v>
      </c>
      <c r="K570" s="69" t="s">
        <v>447</v>
      </c>
      <c r="L570" t="s">
        <v>1066</v>
      </c>
      <c r="Q570" t="s">
        <v>660</v>
      </c>
      <c r="R570" t="s">
        <v>1020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1066</v>
      </c>
      <c r="Q571" t="s">
        <v>660</v>
      </c>
      <c r="R571" t="s">
        <v>1020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1043</v>
      </c>
      <c r="K572" s="69" t="s">
        <v>447</v>
      </c>
      <c r="L572" t="s">
        <v>1066</v>
      </c>
      <c r="Q572" t="s">
        <v>660</v>
      </c>
      <c r="R572" t="s">
        <v>1020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1066</v>
      </c>
      <c r="Q573" t="s">
        <v>660</v>
      </c>
      <c r="R573" t="s">
        <v>1020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1054</v>
      </c>
      <c r="K574" s="69" t="s">
        <v>447</v>
      </c>
      <c r="L574" t="s">
        <v>1066</v>
      </c>
      <c r="Q574" t="s">
        <v>660</v>
      </c>
      <c r="R574" t="s">
        <v>1020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1013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1030</v>
      </c>
      <c r="K576" s="68" t="s">
        <v>32</v>
      </c>
      <c r="Q576" t="s">
        <v>666</v>
      </c>
      <c r="R576" t="s">
        <v>1013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1031</v>
      </c>
      <c r="K577" s="68" t="s">
        <v>32</v>
      </c>
      <c r="Q577" t="s">
        <v>666</v>
      </c>
      <c r="R577" t="s">
        <v>1013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1049</v>
      </c>
      <c r="K578" s="68" t="s">
        <v>32</v>
      </c>
      <c r="Q578" t="s">
        <v>666</v>
      </c>
      <c r="R578" t="s">
        <v>1013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1013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1037</v>
      </c>
      <c r="K580" s="68" t="s">
        <v>32</v>
      </c>
      <c r="Q580" t="s">
        <v>666</v>
      </c>
      <c r="R580" t="s">
        <v>1013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1013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1031</v>
      </c>
      <c r="K582" s="68" t="s">
        <v>32</v>
      </c>
      <c r="Q582" t="s">
        <v>666</v>
      </c>
      <c r="R582" t="s">
        <v>1013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1049</v>
      </c>
      <c r="K583" s="68" t="s">
        <v>32</v>
      </c>
      <c r="Q583" t="s">
        <v>666</v>
      </c>
      <c r="R583" t="s">
        <v>1013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1013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1038</v>
      </c>
      <c r="K585" s="68" t="s">
        <v>32</v>
      </c>
      <c r="Q585" t="s">
        <v>666</v>
      </c>
      <c r="R585" t="s">
        <v>1013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1013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1049</v>
      </c>
      <c r="K587" s="68" t="s">
        <v>32</v>
      </c>
      <c r="Q587" t="s">
        <v>666</v>
      </c>
      <c r="R587" t="s">
        <v>1013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1013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1047</v>
      </c>
      <c r="K589" s="68" t="s">
        <v>32</v>
      </c>
      <c r="Q589" t="s">
        <v>666</v>
      </c>
      <c r="R589" t="s">
        <v>1013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1038</v>
      </c>
      <c r="K590" s="68" t="s">
        <v>32</v>
      </c>
      <c r="Q590" t="s">
        <v>666</v>
      </c>
      <c r="R590" t="s">
        <v>1013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1013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1049</v>
      </c>
      <c r="K592" s="68" t="s">
        <v>32</v>
      </c>
      <c r="Q592" t="s">
        <v>666</v>
      </c>
      <c r="R592" t="s">
        <v>1013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1013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1047</v>
      </c>
      <c r="K594" s="68" t="s">
        <v>32</v>
      </c>
      <c r="Q594" t="s">
        <v>666</v>
      </c>
      <c r="R594" t="s">
        <v>1013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1038</v>
      </c>
      <c r="K595" s="68" t="s">
        <v>32</v>
      </c>
      <c r="Q595" t="s">
        <v>666</v>
      </c>
      <c r="R595" t="s">
        <v>1013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1013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1047</v>
      </c>
      <c r="K597" s="68" t="s">
        <v>32</v>
      </c>
      <c r="Q597" t="s">
        <v>666</v>
      </c>
      <c r="R597" t="s">
        <v>1013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1021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1030</v>
      </c>
      <c r="K599" s="68" t="s">
        <v>32</v>
      </c>
      <c r="Q599" t="s">
        <v>667</v>
      </c>
      <c r="R599" t="s">
        <v>1021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1031</v>
      </c>
      <c r="K600" s="68" t="s">
        <v>32</v>
      </c>
      <c r="Q600" t="s">
        <v>667</v>
      </c>
      <c r="R600" t="s">
        <v>1021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1049</v>
      </c>
      <c r="K601" s="68" t="s">
        <v>32</v>
      </c>
      <c r="Q601" t="s">
        <v>667</v>
      </c>
      <c r="R601" t="s">
        <v>1021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1021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1037</v>
      </c>
      <c r="K603" s="68" t="s">
        <v>32</v>
      </c>
      <c r="Q603" t="s">
        <v>667</v>
      </c>
      <c r="R603" t="s">
        <v>1021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1021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1021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1049</v>
      </c>
      <c r="K606" s="68" t="s">
        <v>32</v>
      </c>
      <c r="Q606" t="s">
        <v>667</v>
      </c>
      <c r="R606" t="s">
        <v>1021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1021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1038</v>
      </c>
      <c r="K608" s="68" t="s">
        <v>32</v>
      </c>
      <c r="Q608" t="s">
        <v>667</v>
      </c>
      <c r="R608" t="s">
        <v>1021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1021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1049</v>
      </c>
      <c r="K610" s="68" t="s">
        <v>32</v>
      </c>
      <c r="Q610" t="s">
        <v>667</v>
      </c>
      <c r="R610" t="s">
        <v>1021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1021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1047</v>
      </c>
      <c r="K612" s="68" t="s">
        <v>32</v>
      </c>
      <c r="Q612" t="s">
        <v>667</v>
      </c>
      <c r="R612" t="s">
        <v>1021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1038</v>
      </c>
      <c r="K613" s="68" t="s">
        <v>32</v>
      </c>
      <c r="Q613" t="s">
        <v>667</v>
      </c>
      <c r="R613" t="s">
        <v>1021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1066</v>
      </c>
      <c r="Q614" t="s">
        <v>667</v>
      </c>
      <c r="R614" t="s">
        <v>1021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1049</v>
      </c>
      <c r="K615" s="68" t="s">
        <v>32</v>
      </c>
      <c r="L615" t="s">
        <v>1066</v>
      </c>
      <c r="Q615" t="s">
        <v>667</v>
      </c>
      <c r="R615" t="s">
        <v>1021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1066</v>
      </c>
      <c r="Q616" t="s">
        <v>667</v>
      </c>
      <c r="R616" t="s">
        <v>1021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1047</v>
      </c>
      <c r="K617" s="68" t="s">
        <v>32</v>
      </c>
      <c r="L617" t="s">
        <v>1066</v>
      </c>
      <c r="Q617" t="s">
        <v>667</v>
      </c>
      <c r="R617" t="s">
        <v>1021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1037</v>
      </c>
      <c r="K618" s="68" t="s">
        <v>32</v>
      </c>
      <c r="L618" t="s">
        <v>1066</v>
      </c>
      <c r="Q618" t="s">
        <v>667</v>
      </c>
      <c r="R618" t="s">
        <v>1021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1038</v>
      </c>
      <c r="K619" s="68" t="s">
        <v>32</v>
      </c>
      <c r="L619" t="s">
        <v>1066</v>
      </c>
      <c r="Q619" t="s">
        <v>667</v>
      </c>
      <c r="R619" t="s">
        <v>1021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1066</v>
      </c>
      <c r="Q620" t="s">
        <v>667</v>
      </c>
      <c r="R620" t="s">
        <v>1021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1050</v>
      </c>
      <c r="K621" s="68" t="s">
        <v>32</v>
      </c>
      <c r="L621" t="s">
        <v>1066</v>
      </c>
      <c r="Q621" t="s">
        <v>667</v>
      </c>
      <c r="R621" t="s">
        <v>1021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1047</v>
      </c>
      <c r="K622" s="68" t="s">
        <v>32</v>
      </c>
      <c r="L622" t="s">
        <v>1066</v>
      </c>
      <c r="Q622" t="s">
        <v>667</v>
      </c>
      <c r="R622" t="s">
        <v>1021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1038</v>
      </c>
      <c r="K623" s="68" t="s">
        <v>32</v>
      </c>
      <c r="L623" t="s">
        <v>1066</v>
      </c>
      <c r="Q623" t="s">
        <v>667</v>
      </c>
      <c r="R623" t="s">
        <v>1021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1021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1030</v>
      </c>
      <c r="K625" s="68" t="s">
        <v>32</v>
      </c>
      <c r="Q625" t="s">
        <v>668</v>
      </c>
      <c r="R625" t="s">
        <v>1021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1031</v>
      </c>
      <c r="K626" s="68" t="s">
        <v>32</v>
      </c>
      <c r="Q626" t="s">
        <v>668</v>
      </c>
      <c r="R626" t="s">
        <v>1021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1049</v>
      </c>
      <c r="K627" s="68" t="s">
        <v>32</v>
      </c>
      <c r="Q627" t="s">
        <v>668</v>
      </c>
      <c r="R627" t="s">
        <v>1021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1021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1037</v>
      </c>
      <c r="K629" s="68" t="s">
        <v>32</v>
      </c>
      <c r="Q629" t="s">
        <v>668</v>
      </c>
      <c r="R629" t="s">
        <v>1021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1021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1021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1049</v>
      </c>
      <c r="K632" s="68" t="s">
        <v>32</v>
      </c>
      <c r="Q632" t="s">
        <v>668</v>
      </c>
      <c r="R632" t="s">
        <v>1021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1021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1046</v>
      </c>
      <c r="K634" s="68" t="s">
        <v>32</v>
      </c>
      <c r="Q634" t="s">
        <v>668</v>
      </c>
      <c r="R634" t="s">
        <v>1021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1038</v>
      </c>
      <c r="K635" s="68" t="s">
        <v>32</v>
      </c>
      <c r="Q635" t="s">
        <v>668</v>
      </c>
      <c r="R635" t="s">
        <v>1021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1021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1049</v>
      </c>
      <c r="K637" s="68" t="s">
        <v>32</v>
      </c>
      <c r="Q637" t="s">
        <v>668</v>
      </c>
      <c r="R637" t="s">
        <v>1021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1050</v>
      </c>
      <c r="K638" s="68" t="s">
        <v>32</v>
      </c>
      <c r="Q638" t="s">
        <v>668</v>
      </c>
      <c r="R638" t="s">
        <v>1021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1047</v>
      </c>
      <c r="K639" s="68" t="s">
        <v>32</v>
      </c>
      <c r="Q639" t="s">
        <v>668</v>
      </c>
      <c r="R639" t="s">
        <v>1021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1038</v>
      </c>
      <c r="K640" s="68" t="s">
        <v>32</v>
      </c>
      <c r="Q640" t="s">
        <v>668</v>
      </c>
      <c r="R640" t="s">
        <v>1021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1066</v>
      </c>
      <c r="Q641" t="s">
        <v>668</v>
      </c>
      <c r="R641" t="s">
        <v>1021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1050</v>
      </c>
      <c r="K642" s="68" t="s">
        <v>32</v>
      </c>
      <c r="L642" t="s">
        <v>1066</v>
      </c>
      <c r="Q642" t="s">
        <v>668</v>
      </c>
      <c r="R642" t="s">
        <v>1021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1047</v>
      </c>
      <c r="K643" s="68" t="s">
        <v>32</v>
      </c>
      <c r="L643" t="s">
        <v>1066</v>
      </c>
      <c r="Q643" t="s">
        <v>668</v>
      </c>
      <c r="R643" t="s">
        <v>1021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1021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1047</v>
      </c>
      <c r="K645" s="68" t="s">
        <v>32</v>
      </c>
      <c r="Q645" t="s">
        <v>668</v>
      </c>
      <c r="R645" t="s">
        <v>1021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1012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1030</v>
      </c>
      <c r="K647" s="68" t="s">
        <v>32</v>
      </c>
      <c r="Q647" t="s">
        <v>669</v>
      </c>
      <c r="R647" t="s">
        <v>1012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1031</v>
      </c>
      <c r="K648" s="68" t="s">
        <v>32</v>
      </c>
      <c r="Q648" t="s">
        <v>669</v>
      </c>
      <c r="R648" t="s">
        <v>1012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1049</v>
      </c>
      <c r="K649" s="68" t="s">
        <v>32</v>
      </c>
      <c r="Q649" t="s">
        <v>669</v>
      </c>
      <c r="R649" t="s">
        <v>1012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1012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1046</v>
      </c>
      <c r="K651" s="68" t="s">
        <v>32</v>
      </c>
      <c r="Q651" t="s">
        <v>669</v>
      </c>
      <c r="R651" t="s">
        <v>1012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1038</v>
      </c>
      <c r="K652" s="68" t="s">
        <v>32</v>
      </c>
      <c r="Q652" t="s">
        <v>669</v>
      </c>
      <c r="R652" t="s">
        <v>1012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1012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1049</v>
      </c>
      <c r="K654" s="68" t="s">
        <v>32</v>
      </c>
      <c r="Q654" t="s">
        <v>669</v>
      </c>
      <c r="R654" t="s">
        <v>1012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1012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1046</v>
      </c>
      <c r="K656" s="68" t="s">
        <v>32</v>
      </c>
      <c r="Q656" t="s">
        <v>669</v>
      </c>
      <c r="R656" t="s">
        <v>1012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1038</v>
      </c>
      <c r="K657" s="68" t="s">
        <v>32</v>
      </c>
      <c r="Q657" t="s">
        <v>669</v>
      </c>
      <c r="R657" t="s">
        <v>1012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1012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1049</v>
      </c>
      <c r="K659" s="68" t="s">
        <v>32</v>
      </c>
      <c r="Q659" t="s">
        <v>669</v>
      </c>
      <c r="R659" t="s">
        <v>1012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1012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1037</v>
      </c>
      <c r="K661" s="68" t="s">
        <v>32</v>
      </c>
      <c r="Q661" t="s">
        <v>669</v>
      </c>
      <c r="R661" t="s">
        <v>1012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1047</v>
      </c>
      <c r="K662" s="68" t="s">
        <v>32</v>
      </c>
      <c r="Q662" t="s">
        <v>669</v>
      </c>
      <c r="R662" t="s">
        <v>1012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1066</v>
      </c>
      <c r="Q663" t="s">
        <v>669</v>
      </c>
      <c r="R663" t="s">
        <v>1012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1049</v>
      </c>
      <c r="K664" s="68" t="s">
        <v>32</v>
      </c>
      <c r="L664" t="s">
        <v>1066</v>
      </c>
      <c r="Q664" t="s">
        <v>669</v>
      </c>
      <c r="R664" t="s">
        <v>1012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1066</v>
      </c>
      <c r="Q665" t="s">
        <v>669</v>
      </c>
      <c r="R665" t="s">
        <v>1012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1047</v>
      </c>
      <c r="K666" s="68" t="s">
        <v>32</v>
      </c>
      <c r="L666" t="s">
        <v>1066</v>
      </c>
      <c r="Q666" t="s">
        <v>669</v>
      </c>
      <c r="R666" t="s">
        <v>1012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1038</v>
      </c>
      <c r="K667" s="68" t="s">
        <v>32</v>
      </c>
      <c r="L667" t="s">
        <v>1066</v>
      </c>
      <c r="Q667" t="s">
        <v>669</v>
      </c>
      <c r="R667" t="s">
        <v>1012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1012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1047</v>
      </c>
      <c r="K669" s="68" t="s">
        <v>32</v>
      </c>
      <c r="Q669" t="s">
        <v>669</v>
      </c>
      <c r="R669" t="s">
        <v>1012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1038</v>
      </c>
      <c r="K670" s="68" t="s">
        <v>32</v>
      </c>
      <c r="Q670" t="s">
        <v>669</v>
      </c>
      <c r="R670" t="s">
        <v>1012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1022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1030</v>
      </c>
      <c r="K672" s="68" t="s">
        <v>32</v>
      </c>
      <c r="Q672" t="s">
        <v>670</v>
      </c>
      <c r="R672" t="s">
        <v>1022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1031</v>
      </c>
      <c r="K673" s="68" t="s">
        <v>32</v>
      </c>
      <c r="Q673" t="s">
        <v>670</v>
      </c>
      <c r="R673" t="s">
        <v>1022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1049</v>
      </c>
      <c r="K674" s="68" t="s">
        <v>32</v>
      </c>
      <c r="Q674" t="s">
        <v>670</v>
      </c>
      <c r="R674" t="s">
        <v>1022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1022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1037</v>
      </c>
      <c r="K676" s="68" t="s">
        <v>32</v>
      </c>
      <c r="Q676" t="s">
        <v>670</v>
      </c>
      <c r="R676" t="s">
        <v>1022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1022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1049</v>
      </c>
      <c r="K678" s="68" t="s">
        <v>32</v>
      </c>
      <c r="Q678" t="s">
        <v>670</v>
      </c>
      <c r="R678" t="s">
        <v>1022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1022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1046</v>
      </c>
      <c r="K680" s="68" t="s">
        <v>32</v>
      </c>
      <c r="Q680" t="s">
        <v>670</v>
      </c>
      <c r="R680" t="s">
        <v>1022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1037</v>
      </c>
      <c r="K681" s="68" t="s">
        <v>32</v>
      </c>
      <c r="Q681" t="s">
        <v>670</v>
      </c>
      <c r="R681" t="s">
        <v>1022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1022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1049</v>
      </c>
      <c r="K683" s="68" t="s">
        <v>32</v>
      </c>
      <c r="Q683" t="s">
        <v>670</v>
      </c>
      <c r="R683" t="s">
        <v>1022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1022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1047</v>
      </c>
      <c r="K685" s="68" t="s">
        <v>32</v>
      </c>
      <c r="Q685" t="s">
        <v>670</v>
      </c>
      <c r="R685" t="s">
        <v>1022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1038</v>
      </c>
      <c r="K686" s="68" t="s">
        <v>32</v>
      </c>
      <c r="Q686" t="s">
        <v>670</v>
      </c>
      <c r="R686" t="s">
        <v>1022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1066</v>
      </c>
      <c r="Q687" t="s">
        <v>670</v>
      </c>
      <c r="R687" t="s">
        <v>1022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1049</v>
      </c>
      <c r="K688" s="68" t="s">
        <v>32</v>
      </c>
      <c r="L688" t="s">
        <v>1066</v>
      </c>
      <c r="Q688" t="s">
        <v>670</v>
      </c>
      <c r="R688" t="s">
        <v>1022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1066</v>
      </c>
      <c r="Q689" t="s">
        <v>670</v>
      </c>
      <c r="R689" t="s">
        <v>1022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1047</v>
      </c>
      <c r="K690" s="68" t="s">
        <v>32</v>
      </c>
      <c r="L690" t="s">
        <v>1066</v>
      </c>
      <c r="Q690" t="s">
        <v>670</v>
      </c>
      <c r="R690" t="s">
        <v>1022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1038</v>
      </c>
      <c r="K691" s="68" t="s">
        <v>32</v>
      </c>
      <c r="L691" t="s">
        <v>1066</v>
      </c>
      <c r="Q691" t="s">
        <v>670</v>
      </c>
      <c r="R691" t="s">
        <v>1022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1022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1050</v>
      </c>
      <c r="K693" s="68" t="s">
        <v>32</v>
      </c>
      <c r="Q693" t="s">
        <v>670</v>
      </c>
      <c r="R693" t="s">
        <v>1022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1047</v>
      </c>
      <c r="K694" s="68" t="s">
        <v>32</v>
      </c>
      <c r="Q694" t="s">
        <v>670</v>
      </c>
      <c r="R694" t="s">
        <v>1022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1023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1030</v>
      </c>
      <c r="K696" s="68" t="s">
        <v>32</v>
      </c>
      <c r="Q696" t="s">
        <v>671</v>
      </c>
      <c r="R696" t="s">
        <v>1023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1031</v>
      </c>
      <c r="K697" s="68" t="s">
        <v>32</v>
      </c>
      <c r="Q697" t="s">
        <v>671</v>
      </c>
      <c r="R697" t="s">
        <v>1023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1049</v>
      </c>
      <c r="K698" s="68" t="s">
        <v>32</v>
      </c>
      <c r="Q698" t="s">
        <v>671</v>
      </c>
      <c r="R698" t="s">
        <v>1023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1023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1037</v>
      </c>
      <c r="K700" s="68" t="s">
        <v>32</v>
      </c>
      <c r="Q700" t="s">
        <v>671</v>
      </c>
      <c r="R700" t="s">
        <v>1023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1023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1023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1049</v>
      </c>
      <c r="K703" s="68" t="s">
        <v>32</v>
      </c>
      <c r="Q703" t="s">
        <v>671</v>
      </c>
      <c r="R703" t="s">
        <v>1023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1023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1046</v>
      </c>
      <c r="K705" s="68" t="s">
        <v>32</v>
      </c>
      <c r="Q705" t="s">
        <v>671</v>
      </c>
      <c r="R705" t="s">
        <v>1023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1038</v>
      </c>
      <c r="K706" s="68" t="s">
        <v>32</v>
      </c>
      <c r="Q706" t="s">
        <v>671</v>
      </c>
      <c r="R706" t="s">
        <v>1023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1023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1049</v>
      </c>
      <c r="K708" s="68" t="s">
        <v>32</v>
      </c>
      <c r="Q708" t="s">
        <v>671</v>
      </c>
      <c r="R708" t="s">
        <v>1023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1023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1047</v>
      </c>
      <c r="K710" s="68" t="s">
        <v>32</v>
      </c>
      <c r="Q710" t="s">
        <v>671</v>
      </c>
      <c r="R710" t="s">
        <v>1023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1038</v>
      </c>
      <c r="K711" s="68" t="s">
        <v>32</v>
      </c>
      <c r="Q711" t="s">
        <v>671</v>
      </c>
      <c r="R711" t="s">
        <v>1023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1066</v>
      </c>
      <c r="Q712" t="s">
        <v>671</v>
      </c>
      <c r="R712" t="s">
        <v>1023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1049</v>
      </c>
      <c r="K713" s="68" t="s">
        <v>32</v>
      </c>
      <c r="L713" t="s">
        <v>1066</v>
      </c>
      <c r="Q713" t="s">
        <v>671</v>
      </c>
      <c r="R713" t="s">
        <v>1023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1066</v>
      </c>
      <c r="Q714" t="s">
        <v>671</v>
      </c>
      <c r="R714" t="s">
        <v>1023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1047</v>
      </c>
      <c r="K715" s="68" t="s">
        <v>32</v>
      </c>
      <c r="L715" t="s">
        <v>1066</v>
      </c>
      <c r="Q715" t="s">
        <v>671</v>
      </c>
      <c r="R715" t="s">
        <v>1023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1023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1050</v>
      </c>
      <c r="K717" s="68" t="s">
        <v>32</v>
      </c>
      <c r="Q717" t="s">
        <v>671</v>
      </c>
      <c r="R717" t="s">
        <v>1023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1024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1030</v>
      </c>
      <c r="K719" s="68" t="s">
        <v>32</v>
      </c>
      <c r="Q719" t="s">
        <v>672</v>
      </c>
      <c r="R719" t="s">
        <v>1024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1031</v>
      </c>
      <c r="K720" s="68" t="s">
        <v>32</v>
      </c>
      <c r="Q720" t="s">
        <v>672</v>
      </c>
      <c r="R720" t="s">
        <v>1024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1049</v>
      </c>
      <c r="K721" s="68" t="s">
        <v>32</v>
      </c>
      <c r="Q721" t="s">
        <v>672</v>
      </c>
      <c r="R721" t="s">
        <v>1024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1024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1066</v>
      </c>
      <c r="Q723" t="s">
        <v>672</v>
      </c>
      <c r="R723" t="s">
        <v>1024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1031</v>
      </c>
      <c r="K724" s="68" t="s">
        <v>32</v>
      </c>
      <c r="L724" t="s">
        <v>1066</v>
      </c>
      <c r="Q724" t="s">
        <v>672</v>
      </c>
      <c r="R724" t="s">
        <v>1024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1049</v>
      </c>
      <c r="K725" s="68" t="s">
        <v>32</v>
      </c>
      <c r="L725" t="s">
        <v>1066</v>
      </c>
      <c r="Q725" t="s">
        <v>672</v>
      </c>
      <c r="R725" t="s">
        <v>1024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1066</v>
      </c>
      <c r="Q726" t="s">
        <v>672</v>
      </c>
      <c r="R726" t="s">
        <v>1024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1038</v>
      </c>
      <c r="K727" s="68" t="s">
        <v>32</v>
      </c>
      <c r="L727" t="s">
        <v>1066</v>
      </c>
      <c r="Q727" t="s">
        <v>672</v>
      </c>
      <c r="R727" t="s">
        <v>1024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1066</v>
      </c>
      <c r="Q728" t="s">
        <v>672</v>
      </c>
      <c r="R728" t="s">
        <v>1024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1049</v>
      </c>
      <c r="K729" s="68" t="s">
        <v>32</v>
      </c>
      <c r="L729" t="s">
        <v>1066</v>
      </c>
      <c r="Q729" t="s">
        <v>672</v>
      </c>
      <c r="R729" t="s">
        <v>1024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1066</v>
      </c>
      <c r="Q730" t="s">
        <v>672</v>
      </c>
      <c r="R730" t="s">
        <v>1024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1038</v>
      </c>
      <c r="K731" s="68" t="s">
        <v>32</v>
      </c>
      <c r="L731" t="s">
        <v>1066</v>
      </c>
      <c r="Q731" t="s">
        <v>672</v>
      </c>
      <c r="R731" t="s">
        <v>1024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1066</v>
      </c>
      <c r="Q732" t="s">
        <v>672</v>
      </c>
      <c r="R732" t="s">
        <v>1024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1049</v>
      </c>
      <c r="K733" s="68" t="s">
        <v>32</v>
      </c>
      <c r="L733" t="s">
        <v>1066</v>
      </c>
      <c r="Q733" t="s">
        <v>672</v>
      </c>
      <c r="R733" t="s">
        <v>1024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1034</v>
      </c>
      <c r="K734" s="68" t="s">
        <v>32</v>
      </c>
      <c r="L734" t="s">
        <v>1066</v>
      </c>
      <c r="Q734" t="s">
        <v>672</v>
      </c>
      <c r="R734" t="s">
        <v>1024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1047</v>
      </c>
      <c r="K735" s="68" t="s">
        <v>32</v>
      </c>
      <c r="L735" t="s">
        <v>1066</v>
      </c>
      <c r="Q735" t="s">
        <v>672</v>
      </c>
      <c r="R735" t="s">
        <v>1024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1024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1050</v>
      </c>
      <c r="K737" s="68" t="s">
        <v>32</v>
      </c>
      <c r="Q737" t="s">
        <v>672</v>
      </c>
      <c r="R737" t="s">
        <v>1024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1047</v>
      </c>
      <c r="K738" s="68" t="s">
        <v>32</v>
      </c>
      <c r="Q738" t="s">
        <v>672</v>
      </c>
      <c r="R738" t="s">
        <v>1024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1025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1040</v>
      </c>
      <c r="K740" s="68" t="s">
        <v>32</v>
      </c>
      <c r="Q740" t="s">
        <v>673</v>
      </c>
      <c r="R740" t="s">
        <v>1025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1031</v>
      </c>
      <c r="K741" s="68" t="s">
        <v>32</v>
      </c>
      <c r="Q741" t="s">
        <v>673</v>
      </c>
      <c r="R741" t="s">
        <v>1025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1049</v>
      </c>
      <c r="K742" s="68" t="s">
        <v>32</v>
      </c>
      <c r="Q742" t="s">
        <v>673</v>
      </c>
      <c r="R742" t="s">
        <v>1025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1025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1039</v>
      </c>
      <c r="K744" s="68" t="s">
        <v>32</v>
      </c>
      <c r="Q744" t="s">
        <v>673</v>
      </c>
      <c r="R744" t="s">
        <v>1025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1037</v>
      </c>
      <c r="K745" s="68" t="s">
        <v>32</v>
      </c>
      <c r="Q745" t="s">
        <v>673</v>
      </c>
      <c r="R745" t="s">
        <v>1025</v>
      </c>
    </row>
    <row r="746" spans="1:18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1066</v>
      </c>
      <c r="N746" s="77" t="s">
        <v>1005</v>
      </c>
      <c r="O746" s="77" t="s">
        <v>27</v>
      </c>
      <c r="P746" s="77">
        <v>10</v>
      </c>
      <c r="Q746" t="s">
        <v>673</v>
      </c>
      <c r="R746" t="s">
        <v>1025</v>
      </c>
    </row>
    <row r="747" spans="1:18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1066</v>
      </c>
      <c r="N747" s="77" t="s">
        <v>1005</v>
      </c>
      <c r="O747" s="77" t="s">
        <v>24</v>
      </c>
      <c r="P747" s="77">
        <v>10</v>
      </c>
      <c r="Q747" t="s">
        <v>673</v>
      </c>
      <c r="R747" t="s">
        <v>1025</v>
      </c>
    </row>
    <row r="748" spans="1:18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1001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1066</v>
      </c>
      <c r="N748" s="77" t="s">
        <v>1005</v>
      </c>
      <c r="O748" s="77" t="s">
        <v>24</v>
      </c>
      <c r="P748" s="77">
        <v>10</v>
      </c>
      <c r="Q748" t="s">
        <v>673</v>
      </c>
      <c r="R748" t="s">
        <v>1025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1040</v>
      </c>
      <c r="K749" s="68" t="s">
        <v>32</v>
      </c>
      <c r="L749" t="s">
        <v>1066</v>
      </c>
      <c r="Q749" t="s">
        <v>673</v>
      </c>
      <c r="R749" t="s">
        <v>1025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1049</v>
      </c>
      <c r="K750" s="68" t="s">
        <v>32</v>
      </c>
      <c r="L750" t="s">
        <v>1066</v>
      </c>
      <c r="Q750" t="s">
        <v>673</v>
      </c>
      <c r="R750" t="s">
        <v>1025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1042</v>
      </c>
      <c r="K751" s="68" t="s">
        <v>32</v>
      </c>
      <c r="L751" t="s">
        <v>1066</v>
      </c>
      <c r="Q751" t="s">
        <v>673</v>
      </c>
      <c r="R751" t="s">
        <v>1025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1037</v>
      </c>
      <c r="K752" s="68" t="s">
        <v>32</v>
      </c>
      <c r="L752" t="s">
        <v>1066</v>
      </c>
      <c r="Q752" t="s">
        <v>673</v>
      </c>
      <c r="R752" t="s">
        <v>1025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1051</v>
      </c>
      <c r="K753" s="68" t="s">
        <v>32</v>
      </c>
      <c r="L753" t="s">
        <v>1066</v>
      </c>
      <c r="Q753" t="s">
        <v>673</v>
      </c>
      <c r="R753" t="s">
        <v>1025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1035</v>
      </c>
      <c r="K754" s="68" t="s">
        <v>32</v>
      </c>
      <c r="L754" t="s">
        <v>1066</v>
      </c>
      <c r="Q754" t="s">
        <v>673</v>
      </c>
      <c r="R754" t="s">
        <v>1025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1041</v>
      </c>
      <c r="K755" s="68" t="s">
        <v>32</v>
      </c>
      <c r="L755" t="s">
        <v>1066</v>
      </c>
      <c r="Q755" t="s">
        <v>673</v>
      </c>
      <c r="R755" t="s">
        <v>1025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1045</v>
      </c>
      <c r="K756" s="68" t="s">
        <v>32</v>
      </c>
      <c r="L756" t="s">
        <v>1066</v>
      </c>
      <c r="Q756" t="s">
        <v>673</v>
      </c>
      <c r="R756" t="s">
        <v>1025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1037</v>
      </c>
      <c r="K757" s="68" t="s">
        <v>32</v>
      </c>
      <c r="L757" t="s">
        <v>1066</v>
      </c>
      <c r="Q757" t="s">
        <v>673</v>
      </c>
      <c r="R757" t="s">
        <v>1025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1051</v>
      </c>
      <c r="K758" s="68" t="s">
        <v>32</v>
      </c>
      <c r="Q758" t="s">
        <v>673</v>
      </c>
      <c r="R758" t="s">
        <v>1025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1035</v>
      </c>
      <c r="K759" s="68" t="s">
        <v>32</v>
      </c>
      <c r="Q759" t="s">
        <v>673</v>
      </c>
      <c r="R759" t="s">
        <v>1025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1053</v>
      </c>
      <c r="K760" s="68" t="s">
        <v>32</v>
      </c>
      <c r="Q760" t="s">
        <v>673</v>
      </c>
      <c r="R760" t="s">
        <v>1025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1038</v>
      </c>
      <c r="K761" s="68" t="s">
        <v>32</v>
      </c>
      <c r="Q761" t="s">
        <v>673</v>
      </c>
      <c r="R761" t="s">
        <v>1025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1025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1050</v>
      </c>
      <c r="K763" s="68" t="s">
        <v>32</v>
      </c>
      <c r="Q763" t="s">
        <v>673</v>
      </c>
      <c r="R763" t="s">
        <v>1025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1026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1040</v>
      </c>
      <c r="K765" s="68" t="s">
        <v>32</v>
      </c>
      <c r="Q765" t="s">
        <v>674</v>
      </c>
      <c r="R765" t="s">
        <v>1026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1031</v>
      </c>
      <c r="K766" s="68" t="s">
        <v>32</v>
      </c>
      <c r="Q766" t="s">
        <v>674</v>
      </c>
      <c r="R766" t="s">
        <v>1026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1049</v>
      </c>
      <c r="K767" s="68" t="s">
        <v>32</v>
      </c>
      <c r="Q767" t="s">
        <v>674</v>
      </c>
      <c r="R767" t="s">
        <v>1026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1026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1039</v>
      </c>
      <c r="K769" s="68" t="s">
        <v>32</v>
      </c>
      <c r="Q769" t="s">
        <v>674</v>
      </c>
      <c r="R769" t="s">
        <v>1026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1037</v>
      </c>
      <c r="K770" s="68" t="s">
        <v>32</v>
      </c>
      <c r="Q770" t="s">
        <v>674</v>
      </c>
      <c r="R770" t="s">
        <v>1026</v>
      </c>
    </row>
    <row r="771" spans="1:18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1066</v>
      </c>
      <c r="N771" s="77" t="s">
        <v>1005</v>
      </c>
      <c r="O771" s="77" t="s">
        <v>27</v>
      </c>
      <c r="P771" s="77">
        <v>10</v>
      </c>
      <c r="Q771" t="s">
        <v>674</v>
      </c>
      <c r="R771" t="s">
        <v>1026</v>
      </c>
    </row>
    <row r="772" spans="1:18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1066</v>
      </c>
      <c r="N772" s="77" t="s">
        <v>1005</v>
      </c>
      <c r="O772" s="77" t="s">
        <v>24</v>
      </c>
      <c r="P772" s="77">
        <v>10</v>
      </c>
      <c r="Q772" t="s">
        <v>674</v>
      </c>
      <c r="R772" t="s">
        <v>1026</v>
      </c>
    </row>
    <row r="773" spans="1:18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1001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1066</v>
      </c>
      <c r="N773" s="77" t="s">
        <v>1005</v>
      </c>
      <c r="O773" s="77" t="s">
        <v>24</v>
      </c>
      <c r="P773" s="77">
        <v>10</v>
      </c>
      <c r="Q773" t="s">
        <v>674</v>
      </c>
      <c r="R773" t="s">
        <v>1026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1035</v>
      </c>
      <c r="K774" s="68" t="s">
        <v>32</v>
      </c>
      <c r="L774" t="s">
        <v>1066</v>
      </c>
      <c r="Q774" t="s">
        <v>674</v>
      </c>
      <c r="R774" t="s">
        <v>1026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1051</v>
      </c>
      <c r="K775" s="68" t="s">
        <v>32</v>
      </c>
      <c r="L775" t="s">
        <v>1066</v>
      </c>
      <c r="Q775" t="s">
        <v>674</v>
      </c>
      <c r="R775" t="s">
        <v>1026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1035</v>
      </c>
      <c r="K776" s="68" t="s">
        <v>32</v>
      </c>
      <c r="L776" t="s">
        <v>1066</v>
      </c>
      <c r="Q776" t="s">
        <v>674</v>
      </c>
      <c r="R776" t="s">
        <v>1026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1041</v>
      </c>
      <c r="K777" s="68" t="s">
        <v>32</v>
      </c>
      <c r="L777" t="s">
        <v>1066</v>
      </c>
      <c r="Q777" t="s">
        <v>674</v>
      </c>
      <c r="R777" t="s">
        <v>1026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1045</v>
      </c>
      <c r="K778" s="68" t="s">
        <v>32</v>
      </c>
      <c r="L778" t="s">
        <v>1066</v>
      </c>
      <c r="Q778" t="s">
        <v>674</v>
      </c>
      <c r="R778" t="s">
        <v>1026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1037</v>
      </c>
      <c r="K779" s="68" t="s">
        <v>32</v>
      </c>
      <c r="L779" t="s">
        <v>1066</v>
      </c>
      <c r="Q779" t="s">
        <v>674</v>
      </c>
      <c r="R779" t="s">
        <v>1026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1051</v>
      </c>
      <c r="K780" s="68" t="s">
        <v>32</v>
      </c>
      <c r="Q780" t="s">
        <v>674</v>
      </c>
      <c r="R780" t="s">
        <v>1026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1035</v>
      </c>
      <c r="K781" s="68" t="s">
        <v>32</v>
      </c>
      <c r="Q781" t="s">
        <v>674</v>
      </c>
      <c r="R781" t="s">
        <v>1026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1053</v>
      </c>
      <c r="K782" s="68" t="s">
        <v>32</v>
      </c>
      <c r="Q782" t="s">
        <v>674</v>
      </c>
      <c r="R782" t="s">
        <v>1026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1038</v>
      </c>
      <c r="K783" s="68" t="s">
        <v>32</v>
      </c>
      <c r="Q783" t="s">
        <v>674</v>
      </c>
      <c r="R783" t="s">
        <v>1026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1026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1050</v>
      </c>
      <c r="K785" s="68" t="s">
        <v>32</v>
      </c>
      <c r="Q785" t="s">
        <v>674</v>
      </c>
      <c r="R785" t="s">
        <v>1026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1027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1040</v>
      </c>
      <c r="K787" s="68" t="s">
        <v>32</v>
      </c>
      <c r="Q787" t="s">
        <v>675</v>
      </c>
      <c r="R787" t="s">
        <v>1027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1031</v>
      </c>
      <c r="K788" s="68" t="s">
        <v>32</v>
      </c>
      <c r="Q788" t="s">
        <v>675</v>
      </c>
      <c r="R788" t="s">
        <v>1027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1049</v>
      </c>
      <c r="K789" s="68" t="s">
        <v>32</v>
      </c>
      <c r="Q789" t="s">
        <v>675</v>
      </c>
      <c r="R789" t="s">
        <v>1027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1027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1039</v>
      </c>
      <c r="K791" s="68" t="s">
        <v>32</v>
      </c>
      <c r="Q791" t="s">
        <v>675</v>
      </c>
      <c r="R791" t="s">
        <v>1027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1037</v>
      </c>
      <c r="K792" s="68" t="s">
        <v>32</v>
      </c>
      <c r="Q792" t="s">
        <v>675</v>
      </c>
      <c r="R792" t="s">
        <v>1027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1066</v>
      </c>
      <c r="Q793" t="s">
        <v>675</v>
      </c>
      <c r="R793" t="s">
        <v>1027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1040</v>
      </c>
      <c r="K794" s="68" t="s">
        <v>32</v>
      </c>
      <c r="L794" t="s">
        <v>1066</v>
      </c>
      <c r="Q794" t="s">
        <v>675</v>
      </c>
      <c r="R794" t="s">
        <v>1027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1031</v>
      </c>
      <c r="K795" s="68" t="s">
        <v>32</v>
      </c>
      <c r="L795" t="s">
        <v>1066</v>
      </c>
      <c r="Q795" t="s">
        <v>675</v>
      </c>
      <c r="R795" t="s">
        <v>1027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1049</v>
      </c>
      <c r="K796" s="68" t="s">
        <v>32</v>
      </c>
      <c r="L796" t="s">
        <v>1066</v>
      </c>
      <c r="Q796" t="s">
        <v>675</v>
      </c>
      <c r="R796" t="s">
        <v>1027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1066</v>
      </c>
      <c r="Q797" t="s">
        <v>675</v>
      </c>
      <c r="R797" t="s">
        <v>1027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1042</v>
      </c>
      <c r="K798" s="68" t="s">
        <v>32</v>
      </c>
      <c r="L798" t="s">
        <v>1066</v>
      </c>
      <c r="Q798" t="s">
        <v>675</v>
      </c>
      <c r="R798" t="s">
        <v>1027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1037</v>
      </c>
      <c r="K799" s="68" t="s">
        <v>32</v>
      </c>
      <c r="L799" t="s">
        <v>1066</v>
      </c>
      <c r="Q799" t="s">
        <v>675</v>
      </c>
      <c r="R799" t="s">
        <v>1027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1066</v>
      </c>
      <c r="Q800" t="s">
        <v>675</v>
      </c>
      <c r="R800" t="s">
        <v>1027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1052</v>
      </c>
      <c r="K801" s="68" t="s">
        <v>32</v>
      </c>
      <c r="L801" t="s">
        <v>1066</v>
      </c>
      <c r="Q801" t="s">
        <v>675</v>
      </c>
      <c r="R801" t="s">
        <v>1027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1045</v>
      </c>
      <c r="K802" s="68" t="s">
        <v>32</v>
      </c>
      <c r="L802" t="s">
        <v>1066</v>
      </c>
      <c r="Q802" t="s">
        <v>675</v>
      </c>
      <c r="R802" t="s">
        <v>1027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1038</v>
      </c>
      <c r="K803" s="68" t="s">
        <v>32</v>
      </c>
      <c r="L803" t="s">
        <v>1066</v>
      </c>
      <c r="Q803" t="s">
        <v>675</v>
      </c>
      <c r="R803" t="s">
        <v>1027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1051</v>
      </c>
      <c r="K804" s="68" t="s">
        <v>32</v>
      </c>
      <c r="Q804" t="s">
        <v>675</v>
      </c>
      <c r="R804" t="s">
        <v>1027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1035</v>
      </c>
      <c r="K805" s="68" t="s">
        <v>32</v>
      </c>
      <c r="Q805" t="s">
        <v>675</v>
      </c>
      <c r="R805" t="s">
        <v>1027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1038</v>
      </c>
      <c r="K806" s="68" t="s">
        <v>32</v>
      </c>
      <c r="Q806" t="s">
        <v>675</v>
      </c>
      <c r="R806" t="s">
        <v>1027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1027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1050</v>
      </c>
      <c r="K808" s="68" t="s">
        <v>32</v>
      </c>
      <c r="Q808" t="s">
        <v>675</v>
      </c>
      <c r="R808" t="s">
        <v>1027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1028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1040</v>
      </c>
      <c r="K810" s="68" t="s">
        <v>32</v>
      </c>
      <c r="Q810" t="s">
        <v>676</v>
      </c>
      <c r="R810" t="s">
        <v>1028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1031</v>
      </c>
      <c r="K811" s="68" t="s">
        <v>32</v>
      </c>
      <c r="Q811" t="s">
        <v>676</v>
      </c>
      <c r="R811" t="s">
        <v>1028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1049</v>
      </c>
      <c r="K812" s="68" t="s">
        <v>32</v>
      </c>
      <c r="Q812" t="s">
        <v>676</v>
      </c>
      <c r="R812" t="s">
        <v>1028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1028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1039</v>
      </c>
      <c r="K814" s="68" t="s">
        <v>32</v>
      </c>
      <c r="Q814" t="s">
        <v>676</v>
      </c>
      <c r="R814" t="s">
        <v>1028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1037</v>
      </c>
      <c r="K815" s="68" t="s">
        <v>32</v>
      </c>
      <c r="Q815" t="s">
        <v>676</v>
      </c>
      <c r="R815" t="s">
        <v>1028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1066</v>
      </c>
      <c r="Q816" t="s">
        <v>676</v>
      </c>
      <c r="R816" t="s">
        <v>1028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1049</v>
      </c>
      <c r="K817" s="68" t="s">
        <v>32</v>
      </c>
      <c r="L817" t="s">
        <v>1066</v>
      </c>
      <c r="Q817" t="s">
        <v>676</v>
      </c>
      <c r="R817" t="s">
        <v>1028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1066</v>
      </c>
      <c r="Q818" t="s">
        <v>676</v>
      </c>
      <c r="R818" t="s">
        <v>1028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1037</v>
      </c>
      <c r="K819" s="68" t="s">
        <v>32</v>
      </c>
      <c r="L819" t="s">
        <v>1066</v>
      </c>
      <c r="Q819" t="s">
        <v>676</v>
      </c>
      <c r="R819" t="s">
        <v>1028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1066</v>
      </c>
      <c r="Q820" t="s">
        <v>676</v>
      </c>
      <c r="R820" t="s">
        <v>1028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1052</v>
      </c>
      <c r="K821" s="68" t="s">
        <v>32</v>
      </c>
      <c r="L821" t="s">
        <v>1066</v>
      </c>
      <c r="Q821" t="s">
        <v>676</v>
      </c>
      <c r="R821" t="s">
        <v>1028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1045</v>
      </c>
      <c r="K822" s="68" t="s">
        <v>32</v>
      </c>
      <c r="L822" t="s">
        <v>1066</v>
      </c>
      <c r="Q822" t="s">
        <v>676</v>
      </c>
      <c r="R822" t="s">
        <v>1028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1038</v>
      </c>
      <c r="K823" s="68" t="s">
        <v>32</v>
      </c>
      <c r="L823" t="s">
        <v>1066</v>
      </c>
      <c r="Q823" t="s">
        <v>676</v>
      </c>
      <c r="R823" t="s">
        <v>1028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1051</v>
      </c>
      <c r="K824" s="68" t="s">
        <v>32</v>
      </c>
      <c r="Q824" t="s">
        <v>676</v>
      </c>
      <c r="R824" t="s">
        <v>1028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1035</v>
      </c>
      <c r="K825" s="68" t="s">
        <v>32</v>
      </c>
      <c r="Q825" t="s">
        <v>676</v>
      </c>
      <c r="R825" t="s">
        <v>1028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1038</v>
      </c>
      <c r="K826" s="68" t="s">
        <v>32</v>
      </c>
      <c r="Q826" t="s">
        <v>676</v>
      </c>
      <c r="R826" t="s">
        <v>1028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1028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1050</v>
      </c>
      <c r="K828" s="68" t="s">
        <v>32</v>
      </c>
      <c r="Q828" t="s">
        <v>676</v>
      </c>
      <c r="R828" t="s">
        <v>1028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1066</v>
      </c>
      <c r="Q829" t="s">
        <v>667</v>
      </c>
      <c r="R829" t="s">
        <v>1021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1050</v>
      </c>
      <c r="K830" s="3" t="s">
        <v>665</v>
      </c>
      <c r="L830" t="s">
        <v>1066</v>
      </c>
      <c r="Q830" t="s">
        <v>667</v>
      </c>
      <c r="R830" t="s">
        <v>1021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1066</v>
      </c>
      <c r="Q831" t="s">
        <v>671</v>
      </c>
      <c r="R831" t="s">
        <v>1023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1049</v>
      </c>
      <c r="K832" s="3" t="s">
        <v>665</v>
      </c>
      <c r="L832" t="s">
        <v>1066</v>
      </c>
      <c r="Q832" t="s">
        <v>671</v>
      </c>
      <c r="R832" t="s">
        <v>1023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1066</v>
      </c>
      <c r="Q833" t="s">
        <v>671</v>
      </c>
      <c r="R833" t="s">
        <v>1023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1047</v>
      </c>
      <c r="K834" s="3" t="s">
        <v>665</v>
      </c>
      <c r="L834" t="s">
        <v>1066</v>
      </c>
      <c r="Q834" t="s">
        <v>671</v>
      </c>
      <c r="R834" t="s">
        <v>1023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1066</v>
      </c>
      <c r="Q835" t="s">
        <v>667</v>
      </c>
      <c r="R835" t="s">
        <v>1021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1047</v>
      </c>
      <c r="K836" s="69" t="s">
        <v>447</v>
      </c>
      <c r="L836" t="s">
        <v>1066</v>
      </c>
      <c r="Q836" t="s">
        <v>667</v>
      </c>
      <c r="R836" t="s">
        <v>1021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1037</v>
      </c>
      <c r="K837" s="69" t="s">
        <v>447</v>
      </c>
      <c r="L837" t="s">
        <v>1066</v>
      </c>
      <c r="Q837" t="s">
        <v>667</v>
      </c>
      <c r="R837" t="s">
        <v>1021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1038</v>
      </c>
      <c r="K838" s="69" t="s">
        <v>447</v>
      </c>
      <c r="L838" t="s">
        <v>1066</v>
      </c>
      <c r="Q838" t="s">
        <v>667</v>
      </c>
      <c r="R838" t="s">
        <v>1021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1066</v>
      </c>
      <c r="Q839" t="s">
        <v>667</v>
      </c>
      <c r="R839" t="s">
        <v>1021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1049</v>
      </c>
      <c r="K840" s="69" t="s">
        <v>447</v>
      </c>
      <c r="L840" t="s">
        <v>1066</v>
      </c>
      <c r="Q840" t="s">
        <v>667</v>
      </c>
      <c r="R840" t="s">
        <v>1021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1066</v>
      </c>
      <c r="Q841" t="s">
        <v>668</v>
      </c>
      <c r="R841" t="s">
        <v>1029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1049</v>
      </c>
      <c r="K842" s="69" t="s">
        <v>447</v>
      </c>
      <c r="L842" t="s">
        <v>1066</v>
      </c>
      <c r="Q842" t="s">
        <v>668</v>
      </c>
      <c r="R842" t="s">
        <v>1029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1050</v>
      </c>
      <c r="K843" s="69" t="s">
        <v>447</v>
      </c>
      <c r="L843" t="s">
        <v>1066</v>
      </c>
      <c r="Q843" t="s">
        <v>668</v>
      </c>
      <c r="R843" t="s">
        <v>1029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1066</v>
      </c>
      <c r="Q844" t="s">
        <v>669</v>
      </c>
      <c r="R844" t="s">
        <v>1012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1049</v>
      </c>
      <c r="K845" s="69" t="s">
        <v>447</v>
      </c>
      <c r="L845" t="s">
        <v>1066</v>
      </c>
      <c r="Q845" t="s">
        <v>669</v>
      </c>
      <c r="R845" t="s">
        <v>1012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1066</v>
      </c>
      <c r="Q846" t="s">
        <v>669</v>
      </c>
      <c r="R846" t="s">
        <v>1012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1047</v>
      </c>
      <c r="K847" s="69" t="s">
        <v>447</v>
      </c>
      <c r="L847" t="s">
        <v>1066</v>
      </c>
      <c r="Q847" t="s">
        <v>669</v>
      </c>
      <c r="R847" t="s">
        <v>1012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1037</v>
      </c>
      <c r="K848" s="69" t="s">
        <v>447</v>
      </c>
      <c r="L848" t="s">
        <v>1066</v>
      </c>
      <c r="Q848" t="s">
        <v>669</v>
      </c>
      <c r="R848" t="s">
        <v>1012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1038</v>
      </c>
      <c r="K849" s="69" t="s">
        <v>447</v>
      </c>
      <c r="L849" t="s">
        <v>1066</v>
      </c>
      <c r="Q849" t="s">
        <v>669</v>
      </c>
      <c r="R849" t="s">
        <v>1012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1066</v>
      </c>
      <c r="Q850" t="s">
        <v>670</v>
      </c>
      <c r="R850" t="s">
        <v>1022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1034</v>
      </c>
      <c r="K851" s="69" t="s">
        <v>447</v>
      </c>
      <c r="L851" t="s">
        <v>1066</v>
      </c>
      <c r="Q851" t="s">
        <v>670</v>
      </c>
      <c r="R851" t="s">
        <v>1022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1050</v>
      </c>
      <c r="K852" s="69" t="s">
        <v>447</v>
      </c>
      <c r="L852" t="s">
        <v>1066</v>
      </c>
      <c r="Q852" t="s">
        <v>670</v>
      </c>
      <c r="R852" t="s">
        <v>1022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1047</v>
      </c>
      <c r="K853" s="69" t="s">
        <v>447</v>
      </c>
      <c r="L853" t="s">
        <v>1066</v>
      </c>
      <c r="Q853" t="s">
        <v>670</v>
      </c>
      <c r="R853" t="s">
        <v>1022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1066</v>
      </c>
      <c r="Q854" t="s">
        <v>671</v>
      </c>
      <c r="R854" t="s">
        <v>1023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1049</v>
      </c>
      <c r="K855" s="69" t="s">
        <v>447</v>
      </c>
      <c r="L855" t="s">
        <v>1066</v>
      </c>
      <c r="Q855" t="s">
        <v>671</v>
      </c>
      <c r="R855" t="s">
        <v>1023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1066</v>
      </c>
      <c r="Q856" t="s">
        <v>671</v>
      </c>
      <c r="R856" t="s">
        <v>1023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1047</v>
      </c>
      <c r="K857" s="69" t="s">
        <v>447</v>
      </c>
      <c r="L857" t="s">
        <v>1066</v>
      </c>
      <c r="Q857" t="s">
        <v>671</v>
      </c>
      <c r="R857" t="s">
        <v>1023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1066</v>
      </c>
      <c r="Q858" t="s">
        <v>672</v>
      </c>
      <c r="R858" t="s">
        <v>1024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1049</v>
      </c>
      <c r="K859" s="69" t="s">
        <v>447</v>
      </c>
      <c r="L859" t="s">
        <v>1066</v>
      </c>
      <c r="Q859" t="s">
        <v>672</v>
      </c>
      <c r="R859" t="s">
        <v>1024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1066</v>
      </c>
      <c r="Q860" t="s">
        <v>672</v>
      </c>
      <c r="R860" t="s">
        <v>1024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1038</v>
      </c>
      <c r="K861" s="69" t="s">
        <v>447</v>
      </c>
      <c r="L861" t="s">
        <v>1066</v>
      </c>
      <c r="Q861" t="s">
        <v>672</v>
      </c>
      <c r="R861" t="s">
        <v>1024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1066</v>
      </c>
      <c r="Q862" t="s">
        <v>672</v>
      </c>
      <c r="R862" t="s">
        <v>1024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1049</v>
      </c>
      <c r="K863" s="69" t="s">
        <v>447</v>
      </c>
      <c r="L863" t="s">
        <v>1066</v>
      </c>
      <c r="Q863" t="s">
        <v>672</v>
      </c>
      <c r="R863" t="s">
        <v>1024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1066</v>
      </c>
      <c r="Q864" t="s">
        <v>672</v>
      </c>
      <c r="R864" t="s">
        <v>1024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1038</v>
      </c>
      <c r="K865" s="69" t="s">
        <v>447</v>
      </c>
      <c r="L865" t="s">
        <v>1066</v>
      </c>
      <c r="Q865" t="s">
        <v>672</v>
      </c>
      <c r="R865" t="s">
        <v>1024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1066</v>
      </c>
      <c r="Q866" t="s">
        <v>672</v>
      </c>
      <c r="R866" t="s">
        <v>1024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1049</v>
      </c>
      <c r="K867" s="69" t="s">
        <v>447</v>
      </c>
      <c r="L867" t="s">
        <v>1066</v>
      </c>
      <c r="Q867" t="s">
        <v>672</v>
      </c>
      <c r="R867" t="s">
        <v>1024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1066</v>
      </c>
      <c r="Q868" t="s">
        <v>672</v>
      </c>
      <c r="R868" t="s">
        <v>1024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1047</v>
      </c>
      <c r="K869" s="69" t="s">
        <v>447</v>
      </c>
      <c r="L869" t="s">
        <v>1066</v>
      </c>
      <c r="Q869" t="s">
        <v>672</v>
      </c>
      <c r="R869" t="s">
        <v>1024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1040</v>
      </c>
      <c r="K870" s="69" t="s">
        <v>447</v>
      </c>
      <c r="L870" t="s">
        <v>1066</v>
      </c>
      <c r="Q870" t="s">
        <v>673</v>
      </c>
      <c r="R870" t="s">
        <v>1025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1049</v>
      </c>
      <c r="K871" s="69" t="s">
        <v>447</v>
      </c>
      <c r="L871" t="s">
        <v>1066</v>
      </c>
      <c r="Q871" t="s">
        <v>673</v>
      </c>
      <c r="R871" t="s">
        <v>1025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1042</v>
      </c>
      <c r="K872" s="69" t="s">
        <v>447</v>
      </c>
      <c r="L872" t="s">
        <v>1066</v>
      </c>
      <c r="Q872" t="s">
        <v>673</v>
      </c>
      <c r="R872" t="s">
        <v>1025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1037</v>
      </c>
      <c r="K873" s="69" t="s">
        <v>447</v>
      </c>
      <c r="L873" t="s">
        <v>1066</v>
      </c>
      <c r="Q873" t="s">
        <v>673</v>
      </c>
      <c r="R873" t="s">
        <v>1025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1031</v>
      </c>
      <c r="K874" s="69" t="s">
        <v>447</v>
      </c>
      <c r="L874" t="s">
        <v>1066</v>
      </c>
      <c r="Q874" t="s">
        <v>673</v>
      </c>
      <c r="R874" t="s">
        <v>1025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1051</v>
      </c>
      <c r="K875" s="69" t="s">
        <v>447</v>
      </c>
      <c r="L875" t="s">
        <v>1066</v>
      </c>
      <c r="Q875" t="s">
        <v>673</v>
      </c>
      <c r="R875" t="s">
        <v>1025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1035</v>
      </c>
      <c r="K876" s="69" t="s">
        <v>447</v>
      </c>
      <c r="L876" t="s">
        <v>1066</v>
      </c>
      <c r="Q876" t="s">
        <v>673</v>
      </c>
      <c r="R876" t="s">
        <v>1025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1041</v>
      </c>
      <c r="K877" s="69" t="s">
        <v>447</v>
      </c>
      <c r="L877" t="s">
        <v>1066</v>
      </c>
      <c r="Q877" t="s">
        <v>673</v>
      </c>
      <c r="R877" t="s">
        <v>1025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1045</v>
      </c>
      <c r="K878" s="69" t="s">
        <v>447</v>
      </c>
      <c r="L878" t="s">
        <v>1066</v>
      </c>
      <c r="Q878" t="s">
        <v>673</v>
      </c>
      <c r="R878" t="s">
        <v>1025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1037</v>
      </c>
      <c r="K879" s="69" t="s">
        <v>447</v>
      </c>
      <c r="L879" t="s">
        <v>1066</v>
      </c>
      <c r="Q879" t="s">
        <v>673</v>
      </c>
      <c r="R879" t="s">
        <v>1025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1049</v>
      </c>
      <c r="K880" s="69" t="s">
        <v>447</v>
      </c>
      <c r="L880" t="s">
        <v>1066</v>
      </c>
      <c r="Q880" t="s">
        <v>674</v>
      </c>
      <c r="R880" t="s">
        <v>1026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1037</v>
      </c>
      <c r="K881" s="69" t="s">
        <v>447</v>
      </c>
      <c r="L881" t="s">
        <v>1066</v>
      </c>
      <c r="Q881" t="s">
        <v>674</v>
      </c>
      <c r="R881" t="s">
        <v>1026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1031</v>
      </c>
      <c r="K882" s="69" t="s">
        <v>447</v>
      </c>
      <c r="L882" t="s">
        <v>1066</v>
      </c>
      <c r="Q882" t="s">
        <v>674</v>
      </c>
      <c r="R882" t="s">
        <v>1026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1051</v>
      </c>
      <c r="K883" s="69" t="s">
        <v>447</v>
      </c>
      <c r="L883" t="s">
        <v>1066</v>
      </c>
      <c r="Q883" t="s">
        <v>674</v>
      </c>
      <c r="R883" t="s">
        <v>1026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1035</v>
      </c>
      <c r="K884" s="69" t="s">
        <v>447</v>
      </c>
      <c r="L884" t="s">
        <v>1066</v>
      </c>
      <c r="Q884" t="s">
        <v>674</v>
      </c>
      <c r="R884" t="s">
        <v>1026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1041</v>
      </c>
      <c r="K885" s="69" t="s">
        <v>447</v>
      </c>
      <c r="L885" t="s">
        <v>1066</v>
      </c>
      <c r="Q885" t="s">
        <v>674</v>
      </c>
      <c r="R885" t="s">
        <v>1026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1045</v>
      </c>
      <c r="K886" s="69" t="s">
        <v>447</v>
      </c>
      <c r="L886" t="s">
        <v>1066</v>
      </c>
      <c r="Q886" t="s">
        <v>674</v>
      </c>
      <c r="R886" t="s">
        <v>1026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1037</v>
      </c>
      <c r="K887" s="69" t="s">
        <v>447</v>
      </c>
      <c r="L887" t="s">
        <v>1066</v>
      </c>
      <c r="Q887" t="s">
        <v>674</v>
      </c>
      <c r="R887" t="s">
        <v>1026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1066</v>
      </c>
      <c r="Q888" t="s">
        <v>675</v>
      </c>
      <c r="R888" t="s">
        <v>1027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1036</v>
      </c>
      <c r="K889" s="69" t="s">
        <v>447</v>
      </c>
      <c r="L889" t="s">
        <v>1066</v>
      </c>
      <c r="Q889" t="s">
        <v>675</v>
      </c>
      <c r="R889" t="s">
        <v>1027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1045</v>
      </c>
      <c r="K890" s="69" t="s">
        <v>447</v>
      </c>
      <c r="L890" t="s">
        <v>1066</v>
      </c>
      <c r="Q890" t="s">
        <v>675</v>
      </c>
      <c r="R890" t="s">
        <v>1027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1038</v>
      </c>
      <c r="K891" s="69" t="s">
        <v>447</v>
      </c>
      <c r="L891" t="s">
        <v>1066</v>
      </c>
      <c r="Q891" t="s">
        <v>675</v>
      </c>
      <c r="R891" t="s">
        <v>1027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1066</v>
      </c>
      <c r="Q892" t="s">
        <v>676</v>
      </c>
      <c r="R892" t="s">
        <v>1028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1036</v>
      </c>
      <c r="K893" s="69" t="s">
        <v>447</v>
      </c>
      <c r="L893" t="s">
        <v>1066</v>
      </c>
      <c r="Q893" t="s">
        <v>676</v>
      </c>
      <c r="R893" t="s">
        <v>1028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1045</v>
      </c>
      <c r="K894" s="69" t="s">
        <v>447</v>
      </c>
      <c r="L894" t="s">
        <v>1066</v>
      </c>
      <c r="Q894" t="s">
        <v>676</v>
      </c>
      <c r="R894" t="s">
        <v>1028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1038</v>
      </c>
      <c r="K895" s="69" t="s">
        <v>447</v>
      </c>
      <c r="L895" t="s">
        <v>1066</v>
      </c>
      <c r="Q895" t="s">
        <v>676</v>
      </c>
      <c r="R895" t="s">
        <v>1028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999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999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999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999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999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999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999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999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999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999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999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999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999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999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999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999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999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999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999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999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999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999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999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999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999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999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999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999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999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999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999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999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999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999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999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999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999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999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999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999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999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999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999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999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999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999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999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999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999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999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999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999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999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999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999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999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999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999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999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999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999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999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999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999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999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999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999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999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999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999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999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999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999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999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999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999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999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999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999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999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999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999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999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999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999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999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999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999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999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999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999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999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999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999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999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999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999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999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999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999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999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999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999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999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999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999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999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999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631</v>
      </c>
      <c r="B1090" t="s">
        <v>1006</v>
      </c>
      <c r="C1090">
        <v>1</v>
      </c>
      <c r="D1090" t="s">
        <v>11</v>
      </c>
      <c r="E1090" t="s">
        <v>695</v>
      </c>
      <c r="F1090" t="s">
        <v>27</v>
      </c>
      <c r="G1090">
        <v>2</v>
      </c>
      <c r="H1090">
        <v>5</v>
      </c>
      <c r="I1090" s="72" t="b">
        <v>0</v>
      </c>
      <c r="J1090" t="s">
        <v>715</v>
      </c>
      <c r="K1090" s="68" t="s">
        <v>32</v>
      </c>
      <c r="Q1090" t="s">
        <v>673</v>
      </c>
      <c r="R1090" t="s">
        <v>1025</v>
      </c>
    </row>
    <row r="1091" spans="1:18" x14ac:dyDescent="0.25">
      <c r="A1091" t="s">
        <v>631</v>
      </c>
      <c r="B1091" t="s">
        <v>1006</v>
      </c>
      <c r="C1091">
        <v>1</v>
      </c>
      <c r="D1091" t="s">
        <v>705</v>
      </c>
      <c r="E1091" t="s">
        <v>637</v>
      </c>
      <c r="F1091" t="s">
        <v>25</v>
      </c>
      <c r="G1091">
        <v>0</v>
      </c>
      <c r="H1091">
        <v>1</v>
      </c>
      <c r="I1091" s="73" t="b">
        <v>1</v>
      </c>
      <c r="J1091" t="s">
        <v>1040</v>
      </c>
      <c r="K1091" s="68" t="s">
        <v>32</v>
      </c>
      <c r="Q1091" t="s">
        <v>673</v>
      </c>
      <c r="R1091" t="s">
        <v>1025</v>
      </c>
    </row>
    <row r="1092" spans="1:18" x14ac:dyDescent="0.25">
      <c r="A1092" t="s">
        <v>631</v>
      </c>
      <c r="B1092" t="s">
        <v>1006</v>
      </c>
      <c r="C1092">
        <v>1</v>
      </c>
      <c r="D1092" t="s">
        <v>355</v>
      </c>
      <c r="E1092" t="s">
        <v>696</v>
      </c>
      <c r="F1092" s="69" t="s">
        <v>25</v>
      </c>
      <c r="G1092">
        <v>0</v>
      </c>
      <c r="H1092">
        <v>1</v>
      </c>
      <c r="I1092" s="69" t="b">
        <v>1</v>
      </c>
      <c r="J1092" t="s">
        <v>1031</v>
      </c>
      <c r="K1092" s="68" t="s">
        <v>32</v>
      </c>
      <c r="Q1092" t="s">
        <v>673</v>
      </c>
      <c r="R1092" t="s">
        <v>1025</v>
      </c>
    </row>
    <row r="1093" spans="1:18" x14ac:dyDescent="0.25">
      <c r="A1093" t="s">
        <v>631</v>
      </c>
      <c r="B1093" t="s">
        <v>1006</v>
      </c>
      <c r="C1093">
        <v>1</v>
      </c>
      <c r="D1093" t="s">
        <v>421</v>
      </c>
      <c r="E1093" t="s">
        <v>644</v>
      </c>
      <c r="F1093" t="s">
        <v>25</v>
      </c>
      <c r="G1093">
        <v>45</v>
      </c>
      <c r="H1093">
        <v>55</v>
      </c>
      <c r="I1093" s="73" t="b">
        <v>1</v>
      </c>
      <c r="J1093" t="s">
        <v>1049</v>
      </c>
      <c r="K1093" s="68" t="s">
        <v>32</v>
      </c>
      <c r="Q1093" t="s">
        <v>673</v>
      </c>
      <c r="R1093" t="s">
        <v>1025</v>
      </c>
    </row>
    <row r="1094" spans="1:18" x14ac:dyDescent="0.25">
      <c r="A1094" t="s">
        <v>631</v>
      </c>
      <c r="B1094" t="s">
        <v>1006</v>
      </c>
      <c r="C1094">
        <v>1</v>
      </c>
      <c r="D1094" t="s">
        <v>392</v>
      </c>
      <c r="E1094" t="s">
        <v>607</v>
      </c>
      <c r="F1094" t="s">
        <v>25</v>
      </c>
      <c r="G1094">
        <v>55</v>
      </c>
      <c r="H1094">
        <v>65</v>
      </c>
      <c r="I1094" s="73" t="b">
        <v>1</v>
      </c>
      <c r="J1094" t="s">
        <v>847</v>
      </c>
      <c r="K1094" s="68" t="s">
        <v>32</v>
      </c>
      <c r="Q1094" t="s">
        <v>673</v>
      </c>
      <c r="R1094" t="s">
        <v>1025</v>
      </c>
    </row>
    <row r="1095" spans="1:18" x14ac:dyDescent="0.25">
      <c r="A1095" t="s">
        <v>631</v>
      </c>
      <c r="B1095" t="s">
        <v>1006</v>
      </c>
      <c r="C1095">
        <v>1</v>
      </c>
      <c r="D1095" t="s">
        <v>410</v>
      </c>
      <c r="E1095" t="s">
        <v>697</v>
      </c>
      <c r="F1095" t="s">
        <v>27</v>
      </c>
      <c r="G1095">
        <v>0</v>
      </c>
      <c r="H1095">
        <v>1</v>
      </c>
      <c r="I1095" s="72" t="b">
        <v>0</v>
      </c>
      <c r="J1095" t="s">
        <v>1039</v>
      </c>
      <c r="K1095" s="68" t="s">
        <v>32</v>
      </c>
      <c r="Q1095" t="s">
        <v>673</v>
      </c>
      <c r="R1095" t="s">
        <v>1025</v>
      </c>
    </row>
    <row r="1096" spans="1:18" x14ac:dyDescent="0.25">
      <c r="A1096" t="s">
        <v>631</v>
      </c>
      <c r="B1096" t="s">
        <v>1006</v>
      </c>
      <c r="C1096">
        <v>1</v>
      </c>
      <c r="D1096" t="s">
        <v>682</v>
      </c>
      <c r="E1096" t="s">
        <v>574</v>
      </c>
      <c r="F1096" t="s">
        <v>27</v>
      </c>
      <c r="G1096">
        <v>3</v>
      </c>
      <c r="H1096">
        <v>7</v>
      </c>
      <c r="I1096" s="72" t="b">
        <v>0</v>
      </c>
      <c r="J1096" t="s">
        <v>1037</v>
      </c>
      <c r="K1096" s="68" t="s">
        <v>32</v>
      </c>
      <c r="Q1096" t="s">
        <v>673</v>
      </c>
      <c r="R1096" t="s">
        <v>1025</v>
      </c>
    </row>
    <row r="1097" spans="1:18" x14ac:dyDescent="0.25">
      <c r="A1097" s="77" t="s">
        <v>631</v>
      </c>
      <c r="B1097" s="77" t="s">
        <v>1006</v>
      </c>
      <c r="C1097" s="77">
        <v>2</v>
      </c>
      <c r="D1097" s="77" t="s">
        <v>11</v>
      </c>
      <c r="E1097" s="77" t="s">
        <v>580</v>
      </c>
      <c r="F1097" t="s">
        <v>27</v>
      </c>
      <c r="G1097">
        <v>6</v>
      </c>
      <c r="H1097">
        <v>10</v>
      </c>
      <c r="I1097" s="72" t="b">
        <v>0</v>
      </c>
      <c r="J1097" t="s">
        <v>715</v>
      </c>
      <c r="K1097" s="68" t="s">
        <v>32</v>
      </c>
      <c r="L1097" t="s">
        <v>1066</v>
      </c>
      <c r="N1097" s="77" t="s">
        <v>1005</v>
      </c>
      <c r="O1097" s="77" t="s">
        <v>27</v>
      </c>
      <c r="P1097" s="77">
        <v>10</v>
      </c>
      <c r="Q1097" t="s">
        <v>673</v>
      </c>
      <c r="R1097" t="s">
        <v>1025</v>
      </c>
    </row>
    <row r="1098" spans="1:18" x14ac:dyDescent="0.25">
      <c r="A1098" t="s">
        <v>631</v>
      </c>
      <c r="B1098" t="s">
        <v>1006</v>
      </c>
      <c r="C1098">
        <v>2</v>
      </c>
      <c r="D1098" t="s">
        <v>705</v>
      </c>
      <c r="E1098" t="s">
        <v>637</v>
      </c>
      <c r="F1098" t="s">
        <v>25</v>
      </c>
      <c r="G1098">
        <v>0</v>
      </c>
      <c r="H1098">
        <v>1</v>
      </c>
      <c r="I1098" s="73" t="b">
        <v>1</v>
      </c>
      <c r="J1098" t="s">
        <v>1040</v>
      </c>
      <c r="K1098" s="68" t="s">
        <v>32</v>
      </c>
      <c r="L1098" t="s">
        <v>1066</v>
      </c>
      <c r="Q1098" t="s">
        <v>673</v>
      </c>
      <c r="R1098" t="s">
        <v>1025</v>
      </c>
    </row>
    <row r="1099" spans="1:18" x14ac:dyDescent="0.25">
      <c r="A1099" t="s">
        <v>631</v>
      </c>
      <c r="B1099" t="s">
        <v>1006</v>
      </c>
      <c r="C1099">
        <v>2</v>
      </c>
      <c r="D1099" t="s">
        <v>421</v>
      </c>
      <c r="E1099" t="s">
        <v>625</v>
      </c>
      <c r="F1099" t="s">
        <v>25</v>
      </c>
      <c r="G1099">
        <v>35</v>
      </c>
      <c r="H1099">
        <v>45</v>
      </c>
      <c r="I1099" s="73" t="b">
        <v>1</v>
      </c>
      <c r="J1099" t="s">
        <v>1049</v>
      </c>
      <c r="K1099" s="68" t="s">
        <v>32</v>
      </c>
      <c r="L1099" t="s">
        <v>1066</v>
      </c>
      <c r="Q1099" t="s">
        <v>673</v>
      </c>
      <c r="R1099" t="s">
        <v>1025</v>
      </c>
    </row>
    <row r="1100" spans="1:18" x14ac:dyDescent="0.25">
      <c r="A1100" t="s">
        <v>631</v>
      </c>
      <c r="B1100" t="s">
        <v>1006</v>
      </c>
      <c r="C1100">
        <v>2</v>
      </c>
      <c r="D1100" t="s">
        <v>707</v>
      </c>
      <c r="E1100" t="s">
        <v>625</v>
      </c>
      <c r="F1100" t="s">
        <v>25</v>
      </c>
      <c r="G1100">
        <v>35</v>
      </c>
      <c r="H1100">
        <v>45</v>
      </c>
      <c r="I1100" s="73" t="b">
        <v>1</v>
      </c>
      <c r="J1100" t="s">
        <v>1042</v>
      </c>
      <c r="K1100" s="68" t="s">
        <v>32</v>
      </c>
      <c r="L1100" t="s">
        <v>1066</v>
      </c>
      <c r="Q1100" t="s">
        <v>673</v>
      </c>
      <c r="R1100" t="s">
        <v>1025</v>
      </c>
    </row>
    <row r="1101" spans="1:18" x14ac:dyDescent="0.25">
      <c r="A1101" t="s">
        <v>631</v>
      </c>
      <c r="B1101" t="s">
        <v>1006</v>
      </c>
      <c r="C1101">
        <v>2</v>
      </c>
      <c r="D1101" t="s">
        <v>682</v>
      </c>
      <c r="E1101" t="s">
        <v>585</v>
      </c>
      <c r="F1101" t="s">
        <v>27</v>
      </c>
      <c r="G1101">
        <v>7</v>
      </c>
      <c r="H1101">
        <v>13</v>
      </c>
      <c r="I1101" s="72" t="b">
        <v>0</v>
      </c>
      <c r="J1101" t="s">
        <v>1037</v>
      </c>
      <c r="K1101" s="68" t="s">
        <v>32</v>
      </c>
      <c r="L1101" t="s">
        <v>1066</v>
      </c>
      <c r="Q1101" t="s">
        <v>673</v>
      </c>
      <c r="R1101" t="s">
        <v>1025</v>
      </c>
    </row>
    <row r="1102" spans="1:18" x14ac:dyDescent="0.25">
      <c r="A1102" t="s">
        <v>631</v>
      </c>
      <c r="B1102" t="s">
        <v>1006</v>
      </c>
      <c r="C1102">
        <v>3</v>
      </c>
      <c r="D1102" t="s">
        <v>687</v>
      </c>
      <c r="E1102" t="s">
        <v>615</v>
      </c>
      <c r="F1102" t="s">
        <v>25</v>
      </c>
      <c r="G1102">
        <v>20</v>
      </c>
      <c r="H1102">
        <v>30</v>
      </c>
      <c r="I1102" s="73" t="b">
        <v>1</v>
      </c>
      <c r="J1102" t="s">
        <v>1051</v>
      </c>
      <c r="K1102" s="68" t="s">
        <v>32</v>
      </c>
      <c r="L1102" t="s">
        <v>1066</v>
      </c>
      <c r="Q1102" t="s">
        <v>673</v>
      </c>
      <c r="R1102" t="s">
        <v>1025</v>
      </c>
    </row>
    <row r="1103" spans="1:18" x14ac:dyDescent="0.25">
      <c r="A1103" t="s">
        <v>631</v>
      </c>
      <c r="B1103" t="s">
        <v>1006</v>
      </c>
      <c r="C1103">
        <v>3</v>
      </c>
      <c r="D1103" t="s">
        <v>688</v>
      </c>
      <c r="E1103" t="s">
        <v>619</v>
      </c>
      <c r="F1103" t="s">
        <v>25</v>
      </c>
      <c r="G1103">
        <v>15</v>
      </c>
      <c r="H1103">
        <v>25</v>
      </c>
      <c r="I1103" s="73" t="b">
        <v>1</v>
      </c>
      <c r="J1103" t="s">
        <v>1035</v>
      </c>
      <c r="K1103" s="68" t="s">
        <v>32</v>
      </c>
      <c r="L1103" t="s">
        <v>1066</v>
      </c>
      <c r="Q1103" t="s">
        <v>673</v>
      </c>
      <c r="R1103" t="s">
        <v>1025</v>
      </c>
    </row>
    <row r="1104" spans="1:18" x14ac:dyDescent="0.25">
      <c r="A1104" t="s">
        <v>631</v>
      </c>
      <c r="B1104" t="s">
        <v>1006</v>
      </c>
      <c r="C1104">
        <v>3</v>
      </c>
      <c r="D1104" t="s">
        <v>708</v>
      </c>
      <c r="E1104" t="s">
        <v>637</v>
      </c>
      <c r="F1104" t="s">
        <v>25</v>
      </c>
      <c r="G1104">
        <v>0</v>
      </c>
      <c r="H1104">
        <v>1</v>
      </c>
      <c r="I1104" s="73" t="b">
        <v>1</v>
      </c>
      <c r="J1104" t="s">
        <v>1041</v>
      </c>
      <c r="K1104" s="68" t="s">
        <v>32</v>
      </c>
      <c r="L1104" t="s">
        <v>1066</v>
      </c>
      <c r="Q1104" t="s">
        <v>673</v>
      </c>
      <c r="R1104" t="s">
        <v>1025</v>
      </c>
    </row>
    <row r="1105" spans="1:18" x14ac:dyDescent="0.25">
      <c r="A1105" t="s">
        <v>631</v>
      </c>
      <c r="B1105" t="s">
        <v>1006</v>
      </c>
      <c r="C1105">
        <v>3</v>
      </c>
      <c r="D1105" t="s">
        <v>689</v>
      </c>
      <c r="E1105" t="s">
        <v>586</v>
      </c>
      <c r="F1105" t="s">
        <v>27</v>
      </c>
      <c r="G1105">
        <v>45</v>
      </c>
      <c r="H1105">
        <v>55</v>
      </c>
      <c r="I1105" s="72" t="b">
        <v>0</v>
      </c>
      <c r="J1105" t="s">
        <v>1045</v>
      </c>
      <c r="K1105" s="68" t="s">
        <v>32</v>
      </c>
      <c r="L1105" t="s">
        <v>1066</v>
      </c>
      <c r="Q1105" t="s">
        <v>673</v>
      </c>
      <c r="R1105" t="s">
        <v>1025</v>
      </c>
    </row>
    <row r="1106" spans="1:18" x14ac:dyDescent="0.25">
      <c r="A1106" t="s">
        <v>631</v>
      </c>
      <c r="B1106" t="s">
        <v>1006</v>
      </c>
      <c r="C1106">
        <v>3</v>
      </c>
      <c r="D1106" t="s">
        <v>682</v>
      </c>
      <c r="E1106" t="s">
        <v>585</v>
      </c>
      <c r="F1106" t="s">
        <v>27</v>
      </c>
      <c r="G1106">
        <v>7</v>
      </c>
      <c r="H1106">
        <v>13</v>
      </c>
      <c r="I1106" s="72" t="b">
        <v>0</v>
      </c>
      <c r="J1106" t="s">
        <v>1037</v>
      </c>
      <c r="K1106" s="68" t="s">
        <v>32</v>
      </c>
      <c r="L1106" t="s">
        <v>1066</v>
      </c>
      <c r="Q1106" t="s">
        <v>673</v>
      </c>
      <c r="R1106" t="s">
        <v>1025</v>
      </c>
    </row>
    <row r="1107" spans="1:18" x14ac:dyDescent="0.25">
      <c r="A1107" t="s">
        <v>631</v>
      </c>
      <c r="B1107" t="s">
        <v>1006</v>
      </c>
      <c r="C1107">
        <v>4</v>
      </c>
      <c r="D1107" t="s">
        <v>687</v>
      </c>
      <c r="E1107" t="s">
        <v>636</v>
      </c>
      <c r="F1107" t="s">
        <v>25</v>
      </c>
      <c r="G1107">
        <v>3</v>
      </c>
      <c r="H1107">
        <v>7</v>
      </c>
      <c r="I1107" s="73" t="b">
        <v>1</v>
      </c>
      <c r="J1107" t="s">
        <v>1051</v>
      </c>
      <c r="K1107" s="68" t="s">
        <v>32</v>
      </c>
      <c r="Q1107" t="s">
        <v>673</v>
      </c>
      <c r="R1107" t="s">
        <v>1025</v>
      </c>
    </row>
    <row r="1108" spans="1:18" x14ac:dyDescent="0.25">
      <c r="A1108" t="s">
        <v>631</v>
      </c>
      <c r="B1108" t="s">
        <v>1006</v>
      </c>
      <c r="C1108">
        <v>4</v>
      </c>
      <c r="D1108" t="s">
        <v>688</v>
      </c>
      <c r="E1108" t="s">
        <v>636</v>
      </c>
      <c r="F1108" t="s">
        <v>25</v>
      </c>
      <c r="G1108">
        <v>3</v>
      </c>
      <c r="H1108">
        <v>7</v>
      </c>
      <c r="I1108" s="73" t="b">
        <v>1</v>
      </c>
      <c r="J1108" t="s">
        <v>1035</v>
      </c>
      <c r="K1108" s="68" t="s">
        <v>32</v>
      </c>
      <c r="Q1108" t="s">
        <v>673</v>
      </c>
      <c r="R1108" t="s">
        <v>1025</v>
      </c>
    </row>
    <row r="1109" spans="1:18" x14ac:dyDescent="0.25">
      <c r="A1109" t="s">
        <v>631</v>
      </c>
      <c r="B1109" t="s">
        <v>1006</v>
      </c>
      <c r="C1109">
        <v>4</v>
      </c>
      <c r="D1109" t="s">
        <v>690</v>
      </c>
      <c r="E1109" t="s">
        <v>699</v>
      </c>
      <c r="F1109" t="s">
        <v>27</v>
      </c>
      <c r="G1109">
        <v>40</v>
      </c>
      <c r="H1109">
        <v>50</v>
      </c>
      <c r="I1109" s="72" t="b">
        <v>0</v>
      </c>
      <c r="J1109" t="s">
        <v>1053</v>
      </c>
      <c r="K1109" s="68" t="s">
        <v>32</v>
      </c>
      <c r="Q1109" t="s">
        <v>673</v>
      </c>
      <c r="R1109" t="s">
        <v>1025</v>
      </c>
    </row>
    <row r="1110" spans="1:18" x14ac:dyDescent="0.25">
      <c r="A1110" t="s">
        <v>631</v>
      </c>
      <c r="B1110" t="s">
        <v>1006</v>
      </c>
      <c r="C1110">
        <v>4</v>
      </c>
      <c r="D1110" t="s">
        <v>683</v>
      </c>
      <c r="E1110" t="s">
        <v>585</v>
      </c>
      <c r="F1110" t="s">
        <v>27</v>
      </c>
      <c r="G1110">
        <v>7</v>
      </c>
      <c r="H1110">
        <v>13</v>
      </c>
      <c r="I1110" s="72" t="b">
        <v>0</v>
      </c>
      <c r="J1110" t="s">
        <v>1038</v>
      </c>
      <c r="K1110" s="68" t="s">
        <v>32</v>
      </c>
      <c r="Q1110" t="s">
        <v>673</v>
      </c>
      <c r="R1110" t="s">
        <v>1025</v>
      </c>
    </row>
    <row r="1111" spans="1:18" x14ac:dyDescent="0.25">
      <c r="A1111" t="s">
        <v>631</v>
      </c>
      <c r="B1111" t="s">
        <v>1006</v>
      </c>
      <c r="C1111">
        <v>5</v>
      </c>
      <c r="D1111" t="s">
        <v>11</v>
      </c>
      <c r="E1111" t="s">
        <v>620</v>
      </c>
      <c r="F1111" t="s">
        <v>25</v>
      </c>
      <c r="G1111">
        <v>1</v>
      </c>
      <c r="H1111">
        <v>4</v>
      </c>
      <c r="I1111" s="73" t="b">
        <v>1</v>
      </c>
      <c r="J1111" t="s">
        <v>715</v>
      </c>
      <c r="K1111" s="68" t="s">
        <v>32</v>
      </c>
      <c r="Q1111" t="s">
        <v>673</v>
      </c>
      <c r="R1111" t="s">
        <v>1025</v>
      </c>
    </row>
    <row r="1112" spans="1:18" x14ac:dyDescent="0.25">
      <c r="A1112" t="s">
        <v>631</v>
      </c>
      <c r="B1112" t="s">
        <v>1006</v>
      </c>
      <c r="C1112">
        <v>5</v>
      </c>
      <c r="D1112" t="s">
        <v>662</v>
      </c>
      <c r="E1112" t="s">
        <v>622</v>
      </c>
      <c r="F1112" t="s">
        <v>25</v>
      </c>
      <c r="G1112">
        <v>7</v>
      </c>
      <c r="H1112">
        <v>13</v>
      </c>
      <c r="I1112" s="73" t="b">
        <v>1</v>
      </c>
      <c r="J1112" t="s">
        <v>1050</v>
      </c>
      <c r="K1112" s="68" t="s">
        <v>32</v>
      </c>
      <c r="Q1112" t="s">
        <v>673</v>
      </c>
      <c r="R1112" t="s">
        <v>1025</v>
      </c>
    </row>
    <row r="1113" spans="1:18" x14ac:dyDescent="0.25">
      <c r="A1113" t="s">
        <v>631</v>
      </c>
      <c r="B1113" t="s">
        <v>1006</v>
      </c>
      <c r="C1113">
        <v>2</v>
      </c>
      <c r="D1113" t="s">
        <v>705</v>
      </c>
      <c r="E1113" t="s">
        <v>637</v>
      </c>
      <c r="F1113" t="s">
        <v>25</v>
      </c>
      <c r="G1113">
        <v>0</v>
      </c>
      <c r="H1113">
        <v>1</v>
      </c>
      <c r="I1113" s="73" t="b">
        <v>1</v>
      </c>
      <c r="J1113" t="s">
        <v>1040</v>
      </c>
      <c r="K1113" s="69" t="s">
        <v>447</v>
      </c>
      <c r="L1113" t="s">
        <v>1066</v>
      </c>
      <c r="Q1113" t="s">
        <v>673</v>
      </c>
      <c r="R1113" t="s">
        <v>1025</v>
      </c>
    </row>
    <row r="1114" spans="1:18" x14ac:dyDescent="0.25">
      <c r="A1114" t="s">
        <v>631</v>
      </c>
      <c r="B1114" t="s">
        <v>1006</v>
      </c>
      <c r="C1114">
        <v>2</v>
      </c>
      <c r="D1114" t="s">
        <v>421</v>
      </c>
      <c r="E1114" t="s">
        <v>619</v>
      </c>
      <c r="F1114" t="s">
        <v>25</v>
      </c>
      <c r="G1114">
        <v>15</v>
      </c>
      <c r="H1114">
        <v>25</v>
      </c>
      <c r="I1114" s="73" t="b">
        <v>1</v>
      </c>
      <c r="J1114" t="s">
        <v>1049</v>
      </c>
      <c r="K1114" s="69" t="s">
        <v>447</v>
      </c>
      <c r="L1114" t="s">
        <v>1066</v>
      </c>
      <c r="Q1114" t="s">
        <v>673</v>
      </c>
      <c r="R1114" t="s">
        <v>1025</v>
      </c>
    </row>
    <row r="1115" spans="1:18" x14ac:dyDescent="0.25">
      <c r="A1115" t="s">
        <v>631</v>
      </c>
      <c r="B1115" t="s">
        <v>1006</v>
      </c>
      <c r="C1115">
        <v>2</v>
      </c>
      <c r="D1115" t="s">
        <v>707</v>
      </c>
      <c r="E1115" t="s">
        <v>625</v>
      </c>
      <c r="F1115" t="s">
        <v>25</v>
      </c>
      <c r="G1115">
        <v>35</v>
      </c>
      <c r="H1115">
        <v>45</v>
      </c>
      <c r="I1115" s="73" t="b">
        <v>1</v>
      </c>
      <c r="J1115" t="s">
        <v>1042</v>
      </c>
      <c r="K1115" s="69" t="s">
        <v>447</v>
      </c>
      <c r="L1115" t="s">
        <v>1066</v>
      </c>
      <c r="Q1115" t="s">
        <v>673</v>
      </c>
      <c r="R1115" t="s">
        <v>1025</v>
      </c>
    </row>
    <row r="1116" spans="1:18" x14ac:dyDescent="0.25">
      <c r="A1116" t="s">
        <v>631</v>
      </c>
      <c r="B1116" t="s">
        <v>1006</v>
      </c>
      <c r="C1116">
        <v>2</v>
      </c>
      <c r="D1116" t="s">
        <v>682</v>
      </c>
      <c r="E1116" t="s">
        <v>697</v>
      </c>
      <c r="F1116" t="s">
        <v>27</v>
      </c>
      <c r="G1116">
        <v>0</v>
      </c>
      <c r="H1116">
        <v>1</v>
      </c>
      <c r="I1116" s="72" t="b">
        <v>0</v>
      </c>
      <c r="J1116" t="s">
        <v>1037</v>
      </c>
      <c r="K1116" s="69" t="s">
        <v>447</v>
      </c>
      <c r="L1116" t="s">
        <v>1066</v>
      </c>
      <c r="Q1116" t="s">
        <v>673</v>
      </c>
      <c r="R1116" t="s">
        <v>1025</v>
      </c>
    </row>
    <row r="1117" spans="1:18" x14ac:dyDescent="0.25">
      <c r="A1117" t="s">
        <v>631</v>
      </c>
      <c r="B1117" t="s">
        <v>1006</v>
      </c>
      <c r="C1117">
        <v>3</v>
      </c>
      <c r="D1117" t="s">
        <v>355</v>
      </c>
      <c r="E1117" t="s">
        <v>637</v>
      </c>
      <c r="F1117" t="s">
        <v>25</v>
      </c>
      <c r="G1117">
        <v>0</v>
      </c>
      <c r="H1117">
        <v>1</v>
      </c>
      <c r="I1117" s="73" t="b">
        <v>1</v>
      </c>
      <c r="J1117" t="s">
        <v>1031</v>
      </c>
      <c r="K1117" s="69" t="s">
        <v>447</v>
      </c>
      <c r="L1117" t="s">
        <v>1066</v>
      </c>
      <c r="Q1117" t="s">
        <v>673</v>
      </c>
      <c r="R1117" t="s">
        <v>1025</v>
      </c>
    </row>
    <row r="1118" spans="1:18" x14ac:dyDescent="0.25">
      <c r="A1118" t="s">
        <v>631</v>
      </c>
      <c r="B1118" t="s">
        <v>1006</v>
      </c>
      <c r="C1118">
        <v>3</v>
      </c>
      <c r="D1118" t="s">
        <v>687</v>
      </c>
      <c r="E1118" t="s">
        <v>615</v>
      </c>
      <c r="F1118" t="s">
        <v>25</v>
      </c>
      <c r="G1118">
        <v>20</v>
      </c>
      <c r="H1118">
        <v>30</v>
      </c>
      <c r="I1118" s="73" t="b">
        <v>1</v>
      </c>
      <c r="J1118" t="s">
        <v>1051</v>
      </c>
      <c r="K1118" s="69" t="s">
        <v>447</v>
      </c>
      <c r="L1118" t="s">
        <v>1066</v>
      </c>
      <c r="Q1118" t="s">
        <v>673</v>
      </c>
      <c r="R1118" t="s">
        <v>1025</v>
      </c>
    </row>
    <row r="1119" spans="1:18" x14ac:dyDescent="0.25">
      <c r="A1119" t="s">
        <v>631</v>
      </c>
      <c r="B1119" t="s">
        <v>1006</v>
      </c>
      <c r="C1119">
        <v>3</v>
      </c>
      <c r="D1119" t="s">
        <v>688</v>
      </c>
      <c r="E1119" t="s">
        <v>619</v>
      </c>
      <c r="F1119" t="s">
        <v>25</v>
      </c>
      <c r="G1119">
        <v>15</v>
      </c>
      <c r="H1119">
        <v>25</v>
      </c>
      <c r="I1119" s="73" t="b">
        <v>1</v>
      </c>
      <c r="J1119" t="s">
        <v>1035</v>
      </c>
      <c r="K1119" s="69" t="s">
        <v>447</v>
      </c>
      <c r="L1119" t="s">
        <v>1066</v>
      </c>
      <c r="Q1119" t="s">
        <v>673</v>
      </c>
      <c r="R1119" t="s">
        <v>1025</v>
      </c>
    </row>
    <row r="1120" spans="1:18" x14ac:dyDescent="0.25">
      <c r="A1120" t="s">
        <v>631</v>
      </c>
      <c r="B1120" t="s">
        <v>1006</v>
      </c>
      <c r="C1120">
        <v>3</v>
      </c>
      <c r="D1120" t="s">
        <v>708</v>
      </c>
      <c r="E1120" t="s">
        <v>637</v>
      </c>
      <c r="F1120" t="s">
        <v>25</v>
      </c>
      <c r="G1120">
        <v>0</v>
      </c>
      <c r="H1120">
        <v>1</v>
      </c>
      <c r="I1120" s="73" t="b">
        <v>1</v>
      </c>
      <c r="J1120" t="s">
        <v>1041</v>
      </c>
      <c r="K1120" s="69" t="s">
        <v>447</v>
      </c>
      <c r="L1120" t="s">
        <v>1066</v>
      </c>
      <c r="Q1120" t="s">
        <v>673</v>
      </c>
      <c r="R1120" t="s">
        <v>1025</v>
      </c>
    </row>
    <row r="1121" spans="1:18" x14ac:dyDescent="0.25">
      <c r="A1121" t="s">
        <v>631</v>
      </c>
      <c r="B1121" t="s">
        <v>1006</v>
      </c>
      <c r="C1121">
        <v>3</v>
      </c>
      <c r="D1121" t="s">
        <v>689</v>
      </c>
      <c r="E1121" t="s">
        <v>586</v>
      </c>
      <c r="F1121" t="s">
        <v>27</v>
      </c>
      <c r="G1121">
        <v>45</v>
      </c>
      <c r="H1121">
        <v>55</v>
      </c>
      <c r="I1121" s="72" t="b">
        <v>0</v>
      </c>
      <c r="J1121" t="s">
        <v>1045</v>
      </c>
      <c r="K1121" s="69" t="s">
        <v>447</v>
      </c>
      <c r="L1121" t="s">
        <v>1066</v>
      </c>
      <c r="Q1121" t="s">
        <v>673</v>
      </c>
      <c r="R1121" t="s">
        <v>1025</v>
      </c>
    </row>
    <row r="1122" spans="1:18" x14ac:dyDescent="0.25">
      <c r="A1122" t="s">
        <v>631</v>
      </c>
      <c r="B1122" t="s">
        <v>1006</v>
      </c>
      <c r="C1122">
        <v>3</v>
      </c>
      <c r="D1122" t="s">
        <v>682</v>
      </c>
      <c r="E1122" t="s">
        <v>587</v>
      </c>
      <c r="F1122" t="s">
        <v>27</v>
      </c>
      <c r="G1122">
        <v>35</v>
      </c>
      <c r="H1122">
        <v>45</v>
      </c>
      <c r="I1122" s="72" t="b">
        <v>0</v>
      </c>
      <c r="J1122" t="s">
        <v>1037</v>
      </c>
      <c r="K1122" s="69" t="s">
        <v>447</v>
      </c>
      <c r="L1122" t="s">
        <v>1066</v>
      </c>
      <c r="Q1122" t="s">
        <v>673</v>
      </c>
      <c r="R1122" t="s">
        <v>1025</v>
      </c>
    </row>
    <row r="1123" spans="1:18" x14ac:dyDescent="0.25">
      <c r="A1123" t="s">
        <v>631</v>
      </c>
      <c r="B1123" t="s">
        <v>1007</v>
      </c>
      <c r="C1123">
        <v>1</v>
      </c>
      <c r="D1123" t="s">
        <v>11</v>
      </c>
      <c r="E1123" t="s">
        <v>695</v>
      </c>
      <c r="F1123" t="s">
        <v>27</v>
      </c>
      <c r="G1123">
        <v>2</v>
      </c>
      <c r="H1123">
        <v>5</v>
      </c>
      <c r="I1123" s="72" t="b">
        <v>0</v>
      </c>
      <c r="J1123" t="s">
        <v>715</v>
      </c>
      <c r="K1123" s="68" t="s">
        <v>32</v>
      </c>
      <c r="Q1123" t="s">
        <v>673</v>
      </c>
      <c r="R1123" t="s">
        <v>1025</v>
      </c>
    </row>
    <row r="1124" spans="1:18" x14ac:dyDescent="0.25">
      <c r="A1124" t="s">
        <v>631</v>
      </c>
      <c r="B1124" t="s">
        <v>1007</v>
      </c>
      <c r="C1124">
        <v>1</v>
      </c>
      <c r="D1124" t="s">
        <v>705</v>
      </c>
      <c r="E1124" t="s">
        <v>637</v>
      </c>
      <c r="F1124" t="s">
        <v>25</v>
      </c>
      <c r="G1124">
        <v>0</v>
      </c>
      <c r="H1124">
        <v>1</v>
      </c>
      <c r="I1124" s="73" t="b">
        <v>1</v>
      </c>
      <c r="J1124" t="s">
        <v>1040</v>
      </c>
      <c r="K1124" s="68" t="s">
        <v>32</v>
      </c>
      <c r="Q1124" t="s">
        <v>673</v>
      </c>
      <c r="R1124" t="s">
        <v>1025</v>
      </c>
    </row>
    <row r="1125" spans="1:18" x14ac:dyDescent="0.25">
      <c r="A1125" t="s">
        <v>631</v>
      </c>
      <c r="B1125" t="s">
        <v>1007</v>
      </c>
      <c r="C1125">
        <v>1</v>
      </c>
      <c r="D1125" t="s">
        <v>355</v>
      </c>
      <c r="E1125" t="s">
        <v>696</v>
      </c>
      <c r="F1125" s="69" t="s">
        <v>25</v>
      </c>
      <c r="G1125">
        <v>0</v>
      </c>
      <c r="H1125">
        <v>1</v>
      </c>
      <c r="I1125" s="69" t="b">
        <v>1</v>
      </c>
      <c r="J1125" t="s">
        <v>1031</v>
      </c>
      <c r="K1125" s="68" t="s">
        <v>32</v>
      </c>
      <c r="Q1125" t="s">
        <v>673</v>
      </c>
      <c r="R1125" t="s">
        <v>1025</v>
      </c>
    </row>
    <row r="1126" spans="1:18" x14ac:dyDescent="0.25">
      <c r="A1126" t="s">
        <v>631</v>
      </c>
      <c r="B1126" t="s">
        <v>1007</v>
      </c>
      <c r="C1126">
        <v>1</v>
      </c>
      <c r="D1126" t="s">
        <v>421</v>
      </c>
      <c r="E1126" t="s">
        <v>644</v>
      </c>
      <c r="F1126" t="s">
        <v>25</v>
      </c>
      <c r="G1126">
        <v>45</v>
      </c>
      <c r="H1126">
        <v>55</v>
      </c>
      <c r="I1126" s="73" t="b">
        <v>1</v>
      </c>
      <c r="J1126" t="s">
        <v>1049</v>
      </c>
      <c r="K1126" s="68" t="s">
        <v>32</v>
      </c>
      <c r="Q1126" t="s">
        <v>673</v>
      </c>
      <c r="R1126" t="s">
        <v>1025</v>
      </c>
    </row>
    <row r="1127" spans="1:18" x14ac:dyDescent="0.25">
      <c r="A1127" t="s">
        <v>631</v>
      </c>
      <c r="B1127" t="s">
        <v>1007</v>
      </c>
      <c r="C1127">
        <v>1</v>
      </c>
      <c r="D1127" t="s">
        <v>392</v>
      </c>
      <c r="E1127" t="s">
        <v>607</v>
      </c>
      <c r="F1127" t="s">
        <v>25</v>
      </c>
      <c r="G1127">
        <v>55</v>
      </c>
      <c r="H1127">
        <v>65</v>
      </c>
      <c r="I1127" s="73" t="b">
        <v>1</v>
      </c>
      <c r="J1127" t="s">
        <v>847</v>
      </c>
      <c r="K1127" s="68" t="s">
        <v>32</v>
      </c>
      <c r="Q1127" t="s">
        <v>673</v>
      </c>
      <c r="R1127" t="s">
        <v>1025</v>
      </c>
    </row>
    <row r="1128" spans="1:18" x14ac:dyDescent="0.25">
      <c r="A1128" t="s">
        <v>631</v>
      </c>
      <c r="B1128" t="s">
        <v>1007</v>
      </c>
      <c r="C1128">
        <v>1</v>
      </c>
      <c r="D1128" t="s">
        <v>410</v>
      </c>
      <c r="E1128" t="s">
        <v>697</v>
      </c>
      <c r="F1128" t="s">
        <v>27</v>
      </c>
      <c r="G1128">
        <v>0</v>
      </c>
      <c r="H1128">
        <v>1</v>
      </c>
      <c r="I1128" s="72" t="b">
        <v>0</v>
      </c>
      <c r="J1128" t="s">
        <v>1039</v>
      </c>
      <c r="K1128" s="68" t="s">
        <v>32</v>
      </c>
      <c r="Q1128" t="s">
        <v>673</v>
      </c>
      <c r="R1128" t="s">
        <v>1025</v>
      </c>
    </row>
    <row r="1129" spans="1:18" x14ac:dyDescent="0.25">
      <c r="A1129" t="s">
        <v>631</v>
      </c>
      <c r="B1129" t="s">
        <v>1007</v>
      </c>
      <c r="C1129">
        <v>1</v>
      </c>
      <c r="D1129" t="s">
        <v>682</v>
      </c>
      <c r="E1129" t="s">
        <v>574</v>
      </c>
      <c r="F1129" t="s">
        <v>27</v>
      </c>
      <c r="G1129">
        <v>3</v>
      </c>
      <c r="H1129">
        <v>7</v>
      </c>
      <c r="I1129" s="72" t="b">
        <v>0</v>
      </c>
      <c r="J1129" t="s">
        <v>1037</v>
      </c>
      <c r="K1129" s="68" t="s">
        <v>32</v>
      </c>
      <c r="Q1129" t="s">
        <v>673</v>
      </c>
      <c r="R1129" t="s">
        <v>1025</v>
      </c>
    </row>
    <row r="1130" spans="1:18" x14ac:dyDescent="0.25">
      <c r="A1130" s="77" t="s">
        <v>631</v>
      </c>
      <c r="B1130" s="77" t="s">
        <v>1007</v>
      </c>
      <c r="C1130" s="77">
        <v>2</v>
      </c>
      <c r="D1130" s="77" t="s">
        <v>11</v>
      </c>
      <c r="E1130" s="77" t="s">
        <v>698</v>
      </c>
      <c r="F1130" t="s">
        <v>25</v>
      </c>
      <c r="G1130">
        <v>2</v>
      </c>
      <c r="H1130">
        <v>11</v>
      </c>
      <c r="I1130" s="73" t="b">
        <v>1</v>
      </c>
      <c r="J1130" t="s">
        <v>715</v>
      </c>
      <c r="K1130" s="68" t="s">
        <v>32</v>
      </c>
      <c r="L1130" t="s">
        <v>1066</v>
      </c>
      <c r="N1130" s="77" t="s">
        <v>1005</v>
      </c>
      <c r="O1130" s="77" t="s">
        <v>24</v>
      </c>
      <c r="P1130" s="77">
        <v>10</v>
      </c>
      <c r="Q1130" t="s">
        <v>673</v>
      </c>
      <c r="R1130" t="s">
        <v>1025</v>
      </c>
    </row>
    <row r="1131" spans="1:18" x14ac:dyDescent="0.25">
      <c r="A1131" s="77" t="s">
        <v>631</v>
      </c>
      <c r="B1131" s="77" t="s">
        <v>1007</v>
      </c>
      <c r="C1131" s="77">
        <v>2</v>
      </c>
      <c r="D1131" s="77" t="s">
        <v>11</v>
      </c>
      <c r="E1131" s="77" t="s">
        <v>1001</v>
      </c>
      <c r="F1131" t="s">
        <v>25</v>
      </c>
      <c r="G1131">
        <v>5</v>
      </c>
      <c r="H1131">
        <v>16</v>
      </c>
      <c r="I1131" s="73" t="b">
        <v>1</v>
      </c>
      <c r="J1131" t="s">
        <v>715</v>
      </c>
      <c r="K1131" s="69" t="s">
        <v>447</v>
      </c>
      <c r="L1131" t="s">
        <v>1066</v>
      </c>
      <c r="N1131" s="77" t="s">
        <v>1005</v>
      </c>
      <c r="O1131" s="77" t="s">
        <v>24</v>
      </c>
      <c r="P1131" s="77">
        <v>10</v>
      </c>
      <c r="Q1131" t="s">
        <v>673</v>
      </c>
      <c r="R1131" t="s">
        <v>1025</v>
      </c>
    </row>
    <row r="1132" spans="1:18" x14ac:dyDescent="0.25">
      <c r="A1132" t="s">
        <v>631</v>
      </c>
      <c r="B1132" t="s">
        <v>1007</v>
      </c>
      <c r="C1132">
        <v>2</v>
      </c>
      <c r="D1132" t="s">
        <v>705</v>
      </c>
      <c r="E1132" t="s">
        <v>637</v>
      </c>
      <c r="F1132" t="s">
        <v>25</v>
      </c>
      <c r="G1132">
        <v>0</v>
      </c>
      <c r="H1132">
        <v>1</v>
      </c>
      <c r="I1132" s="73" t="b">
        <v>1</v>
      </c>
      <c r="J1132" t="s">
        <v>1040</v>
      </c>
      <c r="K1132" s="68" t="s">
        <v>32</v>
      </c>
      <c r="L1132" t="s">
        <v>1066</v>
      </c>
      <c r="Q1132" t="s">
        <v>673</v>
      </c>
      <c r="R1132" t="s">
        <v>1025</v>
      </c>
    </row>
    <row r="1133" spans="1:18" x14ac:dyDescent="0.25">
      <c r="A1133" t="s">
        <v>631</v>
      </c>
      <c r="B1133" t="s">
        <v>1007</v>
      </c>
      <c r="C1133">
        <v>2</v>
      </c>
      <c r="D1133" t="s">
        <v>421</v>
      </c>
      <c r="E1133" t="s">
        <v>625</v>
      </c>
      <c r="F1133" t="s">
        <v>25</v>
      </c>
      <c r="G1133">
        <v>35</v>
      </c>
      <c r="H1133">
        <v>45</v>
      </c>
      <c r="I1133" s="73" t="b">
        <v>1</v>
      </c>
      <c r="J1133" t="s">
        <v>1049</v>
      </c>
      <c r="K1133" s="68" t="s">
        <v>32</v>
      </c>
      <c r="L1133" t="s">
        <v>1066</v>
      </c>
      <c r="Q1133" t="s">
        <v>673</v>
      </c>
      <c r="R1133" t="s">
        <v>1025</v>
      </c>
    </row>
    <row r="1134" spans="1:18" x14ac:dyDescent="0.25">
      <c r="A1134" t="s">
        <v>631</v>
      </c>
      <c r="B1134" t="s">
        <v>1007</v>
      </c>
      <c r="C1134">
        <v>2</v>
      </c>
      <c r="D1134" t="s">
        <v>707</v>
      </c>
      <c r="E1134" t="s">
        <v>625</v>
      </c>
      <c r="F1134" t="s">
        <v>25</v>
      </c>
      <c r="G1134">
        <v>35</v>
      </c>
      <c r="H1134">
        <v>45</v>
      </c>
      <c r="I1134" s="73" t="b">
        <v>1</v>
      </c>
      <c r="J1134" t="s">
        <v>1042</v>
      </c>
      <c r="K1134" s="68" t="s">
        <v>32</v>
      </c>
      <c r="L1134" t="s">
        <v>1066</v>
      </c>
      <c r="Q1134" t="s">
        <v>673</v>
      </c>
      <c r="R1134" t="s">
        <v>1025</v>
      </c>
    </row>
    <row r="1135" spans="1:18" x14ac:dyDescent="0.25">
      <c r="A1135" t="s">
        <v>631</v>
      </c>
      <c r="B1135" t="s">
        <v>1007</v>
      </c>
      <c r="C1135">
        <v>2</v>
      </c>
      <c r="D1135" t="s">
        <v>682</v>
      </c>
      <c r="E1135" t="s">
        <v>585</v>
      </c>
      <c r="F1135" t="s">
        <v>27</v>
      </c>
      <c r="G1135">
        <v>7</v>
      </c>
      <c r="H1135">
        <v>13</v>
      </c>
      <c r="I1135" s="72" t="b">
        <v>0</v>
      </c>
      <c r="J1135" t="s">
        <v>1037</v>
      </c>
      <c r="K1135" s="68" t="s">
        <v>32</v>
      </c>
      <c r="L1135" t="s">
        <v>1066</v>
      </c>
      <c r="Q1135" t="s">
        <v>673</v>
      </c>
      <c r="R1135" t="s">
        <v>1025</v>
      </c>
    </row>
    <row r="1136" spans="1:18" x14ac:dyDescent="0.25">
      <c r="A1136" t="s">
        <v>631</v>
      </c>
      <c r="B1136" t="s">
        <v>1007</v>
      </c>
      <c r="C1136">
        <v>3</v>
      </c>
      <c r="D1136" t="s">
        <v>687</v>
      </c>
      <c r="E1136" t="s">
        <v>615</v>
      </c>
      <c r="F1136" t="s">
        <v>25</v>
      </c>
      <c r="G1136">
        <v>20</v>
      </c>
      <c r="H1136">
        <v>30</v>
      </c>
      <c r="I1136" s="73" t="b">
        <v>1</v>
      </c>
      <c r="J1136" t="s">
        <v>1051</v>
      </c>
      <c r="K1136" s="68" t="s">
        <v>32</v>
      </c>
      <c r="L1136" t="s">
        <v>1066</v>
      </c>
      <c r="Q1136" t="s">
        <v>673</v>
      </c>
      <c r="R1136" t="s">
        <v>1025</v>
      </c>
    </row>
    <row r="1137" spans="1:18" x14ac:dyDescent="0.25">
      <c r="A1137" t="s">
        <v>631</v>
      </c>
      <c r="B1137" t="s">
        <v>1007</v>
      </c>
      <c r="C1137">
        <v>3</v>
      </c>
      <c r="D1137" t="s">
        <v>688</v>
      </c>
      <c r="E1137" t="s">
        <v>619</v>
      </c>
      <c r="F1137" t="s">
        <v>25</v>
      </c>
      <c r="G1137">
        <v>15</v>
      </c>
      <c r="H1137">
        <v>25</v>
      </c>
      <c r="I1137" s="73" t="b">
        <v>1</v>
      </c>
      <c r="J1137" t="s">
        <v>1035</v>
      </c>
      <c r="K1137" s="68" t="s">
        <v>32</v>
      </c>
      <c r="L1137" t="s">
        <v>1066</v>
      </c>
      <c r="Q1137" t="s">
        <v>673</v>
      </c>
      <c r="R1137" t="s">
        <v>1025</v>
      </c>
    </row>
    <row r="1138" spans="1:18" x14ac:dyDescent="0.25">
      <c r="A1138" t="s">
        <v>631</v>
      </c>
      <c r="B1138" t="s">
        <v>1007</v>
      </c>
      <c r="C1138">
        <v>3</v>
      </c>
      <c r="D1138" t="s">
        <v>708</v>
      </c>
      <c r="E1138" t="s">
        <v>637</v>
      </c>
      <c r="F1138" t="s">
        <v>25</v>
      </c>
      <c r="G1138">
        <v>0</v>
      </c>
      <c r="H1138">
        <v>1</v>
      </c>
      <c r="I1138" s="73" t="b">
        <v>1</v>
      </c>
      <c r="J1138" t="s">
        <v>1041</v>
      </c>
      <c r="K1138" s="68" t="s">
        <v>32</v>
      </c>
      <c r="L1138" t="s">
        <v>1066</v>
      </c>
      <c r="Q1138" t="s">
        <v>673</v>
      </c>
      <c r="R1138" t="s">
        <v>1025</v>
      </c>
    </row>
    <row r="1139" spans="1:18" x14ac:dyDescent="0.25">
      <c r="A1139" t="s">
        <v>631</v>
      </c>
      <c r="B1139" t="s">
        <v>1007</v>
      </c>
      <c r="C1139">
        <v>3</v>
      </c>
      <c r="D1139" t="s">
        <v>689</v>
      </c>
      <c r="E1139" t="s">
        <v>586</v>
      </c>
      <c r="F1139" t="s">
        <v>27</v>
      </c>
      <c r="G1139">
        <v>45</v>
      </c>
      <c r="H1139">
        <v>55</v>
      </c>
      <c r="I1139" s="72" t="b">
        <v>0</v>
      </c>
      <c r="J1139" t="s">
        <v>1045</v>
      </c>
      <c r="K1139" s="68" t="s">
        <v>32</v>
      </c>
      <c r="L1139" t="s">
        <v>1066</v>
      </c>
      <c r="Q1139" t="s">
        <v>673</v>
      </c>
      <c r="R1139" t="s">
        <v>1025</v>
      </c>
    </row>
    <row r="1140" spans="1:18" x14ac:dyDescent="0.25">
      <c r="A1140" t="s">
        <v>631</v>
      </c>
      <c r="B1140" t="s">
        <v>1007</v>
      </c>
      <c r="C1140">
        <v>3</v>
      </c>
      <c r="D1140" t="s">
        <v>682</v>
      </c>
      <c r="E1140" t="s">
        <v>585</v>
      </c>
      <c r="F1140" t="s">
        <v>27</v>
      </c>
      <c r="G1140">
        <v>7</v>
      </c>
      <c r="H1140">
        <v>13</v>
      </c>
      <c r="I1140" s="72" t="b">
        <v>0</v>
      </c>
      <c r="J1140" t="s">
        <v>1037</v>
      </c>
      <c r="K1140" s="68" t="s">
        <v>32</v>
      </c>
      <c r="L1140" t="s">
        <v>1066</v>
      </c>
      <c r="Q1140" t="s">
        <v>673</v>
      </c>
      <c r="R1140" t="s">
        <v>1025</v>
      </c>
    </row>
    <row r="1141" spans="1:18" x14ac:dyDescent="0.25">
      <c r="A1141" t="s">
        <v>631</v>
      </c>
      <c r="B1141" t="s">
        <v>1007</v>
      </c>
      <c r="C1141">
        <v>4</v>
      </c>
      <c r="D1141" t="s">
        <v>687</v>
      </c>
      <c r="E1141" t="s">
        <v>636</v>
      </c>
      <c r="F1141" t="s">
        <v>25</v>
      </c>
      <c r="G1141">
        <v>3</v>
      </c>
      <c r="H1141">
        <v>7</v>
      </c>
      <c r="I1141" s="73" t="b">
        <v>1</v>
      </c>
      <c r="J1141" t="s">
        <v>1051</v>
      </c>
      <c r="K1141" s="68" t="s">
        <v>32</v>
      </c>
      <c r="Q1141" t="s">
        <v>673</v>
      </c>
      <c r="R1141" t="s">
        <v>1025</v>
      </c>
    </row>
    <row r="1142" spans="1:18" x14ac:dyDescent="0.25">
      <c r="A1142" t="s">
        <v>631</v>
      </c>
      <c r="B1142" t="s">
        <v>1007</v>
      </c>
      <c r="C1142">
        <v>4</v>
      </c>
      <c r="D1142" t="s">
        <v>688</v>
      </c>
      <c r="E1142" t="s">
        <v>636</v>
      </c>
      <c r="F1142" t="s">
        <v>25</v>
      </c>
      <c r="G1142">
        <v>3</v>
      </c>
      <c r="H1142">
        <v>7</v>
      </c>
      <c r="I1142" s="73" t="b">
        <v>1</v>
      </c>
      <c r="J1142" t="s">
        <v>1035</v>
      </c>
      <c r="K1142" s="68" t="s">
        <v>32</v>
      </c>
      <c r="Q1142" t="s">
        <v>673</v>
      </c>
      <c r="R1142" t="s">
        <v>1025</v>
      </c>
    </row>
    <row r="1143" spans="1:18" x14ac:dyDescent="0.25">
      <c r="A1143" t="s">
        <v>631</v>
      </c>
      <c r="B1143" t="s">
        <v>1007</v>
      </c>
      <c r="C1143">
        <v>4</v>
      </c>
      <c r="D1143" t="s">
        <v>690</v>
      </c>
      <c r="E1143" t="s">
        <v>699</v>
      </c>
      <c r="F1143" t="s">
        <v>27</v>
      </c>
      <c r="G1143">
        <v>40</v>
      </c>
      <c r="H1143">
        <v>50</v>
      </c>
      <c r="I1143" s="72" t="b">
        <v>0</v>
      </c>
      <c r="J1143" t="s">
        <v>1053</v>
      </c>
      <c r="K1143" s="68" t="s">
        <v>32</v>
      </c>
      <c r="Q1143" t="s">
        <v>673</v>
      </c>
      <c r="R1143" t="s">
        <v>1025</v>
      </c>
    </row>
    <row r="1144" spans="1:18" x14ac:dyDescent="0.25">
      <c r="A1144" t="s">
        <v>631</v>
      </c>
      <c r="B1144" t="s">
        <v>1007</v>
      </c>
      <c r="C1144">
        <v>4</v>
      </c>
      <c r="D1144" t="s">
        <v>683</v>
      </c>
      <c r="E1144" t="s">
        <v>585</v>
      </c>
      <c r="F1144" t="s">
        <v>27</v>
      </c>
      <c r="G1144">
        <v>7</v>
      </c>
      <c r="H1144">
        <v>13</v>
      </c>
      <c r="I1144" s="72" t="b">
        <v>0</v>
      </c>
      <c r="J1144" t="s">
        <v>1038</v>
      </c>
      <c r="K1144" s="68" t="s">
        <v>32</v>
      </c>
      <c r="Q1144" t="s">
        <v>673</v>
      </c>
      <c r="R1144" t="s">
        <v>1025</v>
      </c>
    </row>
    <row r="1145" spans="1:18" x14ac:dyDescent="0.25">
      <c r="A1145" t="s">
        <v>631</v>
      </c>
      <c r="B1145" t="s">
        <v>1007</v>
      </c>
      <c r="C1145">
        <v>5</v>
      </c>
      <c r="D1145" t="s">
        <v>11</v>
      </c>
      <c r="E1145" t="s">
        <v>620</v>
      </c>
      <c r="F1145" t="s">
        <v>25</v>
      </c>
      <c r="G1145">
        <v>1</v>
      </c>
      <c r="H1145">
        <v>4</v>
      </c>
      <c r="I1145" s="73" t="b">
        <v>1</v>
      </c>
      <c r="J1145" t="s">
        <v>715</v>
      </c>
      <c r="K1145" s="68" t="s">
        <v>32</v>
      </c>
      <c r="Q1145" t="s">
        <v>673</v>
      </c>
      <c r="R1145" t="s">
        <v>1025</v>
      </c>
    </row>
    <row r="1146" spans="1:18" x14ac:dyDescent="0.25">
      <c r="A1146" t="s">
        <v>631</v>
      </c>
      <c r="B1146" t="s">
        <v>1007</v>
      </c>
      <c r="C1146">
        <v>5</v>
      </c>
      <c r="D1146" t="s">
        <v>662</v>
      </c>
      <c r="E1146" t="s">
        <v>622</v>
      </c>
      <c r="F1146" t="s">
        <v>25</v>
      </c>
      <c r="G1146">
        <v>7</v>
      </c>
      <c r="H1146">
        <v>13</v>
      </c>
      <c r="I1146" s="73" t="b">
        <v>1</v>
      </c>
      <c r="J1146" t="s">
        <v>1050</v>
      </c>
      <c r="K1146" s="68" t="s">
        <v>32</v>
      </c>
      <c r="Q1146" t="s">
        <v>673</v>
      </c>
      <c r="R1146" t="s">
        <v>1025</v>
      </c>
    </row>
    <row r="1147" spans="1:18" x14ac:dyDescent="0.25">
      <c r="A1147" t="s">
        <v>631</v>
      </c>
      <c r="B1147" t="s">
        <v>1007</v>
      </c>
      <c r="C1147">
        <v>2</v>
      </c>
      <c r="D1147" t="s">
        <v>705</v>
      </c>
      <c r="E1147" t="s">
        <v>637</v>
      </c>
      <c r="F1147" t="s">
        <v>25</v>
      </c>
      <c r="G1147">
        <v>0</v>
      </c>
      <c r="H1147">
        <v>1</v>
      </c>
      <c r="I1147" s="73" t="b">
        <v>1</v>
      </c>
      <c r="J1147" t="s">
        <v>1040</v>
      </c>
      <c r="K1147" s="69" t="s">
        <v>447</v>
      </c>
      <c r="L1147" t="s">
        <v>1066</v>
      </c>
      <c r="Q1147" t="s">
        <v>673</v>
      </c>
      <c r="R1147" t="s">
        <v>1025</v>
      </c>
    </row>
    <row r="1148" spans="1:18" x14ac:dyDescent="0.25">
      <c r="A1148" t="s">
        <v>631</v>
      </c>
      <c r="B1148" t="s">
        <v>1007</v>
      </c>
      <c r="C1148">
        <v>2</v>
      </c>
      <c r="D1148" t="s">
        <v>421</v>
      </c>
      <c r="E1148" t="s">
        <v>619</v>
      </c>
      <c r="F1148" t="s">
        <v>25</v>
      </c>
      <c r="G1148">
        <v>15</v>
      </c>
      <c r="H1148">
        <v>25</v>
      </c>
      <c r="I1148" s="73" t="b">
        <v>1</v>
      </c>
      <c r="J1148" t="s">
        <v>1049</v>
      </c>
      <c r="K1148" s="69" t="s">
        <v>447</v>
      </c>
      <c r="L1148" t="s">
        <v>1066</v>
      </c>
      <c r="Q1148" t="s">
        <v>673</v>
      </c>
      <c r="R1148" t="s">
        <v>1025</v>
      </c>
    </row>
    <row r="1149" spans="1:18" x14ac:dyDescent="0.25">
      <c r="A1149" t="s">
        <v>631</v>
      </c>
      <c r="B1149" t="s">
        <v>1007</v>
      </c>
      <c r="C1149">
        <v>2</v>
      </c>
      <c r="D1149" t="s">
        <v>707</v>
      </c>
      <c r="E1149" t="s">
        <v>625</v>
      </c>
      <c r="F1149" t="s">
        <v>25</v>
      </c>
      <c r="G1149">
        <v>35</v>
      </c>
      <c r="H1149">
        <v>45</v>
      </c>
      <c r="I1149" s="73" t="b">
        <v>1</v>
      </c>
      <c r="J1149" t="s">
        <v>1042</v>
      </c>
      <c r="K1149" s="69" t="s">
        <v>447</v>
      </c>
      <c r="L1149" t="s">
        <v>1066</v>
      </c>
      <c r="Q1149" t="s">
        <v>673</v>
      </c>
      <c r="R1149" t="s">
        <v>1025</v>
      </c>
    </row>
    <row r="1150" spans="1:18" x14ac:dyDescent="0.25">
      <c r="A1150" t="s">
        <v>631</v>
      </c>
      <c r="B1150" t="s">
        <v>1007</v>
      </c>
      <c r="C1150">
        <v>2</v>
      </c>
      <c r="D1150" t="s">
        <v>682</v>
      </c>
      <c r="E1150" t="s">
        <v>697</v>
      </c>
      <c r="F1150" t="s">
        <v>27</v>
      </c>
      <c r="G1150">
        <v>0</v>
      </c>
      <c r="H1150">
        <v>1</v>
      </c>
      <c r="I1150" s="72" t="b">
        <v>0</v>
      </c>
      <c r="J1150" t="s">
        <v>1037</v>
      </c>
      <c r="K1150" s="69" t="s">
        <v>447</v>
      </c>
      <c r="L1150" t="s">
        <v>1066</v>
      </c>
      <c r="Q1150" t="s">
        <v>673</v>
      </c>
      <c r="R1150" t="s">
        <v>1025</v>
      </c>
    </row>
    <row r="1151" spans="1:18" x14ac:dyDescent="0.25">
      <c r="A1151" t="s">
        <v>631</v>
      </c>
      <c r="B1151" t="s">
        <v>1007</v>
      </c>
      <c r="C1151">
        <v>3</v>
      </c>
      <c r="D1151" t="s">
        <v>355</v>
      </c>
      <c r="E1151" t="s">
        <v>637</v>
      </c>
      <c r="F1151" t="s">
        <v>25</v>
      </c>
      <c r="G1151">
        <v>0</v>
      </c>
      <c r="H1151">
        <v>1</v>
      </c>
      <c r="I1151" s="73" t="b">
        <v>1</v>
      </c>
      <c r="J1151" t="s">
        <v>1031</v>
      </c>
      <c r="K1151" s="69" t="s">
        <v>447</v>
      </c>
      <c r="L1151" t="s">
        <v>1066</v>
      </c>
      <c r="Q1151" t="s">
        <v>673</v>
      </c>
      <c r="R1151" t="s">
        <v>1025</v>
      </c>
    </row>
    <row r="1152" spans="1:18" x14ac:dyDescent="0.25">
      <c r="A1152" t="s">
        <v>631</v>
      </c>
      <c r="B1152" t="s">
        <v>1007</v>
      </c>
      <c r="C1152">
        <v>3</v>
      </c>
      <c r="D1152" t="s">
        <v>687</v>
      </c>
      <c r="E1152" t="s">
        <v>615</v>
      </c>
      <c r="F1152" t="s">
        <v>25</v>
      </c>
      <c r="G1152">
        <v>20</v>
      </c>
      <c r="H1152">
        <v>30</v>
      </c>
      <c r="I1152" s="73" t="b">
        <v>1</v>
      </c>
      <c r="J1152" t="s">
        <v>1051</v>
      </c>
      <c r="K1152" s="69" t="s">
        <v>447</v>
      </c>
      <c r="L1152" t="s">
        <v>1066</v>
      </c>
      <c r="Q1152" t="s">
        <v>673</v>
      </c>
      <c r="R1152" t="s">
        <v>1025</v>
      </c>
    </row>
    <row r="1153" spans="1:18" x14ac:dyDescent="0.25">
      <c r="A1153" t="s">
        <v>631</v>
      </c>
      <c r="B1153" t="s">
        <v>1007</v>
      </c>
      <c r="C1153">
        <v>3</v>
      </c>
      <c r="D1153" t="s">
        <v>688</v>
      </c>
      <c r="E1153" t="s">
        <v>619</v>
      </c>
      <c r="F1153" t="s">
        <v>25</v>
      </c>
      <c r="G1153">
        <v>15</v>
      </c>
      <c r="H1153">
        <v>25</v>
      </c>
      <c r="I1153" s="73" t="b">
        <v>1</v>
      </c>
      <c r="J1153" t="s">
        <v>1035</v>
      </c>
      <c r="K1153" s="69" t="s">
        <v>447</v>
      </c>
      <c r="L1153" t="s">
        <v>1066</v>
      </c>
      <c r="Q1153" t="s">
        <v>673</v>
      </c>
      <c r="R1153" t="s">
        <v>1025</v>
      </c>
    </row>
    <row r="1154" spans="1:18" x14ac:dyDescent="0.25">
      <c r="A1154" t="s">
        <v>631</v>
      </c>
      <c r="B1154" t="s">
        <v>1007</v>
      </c>
      <c r="C1154">
        <v>3</v>
      </c>
      <c r="D1154" t="s">
        <v>708</v>
      </c>
      <c r="E1154" t="s">
        <v>637</v>
      </c>
      <c r="F1154" t="s">
        <v>25</v>
      </c>
      <c r="G1154">
        <v>0</v>
      </c>
      <c r="H1154">
        <v>1</v>
      </c>
      <c r="I1154" s="73" t="b">
        <v>1</v>
      </c>
      <c r="J1154" t="s">
        <v>1041</v>
      </c>
      <c r="K1154" s="69" t="s">
        <v>447</v>
      </c>
      <c r="L1154" t="s">
        <v>1066</v>
      </c>
      <c r="Q1154" t="s">
        <v>673</v>
      </c>
      <c r="R1154" t="s">
        <v>1025</v>
      </c>
    </row>
    <row r="1155" spans="1:18" x14ac:dyDescent="0.25">
      <c r="A1155" t="s">
        <v>631</v>
      </c>
      <c r="B1155" t="s">
        <v>1007</v>
      </c>
      <c r="C1155">
        <v>3</v>
      </c>
      <c r="D1155" t="s">
        <v>689</v>
      </c>
      <c r="E1155" t="s">
        <v>586</v>
      </c>
      <c r="F1155" t="s">
        <v>27</v>
      </c>
      <c r="G1155">
        <v>45</v>
      </c>
      <c r="H1155">
        <v>55</v>
      </c>
      <c r="I1155" s="72" t="b">
        <v>0</v>
      </c>
      <c r="J1155" t="s">
        <v>1045</v>
      </c>
      <c r="K1155" s="69" t="s">
        <v>447</v>
      </c>
      <c r="L1155" t="s">
        <v>1066</v>
      </c>
      <c r="Q1155" t="s">
        <v>673</v>
      </c>
      <c r="R1155" t="s">
        <v>1025</v>
      </c>
    </row>
    <row r="1156" spans="1:18" x14ac:dyDescent="0.25">
      <c r="A1156" t="s">
        <v>631</v>
      </c>
      <c r="B1156" t="s">
        <v>1007</v>
      </c>
      <c r="C1156">
        <v>3</v>
      </c>
      <c r="D1156" t="s">
        <v>682</v>
      </c>
      <c r="E1156" t="s">
        <v>587</v>
      </c>
      <c r="F1156" t="s">
        <v>27</v>
      </c>
      <c r="G1156">
        <v>35</v>
      </c>
      <c r="H1156">
        <v>45</v>
      </c>
      <c r="I1156" s="72" t="b">
        <v>0</v>
      </c>
      <c r="J1156" t="s">
        <v>1037</v>
      </c>
      <c r="K1156" s="69" t="s">
        <v>447</v>
      </c>
      <c r="L1156" t="s">
        <v>1066</v>
      </c>
      <c r="Q1156" t="s">
        <v>673</v>
      </c>
      <c r="R1156" t="s">
        <v>1025</v>
      </c>
    </row>
    <row r="1157" spans="1:18" x14ac:dyDescent="0.25">
      <c r="A1157" t="s">
        <v>631</v>
      </c>
      <c r="B1157" t="s">
        <v>1010</v>
      </c>
      <c r="C1157">
        <v>1</v>
      </c>
      <c r="D1157" t="s">
        <v>11</v>
      </c>
      <c r="E1157" t="s">
        <v>695</v>
      </c>
      <c r="F1157" t="s">
        <v>27</v>
      </c>
      <c r="G1157">
        <v>2</v>
      </c>
      <c r="H1157">
        <v>5</v>
      </c>
      <c r="I1157" s="72" t="b">
        <v>0</v>
      </c>
      <c r="J1157" t="s">
        <v>715</v>
      </c>
      <c r="K1157" s="68" t="s">
        <v>32</v>
      </c>
      <c r="Q1157" t="s">
        <v>674</v>
      </c>
      <c r="R1157" t="s">
        <v>1026</v>
      </c>
    </row>
    <row r="1158" spans="1:18" x14ac:dyDescent="0.25">
      <c r="A1158" t="s">
        <v>631</v>
      </c>
      <c r="B1158" t="s">
        <v>1010</v>
      </c>
      <c r="C1158">
        <v>1</v>
      </c>
      <c r="D1158" t="s">
        <v>705</v>
      </c>
      <c r="E1158" t="s">
        <v>697</v>
      </c>
      <c r="F1158" t="s">
        <v>27</v>
      </c>
      <c r="G1158">
        <v>0</v>
      </c>
      <c r="H1158">
        <v>1</v>
      </c>
      <c r="I1158" s="72" t="b">
        <v>0</v>
      </c>
      <c r="J1158" t="s">
        <v>1040</v>
      </c>
      <c r="K1158" s="68" t="s">
        <v>32</v>
      </c>
      <c r="Q1158" t="s">
        <v>674</v>
      </c>
      <c r="R1158" t="s">
        <v>1026</v>
      </c>
    </row>
    <row r="1159" spans="1:18" x14ac:dyDescent="0.25">
      <c r="A1159" t="s">
        <v>631</v>
      </c>
      <c r="B1159" t="s">
        <v>1010</v>
      </c>
      <c r="C1159">
        <v>1</v>
      </c>
      <c r="D1159" t="s">
        <v>355</v>
      </c>
      <c r="E1159" t="s">
        <v>696</v>
      </c>
      <c r="F1159" s="69" t="s">
        <v>25</v>
      </c>
      <c r="G1159">
        <v>0</v>
      </c>
      <c r="H1159">
        <v>1</v>
      </c>
      <c r="I1159" s="69" t="b">
        <v>1</v>
      </c>
      <c r="J1159" t="s">
        <v>1031</v>
      </c>
      <c r="K1159" s="68" t="s">
        <v>32</v>
      </c>
      <c r="Q1159" t="s">
        <v>674</v>
      </c>
      <c r="R1159" t="s">
        <v>1026</v>
      </c>
    </row>
    <row r="1160" spans="1:18" x14ac:dyDescent="0.25">
      <c r="A1160" t="s">
        <v>631</v>
      </c>
      <c r="B1160" t="s">
        <v>1010</v>
      </c>
      <c r="C1160">
        <v>1</v>
      </c>
      <c r="D1160" t="s">
        <v>421</v>
      </c>
      <c r="E1160" t="s">
        <v>644</v>
      </c>
      <c r="F1160" t="s">
        <v>25</v>
      </c>
      <c r="G1160">
        <v>45</v>
      </c>
      <c r="H1160">
        <v>55</v>
      </c>
      <c r="I1160" s="73" t="b">
        <v>1</v>
      </c>
      <c r="J1160" t="s">
        <v>1049</v>
      </c>
      <c r="K1160" s="68" t="s">
        <v>32</v>
      </c>
      <c r="Q1160" t="s">
        <v>674</v>
      </c>
      <c r="R1160" t="s">
        <v>1026</v>
      </c>
    </row>
    <row r="1161" spans="1:18" x14ac:dyDescent="0.25">
      <c r="A1161" t="s">
        <v>631</v>
      </c>
      <c r="B1161" t="s">
        <v>1010</v>
      </c>
      <c r="C1161">
        <v>1</v>
      </c>
      <c r="D1161" t="s">
        <v>392</v>
      </c>
      <c r="E1161" t="s">
        <v>607</v>
      </c>
      <c r="F1161" t="s">
        <v>25</v>
      </c>
      <c r="G1161">
        <v>55</v>
      </c>
      <c r="H1161">
        <v>65</v>
      </c>
      <c r="I1161" s="73" t="b">
        <v>1</v>
      </c>
      <c r="J1161" t="s">
        <v>847</v>
      </c>
      <c r="K1161" s="68" t="s">
        <v>32</v>
      </c>
      <c r="Q1161" t="s">
        <v>674</v>
      </c>
      <c r="R1161" t="s">
        <v>1026</v>
      </c>
    </row>
    <row r="1162" spans="1:18" x14ac:dyDescent="0.25">
      <c r="A1162" t="s">
        <v>631</v>
      </c>
      <c r="B1162" t="s">
        <v>1010</v>
      </c>
      <c r="C1162">
        <v>1</v>
      </c>
      <c r="D1162" t="s">
        <v>410</v>
      </c>
      <c r="E1162" t="s">
        <v>697</v>
      </c>
      <c r="F1162" t="s">
        <v>27</v>
      </c>
      <c r="G1162">
        <v>0</v>
      </c>
      <c r="H1162">
        <v>1</v>
      </c>
      <c r="I1162" s="72" t="b">
        <v>0</v>
      </c>
      <c r="J1162" t="s">
        <v>1039</v>
      </c>
      <c r="K1162" s="68" t="s">
        <v>32</v>
      </c>
      <c r="Q1162" t="s">
        <v>674</v>
      </c>
      <c r="R1162" t="s">
        <v>1026</v>
      </c>
    </row>
    <row r="1163" spans="1:18" x14ac:dyDescent="0.25">
      <c r="A1163" t="s">
        <v>631</v>
      </c>
      <c r="B1163" t="s">
        <v>1010</v>
      </c>
      <c r="C1163">
        <v>1</v>
      </c>
      <c r="D1163" t="s">
        <v>682</v>
      </c>
      <c r="E1163" t="s">
        <v>574</v>
      </c>
      <c r="F1163" t="s">
        <v>27</v>
      </c>
      <c r="G1163">
        <v>3</v>
      </c>
      <c r="H1163">
        <v>7</v>
      </c>
      <c r="I1163" s="72" t="b">
        <v>0</v>
      </c>
      <c r="J1163" t="s">
        <v>1037</v>
      </c>
      <c r="K1163" s="68" t="s">
        <v>32</v>
      </c>
      <c r="Q1163" t="s">
        <v>674</v>
      </c>
      <c r="R1163" t="s">
        <v>1026</v>
      </c>
    </row>
    <row r="1164" spans="1:18" x14ac:dyDescent="0.25">
      <c r="A1164" s="76" t="s">
        <v>631</v>
      </c>
      <c r="B1164" s="76" t="s">
        <v>1010</v>
      </c>
      <c r="C1164" s="76">
        <v>2</v>
      </c>
      <c r="D1164" s="76" t="s">
        <v>11</v>
      </c>
      <c r="E1164" s="76" t="s">
        <v>580</v>
      </c>
      <c r="F1164" t="s">
        <v>27</v>
      </c>
      <c r="G1164">
        <v>6</v>
      </c>
      <c r="H1164">
        <v>10</v>
      </c>
      <c r="I1164" s="72" t="b">
        <v>0</v>
      </c>
      <c r="J1164" t="s">
        <v>715</v>
      </c>
      <c r="K1164" s="68" t="s">
        <v>32</v>
      </c>
      <c r="L1164" t="s">
        <v>1066</v>
      </c>
      <c r="N1164" s="77" t="s">
        <v>1005</v>
      </c>
      <c r="O1164" s="77" t="s">
        <v>27</v>
      </c>
      <c r="P1164" s="77">
        <v>10</v>
      </c>
      <c r="Q1164" t="s">
        <v>674</v>
      </c>
      <c r="R1164" t="s">
        <v>1026</v>
      </c>
    </row>
    <row r="1165" spans="1:18" x14ac:dyDescent="0.25">
      <c r="A1165" t="s">
        <v>631</v>
      </c>
      <c r="B1165" t="s">
        <v>1010</v>
      </c>
      <c r="C1165">
        <v>2</v>
      </c>
      <c r="D1165" t="s">
        <v>688</v>
      </c>
      <c r="E1165" t="s">
        <v>700</v>
      </c>
      <c r="F1165" t="s">
        <v>25</v>
      </c>
      <c r="G1165">
        <v>65</v>
      </c>
      <c r="H1165">
        <v>75</v>
      </c>
      <c r="I1165" s="73" t="b">
        <v>1</v>
      </c>
      <c r="J1165" t="s">
        <v>1035</v>
      </c>
      <c r="K1165" s="68" t="s">
        <v>32</v>
      </c>
      <c r="L1165" t="s">
        <v>1066</v>
      </c>
      <c r="Q1165" t="s">
        <v>674</v>
      </c>
      <c r="R1165" t="s">
        <v>1026</v>
      </c>
    </row>
    <row r="1166" spans="1:18" x14ac:dyDescent="0.25">
      <c r="A1166" t="s">
        <v>631</v>
      </c>
      <c r="B1166" t="s">
        <v>1010</v>
      </c>
      <c r="C1166">
        <v>3</v>
      </c>
      <c r="D1166" t="s">
        <v>687</v>
      </c>
      <c r="E1166" t="s">
        <v>615</v>
      </c>
      <c r="F1166" t="s">
        <v>25</v>
      </c>
      <c r="G1166">
        <v>20</v>
      </c>
      <c r="H1166">
        <v>30</v>
      </c>
      <c r="I1166" s="73" t="b">
        <v>1</v>
      </c>
      <c r="J1166" t="s">
        <v>1051</v>
      </c>
      <c r="K1166" s="68" t="s">
        <v>32</v>
      </c>
      <c r="L1166" t="s">
        <v>1066</v>
      </c>
      <c r="Q1166" t="s">
        <v>674</v>
      </c>
      <c r="R1166" t="s">
        <v>1026</v>
      </c>
    </row>
    <row r="1167" spans="1:18" x14ac:dyDescent="0.25">
      <c r="A1167" t="s">
        <v>631</v>
      </c>
      <c r="B1167" t="s">
        <v>1010</v>
      </c>
      <c r="C1167">
        <v>3</v>
      </c>
      <c r="D1167" t="s">
        <v>688</v>
      </c>
      <c r="E1167" t="s">
        <v>619</v>
      </c>
      <c r="F1167" t="s">
        <v>25</v>
      </c>
      <c r="G1167">
        <v>15</v>
      </c>
      <c r="H1167">
        <v>25</v>
      </c>
      <c r="I1167" s="73" t="b">
        <v>1</v>
      </c>
      <c r="J1167" t="s">
        <v>1035</v>
      </c>
      <c r="K1167" s="68" t="s">
        <v>32</v>
      </c>
      <c r="L1167" t="s">
        <v>1066</v>
      </c>
      <c r="Q1167" t="s">
        <v>674</v>
      </c>
      <c r="R1167" t="s">
        <v>1026</v>
      </c>
    </row>
    <row r="1168" spans="1:18" x14ac:dyDescent="0.25">
      <c r="A1168" t="s">
        <v>631</v>
      </c>
      <c r="B1168" t="s">
        <v>1010</v>
      </c>
      <c r="C1168">
        <v>3</v>
      </c>
      <c r="D1168" t="s">
        <v>708</v>
      </c>
      <c r="E1168" t="s">
        <v>637</v>
      </c>
      <c r="F1168" t="s">
        <v>25</v>
      </c>
      <c r="G1168">
        <v>0</v>
      </c>
      <c r="H1168">
        <v>1</v>
      </c>
      <c r="I1168" s="73" t="b">
        <v>1</v>
      </c>
      <c r="J1168" t="s">
        <v>1041</v>
      </c>
      <c r="K1168" s="68" t="s">
        <v>32</v>
      </c>
      <c r="L1168" t="s">
        <v>1066</v>
      </c>
      <c r="Q1168" t="s">
        <v>674</v>
      </c>
      <c r="R1168" t="s">
        <v>1026</v>
      </c>
    </row>
    <row r="1169" spans="1:18" x14ac:dyDescent="0.25">
      <c r="A1169" t="s">
        <v>631</v>
      </c>
      <c r="B1169" t="s">
        <v>1010</v>
      </c>
      <c r="C1169">
        <v>3</v>
      </c>
      <c r="D1169" t="s">
        <v>689</v>
      </c>
      <c r="E1169" t="s">
        <v>586</v>
      </c>
      <c r="F1169" t="s">
        <v>27</v>
      </c>
      <c r="G1169">
        <v>45</v>
      </c>
      <c r="H1169">
        <v>55</v>
      </c>
      <c r="I1169" s="72" t="b">
        <v>0</v>
      </c>
      <c r="J1169" t="s">
        <v>1045</v>
      </c>
      <c r="K1169" s="68" t="s">
        <v>32</v>
      </c>
      <c r="L1169" t="s">
        <v>1066</v>
      </c>
      <c r="Q1169" t="s">
        <v>674</v>
      </c>
      <c r="R1169" t="s">
        <v>1026</v>
      </c>
    </row>
    <row r="1170" spans="1:18" x14ac:dyDescent="0.25">
      <c r="A1170" t="s">
        <v>631</v>
      </c>
      <c r="B1170" t="s">
        <v>1010</v>
      </c>
      <c r="C1170">
        <v>3</v>
      </c>
      <c r="D1170" t="s">
        <v>682</v>
      </c>
      <c r="E1170" t="s">
        <v>585</v>
      </c>
      <c r="F1170" t="s">
        <v>27</v>
      </c>
      <c r="G1170">
        <v>7</v>
      </c>
      <c r="H1170">
        <v>13</v>
      </c>
      <c r="I1170" s="72" t="b">
        <v>0</v>
      </c>
      <c r="J1170" t="s">
        <v>1037</v>
      </c>
      <c r="K1170" s="68" t="s">
        <v>32</v>
      </c>
      <c r="L1170" t="s">
        <v>1066</v>
      </c>
      <c r="Q1170" t="s">
        <v>674</v>
      </c>
      <c r="R1170" t="s">
        <v>1026</v>
      </c>
    </row>
    <row r="1171" spans="1:18" x14ac:dyDescent="0.25">
      <c r="A1171" t="s">
        <v>631</v>
      </c>
      <c r="B1171" t="s">
        <v>1010</v>
      </c>
      <c r="C1171">
        <v>4</v>
      </c>
      <c r="D1171" t="s">
        <v>687</v>
      </c>
      <c r="E1171" t="s">
        <v>636</v>
      </c>
      <c r="F1171" t="s">
        <v>25</v>
      </c>
      <c r="G1171">
        <v>3</v>
      </c>
      <c r="H1171">
        <v>7</v>
      </c>
      <c r="I1171" s="73" t="b">
        <v>1</v>
      </c>
      <c r="J1171" t="s">
        <v>1051</v>
      </c>
      <c r="K1171" s="68" t="s">
        <v>32</v>
      </c>
      <c r="Q1171" t="s">
        <v>674</v>
      </c>
      <c r="R1171" t="s">
        <v>1026</v>
      </c>
    </row>
    <row r="1172" spans="1:18" x14ac:dyDescent="0.25">
      <c r="A1172" t="s">
        <v>631</v>
      </c>
      <c r="B1172" t="s">
        <v>1010</v>
      </c>
      <c r="C1172">
        <v>4</v>
      </c>
      <c r="D1172" t="s">
        <v>688</v>
      </c>
      <c r="E1172" t="s">
        <v>636</v>
      </c>
      <c r="F1172" t="s">
        <v>25</v>
      </c>
      <c r="G1172">
        <v>3</v>
      </c>
      <c r="H1172">
        <v>7</v>
      </c>
      <c r="I1172" s="73" t="b">
        <v>1</v>
      </c>
      <c r="J1172" t="s">
        <v>1035</v>
      </c>
      <c r="K1172" s="68" t="s">
        <v>32</v>
      </c>
      <c r="Q1172" t="s">
        <v>674</v>
      </c>
      <c r="R1172" t="s">
        <v>1026</v>
      </c>
    </row>
    <row r="1173" spans="1:18" x14ac:dyDescent="0.25">
      <c r="A1173" t="s">
        <v>631</v>
      </c>
      <c r="B1173" t="s">
        <v>1010</v>
      </c>
      <c r="C1173">
        <v>4</v>
      </c>
      <c r="D1173" t="s">
        <v>690</v>
      </c>
      <c r="E1173" t="s">
        <v>699</v>
      </c>
      <c r="F1173" t="s">
        <v>27</v>
      </c>
      <c r="G1173">
        <v>40</v>
      </c>
      <c r="H1173">
        <v>50</v>
      </c>
      <c r="I1173" s="72" t="b">
        <v>0</v>
      </c>
      <c r="J1173" t="s">
        <v>1053</v>
      </c>
      <c r="K1173" s="68" t="s">
        <v>32</v>
      </c>
      <c r="Q1173" t="s">
        <v>674</v>
      </c>
      <c r="R1173" t="s">
        <v>1026</v>
      </c>
    </row>
    <row r="1174" spans="1:18" x14ac:dyDescent="0.25">
      <c r="A1174" t="s">
        <v>631</v>
      </c>
      <c r="B1174" t="s">
        <v>1010</v>
      </c>
      <c r="C1174">
        <v>4</v>
      </c>
      <c r="D1174" t="s">
        <v>683</v>
      </c>
      <c r="E1174" t="s">
        <v>585</v>
      </c>
      <c r="F1174" t="s">
        <v>27</v>
      </c>
      <c r="G1174">
        <v>7</v>
      </c>
      <c r="H1174">
        <v>13</v>
      </c>
      <c r="I1174" s="72" t="b">
        <v>0</v>
      </c>
      <c r="J1174" t="s">
        <v>1038</v>
      </c>
      <c r="K1174" s="68" t="s">
        <v>32</v>
      </c>
      <c r="Q1174" t="s">
        <v>674</v>
      </c>
      <c r="R1174" t="s">
        <v>1026</v>
      </c>
    </row>
    <row r="1175" spans="1:18" x14ac:dyDescent="0.25">
      <c r="A1175" t="s">
        <v>631</v>
      </c>
      <c r="B1175" t="s">
        <v>1010</v>
      </c>
      <c r="C1175">
        <v>5</v>
      </c>
      <c r="D1175" t="s">
        <v>11</v>
      </c>
      <c r="E1175" t="s">
        <v>620</v>
      </c>
      <c r="F1175" t="s">
        <v>25</v>
      </c>
      <c r="G1175">
        <v>1</v>
      </c>
      <c r="H1175">
        <v>4</v>
      </c>
      <c r="I1175" s="73" t="b">
        <v>1</v>
      </c>
      <c r="J1175" t="s">
        <v>715</v>
      </c>
      <c r="K1175" s="68" t="s">
        <v>32</v>
      </c>
      <c r="Q1175" t="s">
        <v>674</v>
      </c>
      <c r="R1175" t="s">
        <v>1026</v>
      </c>
    </row>
    <row r="1176" spans="1:18" x14ac:dyDescent="0.25">
      <c r="A1176" t="s">
        <v>631</v>
      </c>
      <c r="B1176" t="s">
        <v>1010</v>
      </c>
      <c r="C1176">
        <v>5</v>
      </c>
      <c r="D1176" t="s">
        <v>662</v>
      </c>
      <c r="E1176" t="s">
        <v>622</v>
      </c>
      <c r="F1176" t="s">
        <v>25</v>
      </c>
      <c r="G1176">
        <v>7</v>
      </c>
      <c r="H1176">
        <v>13</v>
      </c>
      <c r="I1176" s="73" t="b">
        <v>1</v>
      </c>
      <c r="J1176" t="s">
        <v>1050</v>
      </c>
      <c r="K1176" s="68" t="s">
        <v>32</v>
      </c>
      <c r="Q1176" t="s">
        <v>674</v>
      </c>
      <c r="R1176" t="s">
        <v>1026</v>
      </c>
    </row>
    <row r="1177" spans="1:18" x14ac:dyDescent="0.25">
      <c r="A1177" t="s">
        <v>631</v>
      </c>
      <c r="B1177" t="s">
        <v>1010</v>
      </c>
      <c r="C1177">
        <v>2</v>
      </c>
      <c r="D1177" t="s">
        <v>421</v>
      </c>
      <c r="E1177" t="s">
        <v>704</v>
      </c>
      <c r="F1177" t="s">
        <v>25</v>
      </c>
      <c r="G1177">
        <v>15</v>
      </c>
      <c r="H1177">
        <v>25</v>
      </c>
      <c r="I1177" s="69" t="b">
        <v>1</v>
      </c>
      <c r="J1177" t="s">
        <v>1049</v>
      </c>
      <c r="K1177" s="69" t="s">
        <v>447</v>
      </c>
      <c r="L1177" t="s">
        <v>1066</v>
      </c>
      <c r="Q1177" t="s">
        <v>674</v>
      </c>
      <c r="R1177" t="s">
        <v>1026</v>
      </c>
    </row>
    <row r="1178" spans="1:18" x14ac:dyDescent="0.25">
      <c r="A1178" t="s">
        <v>631</v>
      </c>
      <c r="B1178" t="s">
        <v>1010</v>
      </c>
      <c r="C1178">
        <v>2</v>
      </c>
      <c r="D1178" t="s">
        <v>682</v>
      </c>
      <c r="E1178" t="s">
        <v>585</v>
      </c>
      <c r="F1178" t="s">
        <v>27</v>
      </c>
      <c r="G1178">
        <v>7</v>
      </c>
      <c r="H1178">
        <v>13</v>
      </c>
      <c r="I1178" s="72" t="b">
        <v>0</v>
      </c>
      <c r="J1178" t="s">
        <v>1037</v>
      </c>
      <c r="K1178" s="69" t="s">
        <v>447</v>
      </c>
      <c r="L1178" t="s">
        <v>1066</v>
      </c>
      <c r="Q1178" t="s">
        <v>674</v>
      </c>
      <c r="R1178" t="s">
        <v>1026</v>
      </c>
    </row>
    <row r="1179" spans="1:18" x14ac:dyDescent="0.25">
      <c r="A1179" t="s">
        <v>631</v>
      </c>
      <c r="B1179" t="s">
        <v>1010</v>
      </c>
      <c r="C1179">
        <v>3</v>
      </c>
      <c r="D1179" t="s">
        <v>355</v>
      </c>
      <c r="E1179" t="s">
        <v>637</v>
      </c>
      <c r="F1179" t="s">
        <v>25</v>
      </c>
      <c r="G1179">
        <v>0</v>
      </c>
      <c r="H1179">
        <v>1</v>
      </c>
      <c r="I1179" s="73" t="b">
        <v>1</v>
      </c>
      <c r="J1179" t="s">
        <v>1031</v>
      </c>
      <c r="K1179" s="69" t="s">
        <v>447</v>
      </c>
      <c r="L1179" t="s">
        <v>1066</v>
      </c>
      <c r="Q1179" t="s">
        <v>674</v>
      </c>
      <c r="R1179" t="s">
        <v>1026</v>
      </c>
    </row>
    <row r="1180" spans="1:18" x14ac:dyDescent="0.25">
      <c r="A1180" t="s">
        <v>631</v>
      </c>
      <c r="B1180" t="s">
        <v>1010</v>
      </c>
      <c r="C1180">
        <v>3</v>
      </c>
      <c r="D1180" t="s">
        <v>687</v>
      </c>
      <c r="E1180" t="s">
        <v>615</v>
      </c>
      <c r="F1180" t="s">
        <v>25</v>
      </c>
      <c r="G1180">
        <v>20</v>
      </c>
      <c r="H1180">
        <v>30</v>
      </c>
      <c r="I1180" s="73" t="b">
        <v>1</v>
      </c>
      <c r="J1180" t="s">
        <v>1051</v>
      </c>
      <c r="K1180" s="69" t="s">
        <v>447</v>
      </c>
      <c r="L1180" t="s">
        <v>1066</v>
      </c>
      <c r="Q1180" t="s">
        <v>674</v>
      </c>
      <c r="R1180" t="s">
        <v>1026</v>
      </c>
    </row>
    <row r="1181" spans="1:18" x14ac:dyDescent="0.25">
      <c r="A1181" t="s">
        <v>631</v>
      </c>
      <c r="B1181" t="s">
        <v>1010</v>
      </c>
      <c r="C1181">
        <v>3</v>
      </c>
      <c r="D1181" t="s">
        <v>688</v>
      </c>
      <c r="E1181" t="s">
        <v>619</v>
      </c>
      <c r="F1181" t="s">
        <v>25</v>
      </c>
      <c r="G1181">
        <v>15</v>
      </c>
      <c r="H1181">
        <v>25</v>
      </c>
      <c r="I1181" s="73" t="b">
        <v>1</v>
      </c>
      <c r="J1181" t="s">
        <v>1035</v>
      </c>
      <c r="K1181" s="69" t="s">
        <v>447</v>
      </c>
      <c r="L1181" t="s">
        <v>1066</v>
      </c>
      <c r="Q1181" t="s">
        <v>674</v>
      </c>
      <c r="R1181" t="s">
        <v>1026</v>
      </c>
    </row>
    <row r="1182" spans="1:18" x14ac:dyDescent="0.25">
      <c r="A1182" t="s">
        <v>631</v>
      </c>
      <c r="B1182" t="s">
        <v>1010</v>
      </c>
      <c r="C1182">
        <v>3</v>
      </c>
      <c r="D1182" t="s">
        <v>708</v>
      </c>
      <c r="E1182" t="s">
        <v>637</v>
      </c>
      <c r="F1182" t="s">
        <v>25</v>
      </c>
      <c r="G1182">
        <v>0</v>
      </c>
      <c r="H1182">
        <v>1</v>
      </c>
      <c r="I1182" s="73" t="b">
        <v>1</v>
      </c>
      <c r="J1182" t="s">
        <v>1041</v>
      </c>
      <c r="K1182" s="69" t="s">
        <v>447</v>
      </c>
      <c r="L1182" t="s">
        <v>1066</v>
      </c>
      <c r="Q1182" t="s">
        <v>674</v>
      </c>
      <c r="R1182" t="s">
        <v>1026</v>
      </c>
    </row>
    <row r="1183" spans="1:18" x14ac:dyDescent="0.25">
      <c r="A1183" t="s">
        <v>631</v>
      </c>
      <c r="B1183" t="s">
        <v>1010</v>
      </c>
      <c r="C1183">
        <v>3</v>
      </c>
      <c r="D1183" t="s">
        <v>689</v>
      </c>
      <c r="E1183" t="s">
        <v>586</v>
      </c>
      <c r="F1183" t="s">
        <v>27</v>
      </c>
      <c r="G1183">
        <v>45</v>
      </c>
      <c r="H1183">
        <v>55</v>
      </c>
      <c r="I1183" s="72" t="b">
        <v>0</v>
      </c>
      <c r="J1183" t="s">
        <v>1045</v>
      </c>
      <c r="K1183" s="69" t="s">
        <v>447</v>
      </c>
      <c r="L1183" t="s">
        <v>1066</v>
      </c>
      <c r="Q1183" t="s">
        <v>674</v>
      </c>
      <c r="R1183" t="s">
        <v>1026</v>
      </c>
    </row>
    <row r="1184" spans="1:18" x14ac:dyDescent="0.25">
      <c r="A1184" t="s">
        <v>631</v>
      </c>
      <c r="B1184" t="s">
        <v>1010</v>
      </c>
      <c r="C1184">
        <v>3</v>
      </c>
      <c r="D1184" t="s">
        <v>682</v>
      </c>
      <c r="E1184" t="s">
        <v>587</v>
      </c>
      <c r="F1184" t="s">
        <v>27</v>
      </c>
      <c r="G1184">
        <v>35</v>
      </c>
      <c r="H1184">
        <v>45</v>
      </c>
      <c r="I1184" s="72" t="b">
        <v>0</v>
      </c>
      <c r="J1184" t="s">
        <v>1037</v>
      </c>
      <c r="K1184" s="69" t="s">
        <v>447</v>
      </c>
      <c r="L1184" t="s">
        <v>1066</v>
      </c>
      <c r="Q1184" t="s">
        <v>674</v>
      </c>
      <c r="R1184" t="s">
        <v>1026</v>
      </c>
    </row>
    <row r="1185" spans="1:18" x14ac:dyDescent="0.25">
      <c r="A1185" t="s">
        <v>631</v>
      </c>
      <c r="B1185" t="s">
        <v>1009</v>
      </c>
      <c r="C1185">
        <v>1</v>
      </c>
      <c r="D1185" t="s">
        <v>11</v>
      </c>
      <c r="E1185" t="s">
        <v>695</v>
      </c>
      <c r="F1185" t="s">
        <v>27</v>
      </c>
      <c r="G1185">
        <v>2</v>
      </c>
      <c r="H1185">
        <v>5</v>
      </c>
      <c r="I1185" s="72" t="b">
        <v>0</v>
      </c>
      <c r="J1185" t="s">
        <v>715</v>
      </c>
      <c r="K1185" s="68" t="s">
        <v>32</v>
      </c>
      <c r="Q1185" t="s">
        <v>674</v>
      </c>
      <c r="R1185" t="s">
        <v>1026</v>
      </c>
    </row>
    <row r="1186" spans="1:18" x14ac:dyDescent="0.25">
      <c r="A1186" t="s">
        <v>631</v>
      </c>
      <c r="B1186" t="s">
        <v>1009</v>
      </c>
      <c r="C1186">
        <v>1</v>
      </c>
      <c r="D1186" t="s">
        <v>705</v>
      </c>
      <c r="E1186" t="s">
        <v>697</v>
      </c>
      <c r="F1186" t="s">
        <v>27</v>
      </c>
      <c r="G1186">
        <v>0</v>
      </c>
      <c r="H1186">
        <v>1</v>
      </c>
      <c r="I1186" s="72" t="b">
        <v>0</v>
      </c>
      <c r="J1186" t="s">
        <v>1040</v>
      </c>
      <c r="K1186" s="68" t="s">
        <v>32</v>
      </c>
      <c r="Q1186" t="s">
        <v>674</v>
      </c>
      <c r="R1186" t="s">
        <v>1026</v>
      </c>
    </row>
    <row r="1187" spans="1:18" x14ac:dyDescent="0.25">
      <c r="A1187" t="s">
        <v>631</v>
      </c>
      <c r="B1187" t="s">
        <v>1009</v>
      </c>
      <c r="C1187">
        <v>1</v>
      </c>
      <c r="D1187" t="s">
        <v>355</v>
      </c>
      <c r="E1187" t="s">
        <v>696</v>
      </c>
      <c r="F1187" s="69" t="s">
        <v>25</v>
      </c>
      <c r="G1187">
        <v>0</v>
      </c>
      <c r="H1187">
        <v>1</v>
      </c>
      <c r="I1187" s="69" t="b">
        <v>1</v>
      </c>
      <c r="J1187" t="s">
        <v>1031</v>
      </c>
      <c r="K1187" s="68" t="s">
        <v>32</v>
      </c>
      <c r="Q1187" t="s">
        <v>674</v>
      </c>
      <c r="R1187" t="s">
        <v>1026</v>
      </c>
    </row>
    <row r="1188" spans="1:18" x14ac:dyDescent="0.25">
      <c r="A1188" t="s">
        <v>631</v>
      </c>
      <c r="B1188" t="s">
        <v>1009</v>
      </c>
      <c r="C1188">
        <v>1</v>
      </c>
      <c r="D1188" t="s">
        <v>421</v>
      </c>
      <c r="E1188" t="s">
        <v>644</v>
      </c>
      <c r="F1188" t="s">
        <v>25</v>
      </c>
      <c r="G1188">
        <v>45</v>
      </c>
      <c r="H1188">
        <v>55</v>
      </c>
      <c r="I1188" s="73" t="b">
        <v>1</v>
      </c>
      <c r="J1188" t="s">
        <v>1049</v>
      </c>
      <c r="K1188" s="68" t="s">
        <v>32</v>
      </c>
      <c r="Q1188" t="s">
        <v>674</v>
      </c>
      <c r="R1188" t="s">
        <v>1026</v>
      </c>
    </row>
    <row r="1189" spans="1:18" x14ac:dyDescent="0.25">
      <c r="A1189" t="s">
        <v>631</v>
      </c>
      <c r="B1189" t="s">
        <v>1009</v>
      </c>
      <c r="C1189">
        <v>1</v>
      </c>
      <c r="D1189" t="s">
        <v>392</v>
      </c>
      <c r="E1189" t="s">
        <v>607</v>
      </c>
      <c r="F1189" t="s">
        <v>25</v>
      </c>
      <c r="G1189">
        <v>55</v>
      </c>
      <c r="H1189">
        <v>65</v>
      </c>
      <c r="I1189" s="73" t="b">
        <v>1</v>
      </c>
      <c r="J1189" t="s">
        <v>847</v>
      </c>
      <c r="K1189" s="68" t="s">
        <v>32</v>
      </c>
      <c r="Q1189" t="s">
        <v>674</v>
      </c>
      <c r="R1189" t="s">
        <v>1026</v>
      </c>
    </row>
    <row r="1190" spans="1:18" x14ac:dyDescent="0.25">
      <c r="A1190" t="s">
        <v>631</v>
      </c>
      <c r="B1190" t="s">
        <v>1009</v>
      </c>
      <c r="C1190">
        <v>1</v>
      </c>
      <c r="D1190" t="s">
        <v>410</v>
      </c>
      <c r="E1190" t="s">
        <v>697</v>
      </c>
      <c r="F1190" t="s">
        <v>27</v>
      </c>
      <c r="G1190">
        <v>0</v>
      </c>
      <c r="H1190">
        <v>1</v>
      </c>
      <c r="I1190" s="72" t="b">
        <v>0</v>
      </c>
      <c r="J1190" t="s">
        <v>1039</v>
      </c>
      <c r="K1190" s="68" t="s">
        <v>32</v>
      </c>
      <c r="Q1190" t="s">
        <v>674</v>
      </c>
      <c r="R1190" t="s">
        <v>1026</v>
      </c>
    </row>
    <row r="1191" spans="1:18" x14ac:dyDescent="0.25">
      <c r="A1191" t="s">
        <v>631</v>
      </c>
      <c r="B1191" t="s">
        <v>1009</v>
      </c>
      <c r="C1191">
        <v>1</v>
      </c>
      <c r="D1191" t="s">
        <v>682</v>
      </c>
      <c r="E1191" t="s">
        <v>574</v>
      </c>
      <c r="F1191" t="s">
        <v>27</v>
      </c>
      <c r="G1191">
        <v>3</v>
      </c>
      <c r="H1191">
        <v>7</v>
      </c>
      <c r="I1191" s="72" t="b">
        <v>0</v>
      </c>
      <c r="J1191" t="s">
        <v>1037</v>
      </c>
      <c r="K1191" s="68" t="s">
        <v>32</v>
      </c>
      <c r="Q1191" t="s">
        <v>674</v>
      </c>
      <c r="R1191" t="s">
        <v>1026</v>
      </c>
    </row>
    <row r="1192" spans="1:18" x14ac:dyDescent="0.25">
      <c r="A1192" s="76" t="s">
        <v>631</v>
      </c>
      <c r="B1192" s="76" t="s">
        <v>1009</v>
      </c>
      <c r="C1192" s="76">
        <v>2</v>
      </c>
      <c r="D1192" s="76" t="s">
        <v>11</v>
      </c>
      <c r="E1192" s="76" t="s">
        <v>698</v>
      </c>
      <c r="F1192" t="s">
        <v>25</v>
      </c>
      <c r="G1192">
        <v>2</v>
      </c>
      <c r="H1192">
        <v>11</v>
      </c>
      <c r="I1192" s="73" t="b">
        <v>1</v>
      </c>
      <c r="J1192" t="s">
        <v>715</v>
      </c>
      <c r="K1192" s="68" t="s">
        <v>32</v>
      </c>
      <c r="L1192" t="s">
        <v>1066</v>
      </c>
      <c r="N1192" s="77" t="s">
        <v>1005</v>
      </c>
      <c r="O1192" s="77" t="s">
        <v>24</v>
      </c>
      <c r="P1192" s="77">
        <v>10</v>
      </c>
      <c r="Q1192" t="s">
        <v>674</v>
      </c>
      <c r="R1192" t="s">
        <v>1026</v>
      </c>
    </row>
    <row r="1193" spans="1:18" x14ac:dyDescent="0.25">
      <c r="A1193" s="76" t="s">
        <v>631</v>
      </c>
      <c r="B1193" s="76" t="s">
        <v>1009</v>
      </c>
      <c r="C1193" s="76">
        <v>2</v>
      </c>
      <c r="D1193" s="76" t="s">
        <v>11</v>
      </c>
      <c r="E1193" s="76" t="s">
        <v>1001</v>
      </c>
      <c r="F1193" t="s">
        <v>25</v>
      </c>
      <c r="G1193">
        <v>5</v>
      </c>
      <c r="H1193">
        <v>16</v>
      </c>
      <c r="I1193" s="73" t="b">
        <v>1</v>
      </c>
      <c r="J1193" t="s">
        <v>715</v>
      </c>
      <c r="K1193" s="69" t="s">
        <v>447</v>
      </c>
      <c r="L1193" t="s">
        <v>1066</v>
      </c>
      <c r="N1193" s="77" t="s">
        <v>1005</v>
      </c>
      <c r="O1193" s="77" t="s">
        <v>24</v>
      </c>
      <c r="P1193" s="77">
        <v>10</v>
      </c>
      <c r="Q1193" t="s">
        <v>674</v>
      </c>
      <c r="R1193" t="s">
        <v>1026</v>
      </c>
    </row>
    <row r="1194" spans="1:18" x14ac:dyDescent="0.25">
      <c r="A1194" t="s">
        <v>631</v>
      </c>
      <c r="B1194" t="s">
        <v>1009</v>
      </c>
      <c r="C1194">
        <v>2</v>
      </c>
      <c r="D1194" t="s">
        <v>688</v>
      </c>
      <c r="E1194" t="s">
        <v>700</v>
      </c>
      <c r="F1194" t="s">
        <v>25</v>
      </c>
      <c r="G1194">
        <v>65</v>
      </c>
      <c r="H1194">
        <v>75</v>
      </c>
      <c r="I1194" s="73" t="b">
        <v>1</v>
      </c>
      <c r="J1194" t="s">
        <v>1035</v>
      </c>
      <c r="K1194" s="68" t="s">
        <v>32</v>
      </c>
      <c r="L1194" t="s">
        <v>1066</v>
      </c>
      <c r="Q1194" t="s">
        <v>674</v>
      </c>
      <c r="R1194" t="s">
        <v>1026</v>
      </c>
    </row>
    <row r="1195" spans="1:18" x14ac:dyDescent="0.25">
      <c r="A1195" t="s">
        <v>631</v>
      </c>
      <c r="B1195" t="s">
        <v>1009</v>
      </c>
      <c r="C1195">
        <v>3</v>
      </c>
      <c r="D1195" t="s">
        <v>687</v>
      </c>
      <c r="E1195" t="s">
        <v>615</v>
      </c>
      <c r="F1195" t="s">
        <v>25</v>
      </c>
      <c r="G1195">
        <v>20</v>
      </c>
      <c r="H1195">
        <v>30</v>
      </c>
      <c r="I1195" s="73" t="b">
        <v>1</v>
      </c>
      <c r="J1195" t="s">
        <v>1051</v>
      </c>
      <c r="K1195" s="68" t="s">
        <v>32</v>
      </c>
      <c r="L1195" t="s">
        <v>1066</v>
      </c>
      <c r="Q1195" t="s">
        <v>674</v>
      </c>
      <c r="R1195" t="s">
        <v>1026</v>
      </c>
    </row>
    <row r="1196" spans="1:18" x14ac:dyDescent="0.25">
      <c r="A1196" t="s">
        <v>631</v>
      </c>
      <c r="B1196" t="s">
        <v>1009</v>
      </c>
      <c r="C1196">
        <v>3</v>
      </c>
      <c r="D1196" t="s">
        <v>688</v>
      </c>
      <c r="E1196" t="s">
        <v>619</v>
      </c>
      <c r="F1196" t="s">
        <v>25</v>
      </c>
      <c r="G1196">
        <v>15</v>
      </c>
      <c r="H1196">
        <v>25</v>
      </c>
      <c r="I1196" s="73" t="b">
        <v>1</v>
      </c>
      <c r="J1196" t="s">
        <v>1035</v>
      </c>
      <c r="K1196" s="68" t="s">
        <v>32</v>
      </c>
      <c r="L1196" t="s">
        <v>1066</v>
      </c>
      <c r="Q1196" t="s">
        <v>674</v>
      </c>
      <c r="R1196" t="s">
        <v>1026</v>
      </c>
    </row>
    <row r="1197" spans="1:18" x14ac:dyDescent="0.25">
      <c r="A1197" t="s">
        <v>631</v>
      </c>
      <c r="B1197" t="s">
        <v>1009</v>
      </c>
      <c r="C1197">
        <v>3</v>
      </c>
      <c r="D1197" t="s">
        <v>708</v>
      </c>
      <c r="E1197" t="s">
        <v>637</v>
      </c>
      <c r="F1197" t="s">
        <v>25</v>
      </c>
      <c r="G1197">
        <v>0</v>
      </c>
      <c r="H1197">
        <v>1</v>
      </c>
      <c r="I1197" s="73" t="b">
        <v>1</v>
      </c>
      <c r="J1197" t="s">
        <v>1041</v>
      </c>
      <c r="K1197" s="68" t="s">
        <v>32</v>
      </c>
      <c r="L1197" t="s">
        <v>1066</v>
      </c>
      <c r="Q1197" t="s">
        <v>674</v>
      </c>
      <c r="R1197" t="s">
        <v>1026</v>
      </c>
    </row>
    <row r="1198" spans="1:18" x14ac:dyDescent="0.25">
      <c r="A1198" t="s">
        <v>631</v>
      </c>
      <c r="B1198" t="s">
        <v>1009</v>
      </c>
      <c r="C1198">
        <v>3</v>
      </c>
      <c r="D1198" t="s">
        <v>689</v>
      </c>
      <c r="E1198" t="s">
        <v>586</v>
      </c>
      <c r="F1198" t="s">
        <v>27</v>
      </c>
      <c r="G1198">
        <v>45</v>
      </c>
      <c r="H1198">
        <v>55</v>
      </c>
      <c r="I1198" s="72" t="b">
        <v>0</v>
      </c>
      <c r="J1198" t="s">
        <v>1045</v>
      </c>
      <c r="K1198" s="68" t="s">
        <v>32</v>
      </c>
      <c r="L1198" t="s">
        <v>1066</v>
      </c>
      <c r="Q1198" t="s">
        <v>674</v>
      </c>
      <c r="R1198" t="s">
        <v>1026</v>
      </c>
    </row>
    <row r="1199" spans="1:18" x14ac:dyDescent="0.25">
      <c r="A1199" t="s">
        <v>631</v>
      </c>
      <c r="B1199" t="s">
        <v>1009</v>
      </c>
      <c r="C1199">
        <v>3</v>
      </c>
      <c r="D1199" t="s">
        <v>682</v>
      </c>
      <c r="E1199" t="s">
        <v>585</v>
      </c>
      <c r="F1199" t="s">
        <v>27</v>
      </c>
      <c r="G1199">
        <v>7</v>
      </c>
      <c r="H1199">
        <v>13</v>
      </c>
      <c r="I1199" s="72" t="b">
        <v>0</v>
      </c>
      <c r="J1199" t="s">
        <v>1037</v>
      </c>
      <c r="K1199" s="68" t="s">
        <v>32</v>
      </c>
      <c r="L1199" t="s">
        <v>1066</v>
      </c>
      <c r="Q1199" t="s">
        <v>674</v>
      </c>
      <c r="R1199" t="s">
        <v>1026</v>
      </c>
    </row>
    <row r="1200" spans="1:18" x14ac:dyDescent="0.25">
      <c r="A1200" t="s">
        <v>631</v>
      </c>
      <c r="B1200" t="s">
        <v>1009</v>
      </c>
      <c r="C1200">
        <v>4</v>
      </c>
      <c r="D1200" t="s">
        <v>687</v>
      </c>
      <c r="E1200" t="s">
        <v>636</v>
      </c>
      <c r="F1200" t="s">
        <v>25</v>
      </c>
      <c r="G1200">
        <v>3</v>
      </c>
      <c r="H1200">
        <v>7</v>
      </c>
      <c r="I1200" s="73" t="b">
        <v>1</v>
      </c>
      <c r="J1200" t="s">
        <v>1051</v>
      </c>
      <c r="K1200" s="68" t="s">
        <v>32</v>
      </c>
      <c r="Q1200" t="s">
        <v>674</v>
      </c>
      <c r="R1200" t="s">
        <v>1026</v>
      </c>
    </row>
    <row r="1201" spans="1:18" x14ac:dyDescent="0.25">
      <c r="A1201" t="s">
        <v>631</v>
      </c>
      <c r="B1201" t="s">
        <v>1009</v>
      </c>
      <c r="C1201">
        <v>4</v>
      </c>
      <c r="D1201" t="s">
        <v>688</v>
      </c>
      <c r="E1201" t="s">
        <v>636</v>
      </c>
      <c r="F1201" t="s">
        <v>25</v>
      </c>
      <c r="G1201">
        <v>3</v>
      </c>
      <c r="H1201">
        <v>7</v>
      </c>
      <c r="I1201" s="73" t="b">
        <v>1</v>
      </c>
      <c r="J1201" t="s">
        <v>1035</v>
      </c>
      <c r="K1201" s="68" t="s">
        <v>32</v>
      </c>
      <c r="Q1201" t="s">
        <v>674</v>
      </c>
      <c r="R1201" t="s">
        <v>1026</v>
      </c>
    </row>
    <row r="1202" spans="1:18" x14ac:dyDescent="0.25">
      <c r="A1202" t="s">
        <v>631</v>
      </c>
      <c r="B1202" t="s">
        <v>1009</v>
      </c>
      <c r="C1202">
        <v>4</v>
      </c>
      <c r="D1202" t="s">
        <v>690</v>
      </c>
      <c r="E1202" t="s">
        <v>699</v>
      </c>
      <c r="F1202" t="s">
        <v>27</v>
      </c>
      <c r="G1202">
        <v>40</v>
      </c>
      <c r="H1202">
        <v>50</v>
      </c>
      <c r="I1202" s="72" t="b">
        <v>0</v>
      </c>
      <c r="J1202" t="s">
        <v>1053</v>
      </c>
      <c r="K1202" s="68" t="s">
        <v>32</v>
      </c>
      <c r="Q1202" t="s">
        <v>674</v>
      </c>
      <c r="R1202" t="s">
        <v>1026</v>
      </c>
    </row>
    <row r="1203" spans="1:18" x14ac:dyDescent="0.25">
      <c r="A1203" t="s">
        <v>631</v>
      </c>
      <c r="B1203" t="s">
        <v>1009</v>
      </c>
      <c r="C1203">
        <v>4</v>
      </c>
      <c r="D1203" t="s">
        <v>683</v>
      </c>
      <c r="E1203" t="s">
        <v>585</v>
      </c>
      <c r="F1203" t="s">
        <v>27</v>
      </c>
      <c r="G1203">
        <v>7</v>
      </c>
      <c r="H1203">
        <v>13</v>
      </c>
      <c r="I1203" s="72" t="b">
        <v>0</v>
      </c>
      <c r="J1203" t="s">
        <v>1038</v>
      </c>
      <c r="K1203" s="68" t="s">
        <v>32</v>
      </c>
      <c r="Q1203" t="s">
        <v>674</v>
      </c>
      <c r="R1203" t="s">
        <v>1026</v>
      </c>
    </row>
    <row r="1204" spans="1:18" x14ac:dyDescent="0.25">
      <c r="A1204" t="s">
        <v>631</v>
      </c>
      <c r="B1204" t="s">
        <v>1009</v>
      </c>
      <c r="C1204">
        <v>5</v>
      </c>
      <c r="D1204" t="s">
        <v>11</v>
      </c>
      <c r="E1204" t="s">
        <v>620</v>
      </c>
      <c r="F1204" t="s">
        <v>25</v>
      </c>
      <c r="G1204">
        <v>1</v>
      </c>
      <c r="H1204">
        <v>4</v>
      </c>
      <c r="I1204" s="73" t="b">
        <v>1</v>
      </c>
      <c r="J1204" t="s">
        <v>715</v>
      </c>
      <c r="K1204" s="68" t="s">
        <v>32</v>
      </c>
      <c r="Q1204" t="s">
        <v>674</v>
      </c>
      <c r="R1204" t="s">
        <v>1026</v>
      </c>
    </row>
    <row r="1205" spans="1:18" x14ac:dyDescent="0.25">
      <c r="A1205" t="s">
        <v>631</v>
      </c>
      <c r="B1205" t="s">
        <v>1009</v>
      </c>
      <c r="C1205">
        <v>5</v>
      </c>
      <c r="D1205" t="s">
        <v>662</v>
      </c>
      <c r="E1205" t="s">
        <v>622</v>
      </c>
      <c r="F1205" t="s">
        <v>25</v>
      </c>
      <c r="G1205">
        <v>7</v>
      </c>
      <c r="H1205">
        <v>13</v>
      </c>
      <c r="I1205" s="73" t="b">
        <v>1</v>
      </c>
      <c r="J1205" t="s">
        <v>1050</v>
      </c>
      <c r="K1205" s="68" t="s">
        <v>32</v>
      </c>
      <c r="Q1205" t="s">
        <v>674</v>
      </c>
      <c r="R1205" t="s">
        <v>1026</v>
      </c>
    </row>
    <row r="1206" spans="1:18" x14ac:dyDescent="0.25">
      <c r="A1206" t="s">
        <v>631</v>
      </c>
      <c r="B1206" t="s">
        <v>1009</v>
      </c>
      <c r="C1206">
        <v>2</v>
      </c>
      <c r="D1206" t="s">
        <v>421</v>
      </c>
      <c r="E1206" t="s">
        <v>704</v>
      </c>
      <c r="F1206" t="s">
        <v>25</v>
      </c>
      <c r="G1206">
        <v>15</v>
      </c>
      <c r="H1206">
        <v>25</v>
      </c>
      <c r="I1206" s="69" t="b">
        <v>1</v>
      </c>
      <c r="J1206" t="s">
        <v>1049</v>
      </c>
      <c r="K1206" s="69" t="s">
        <v>447</v>
      </c>
      <c r="L1206" t="s">
        <v>1066</v>
      </c>
      <c r="Q1206" t="s">
        <v>674</v>
      </c>
      <c r="R1206" t="s">
        <v>1026</v>
      </c>
    </row>
    <row r="1207" spans="1:18" x14ac:dyDescent="0.25">
      <c r="A1207" t="s">
        <v>631</v>
      </c>
      <c r="B1207" t="s">
        <v>1009</v>
      </c>
      <c r="C1207">
        <v>2</v>
      </c>
      <c r="D1207" t="s">
        <v>682</v>
      </c>
      <c r="E1207" t="s">
        <v>585</v>
      </c>
      <c r="F1207" t="s">
        <v>27</v>
      </c>
      <c r="G1207">
        <v>7</v>
      </c>
      <c r="H1207">
        <v>13</v>
      </c>
      <c r="I1207" s="72" t="b">
        <v>0</v>
      </c>
      <c r="J1207" t="s">
        <v>1037</v>
      </c>
      <c r="K1207" s="69" t="s">
        <v>447</v>
      </c>
      <c r="L1207" t="s">
        <v>1066</v>
      </c>
      <c r="Q1207" t="s">
        <v>674</v>
      </c>
      <c r="R1207" t="s">
        <v>1026</v>
      </c>
    </row>
    <row r="1208" spans="1:18" x14ac:dyDescent="0.25">
      <c r="A1208" t="s">
        <v>631</v>
      </c>
      <c r="B1208" t="s">
        <v>1009</v>
      </c>
      <c r="C1208">
        <v>3</v>
      </c>
      <c r="D1208" t="s">
        <v>355</v>
      </c>
      <c r="E1208" t="s">
        <v>637</v>
      </c>
      <c r="F1208" t="s">
        <v>25</v>
      </c>
      <c r="G1208">
        <v>0</v>
      </c>
      <c r="H1208">
        <v>1</v>
      </c>
      <c r="I1208" s="73" t="b">
        <v>1</v>
      </c>
      <c r="J1208" t="s">
        <v>1031</v>
      </c>
      <c r="K1208" s="69" t="s">
        <v>447</v>
      </c>
      <c r="L1208" t="s">
        <v>1066</v>
      </c>
      <c r="Q1208" t="s">
        <v>674</v>
      </c>
      <c r="R1208" t="s">
        <v>1026</v>
      </c>
    </row>
    <row r="1209" spans="1:18" x14ac:dyDescent="0.25">
      <c r="A1209" t="s">
        <v>631</v>
      </c>
      <c r="B1209" t="s">
        <v>1009</v>
      </c>
      <c r="C1209">
        <v>3</v>
      </c>
      <c r="D1209" t="s">
        <v>687</v>
      </c>
      <c r="E1209" t="s">
        <v>615</v>
      </c>
      <c r="F1209" t="s">
        <v>25</v>
      </c>
      <c r="G1209">
        <v>20</v>
      </c>
      <c r="H1209">
        <v>30</v>
      </c>
      <c r="I1209" s="73" t="b">
        <v>1</v>
      </c>
      <c r="J1209" t="s">
        <v>1051</v>
      </c>
      <c r="K1209" s="69" t="s">
        <v>447</v>
      </c>
      <c r="L1209" t="s">
        <v>1066</v>
      </c>
      <c r="Q1209" t="s">
        <v>674</v>
      </c>
      <c r="R1209" t="s">
        <v>1026</v>
      </c>
    </row>
    <row r="1210" spans="1:18" x14ac:dyDescent="0.25">
      <c r="A1210" t="s">
        <v>631</v>
      </c>
      <c r="B1210" t="s">
        <v>1009</v>
      </c>
      <c r="C1210">
        <v>3</v>
      </c>
      <c r="D1210" t="s">
        <v>688</v>
      </c>
      <c r="E1210" t="s">
        <v>619</v>
      </c>
      <c r="F1210" t="s">
        <v>25</v>
      </c>
      <c r="G1210">
        <v>15</v>
      </c>
      <c r="H1210">
        <v>25</v>
      </c>
      <c r="I1210" s="73" t="b">
        <v>1</v>
      </c>
      <c r="J1210" t="s">
        <v>1035</v>
      </c>
      <c r="K1210" s="69" t="s">
        <v>447</v>
      </c>
      <c r="L1210" t="s">
        <v>1066</v>
      </c>
      <c r="Q1210" t="s">
        <v>674</v>
      </c>
      <c r="R1210" t="s">
        <v>1026</v>
      </c>
    </row>
    <row r="1211" spans="1:18" x14ac:dyDescent="0.25">
      <c r="A1211" t="s">
        <v>631</v>
      </c>
      <c r="B1211" t="s">
        <v>1009</v>
      </c>
      <c r="C1211">
        <v>3</v>
      </c>
      <c r="D1211" t="s">
        <v>708</v>
      </c>
      <c r="E1211" t="s">
        <v>637</v>
      </c>
      <c r="F1211" t="s">
        <v>25</v>
      </c>
      <c r="G1211">
        <v>0</v>
      </c>
      <c r="H1211">
        <v>1</v>
      </c>
      <c r="I1211" s="73" t="b">
        <v>1</v>
      </c>
      <c r="J1211" t="s">
        <v>1041</v>
      </c>
      <c r="K1211" s="69" t="s">
        <v>447</v>
      </c>
      <c r="L1211" t="s">
        <v>1066</v>
      </c>
      <c r="Q1211" t="s">
        <v>674</v>
      </c>
      <c r="R1211" t="s">
        <v>1026</v>
      </c>
    </row>
    <row r="1212" spans="1:18" x14ac:dyDescent="0.25">
      <c r="A1212" t="s">
        <v>631</v>
      </c>
      <c r="B1212" t="s">
        <v>1009</v>
      </c>
      <c r="C1212">
        <v>3</v>
      </c>
      <c r="D1212" t="s">
        <v>689</v>
      </c>
      <c r="E1212" t="s">
        <v>586</v>
      </c>
      <c r="F1212" t="s">
        <v>27</v>
      </c>
      <c r="G1212">
        <v>45</v>
      </c>
      <c r="H1212">
        <v>55</v>
      </c>
      <c r="I1212" s="72" t="b">
        <v>0</v>
      </c>
      <c r="J1212" t="s">
        <v>1045</v>
      </c>
      <c r="K1212" s="69" t="s">
        <v>447</v>
      </c>
      <c r="L1212" t="s">
        <v>1066</v>
      </c>
      <c r="Q1212" t="s">
        <v>674</v>
      </c>
      <c r="R1212" t="s">
        <v>1026</v>
      </c>
    </row>
    <row r="1213" spans="1:18" x14ac:dyDescent="0.25">
      <c r="A1213" t="s">
        <v>631</v>
      </c>
      <c r="B1213" t="s">
        <v>1009</v>
      </c>
      <c r="C1213">
        <v>3</v>
      </c>
      <c r="D1213" t="s">
        <v>682</v>
      </c>
      <c r="E1213" t="s">
        <v>587</v>
      </c>
      <c r="F1213" t="s">
        <v>27</v>
      </c>
      <c r="G1213">
        <v>35</v>
      </c>
      <c r="H1213">
        <v>45</v>
      </c>
      <c r="I1213" s="72" t="b">
        <v>0</v>
      </c>
      <c r="J1213" t="s">
        <v>1037</v>
      </c>
      <c r="K1213" s="69" t="s">
        <v>447</v>
      </c>
      <c r="L1213" t="s">
        <v>1066</v>
      </c>
      <c r="Q1213" t="s">
        <v>674</v>
      </c>
      <c r="R1213" t="s">
        <v>1026</v>
      </c>
    </row>
    <row r="1214" spans="1:18" x14ac:dyDescent="0.25">
      <c r="A1214" s="79" t="s">
        <v>1070</v>
      </c>
      <c r="B1214" s="1" t="s">
        <v>474</v>
      </c>
      <c r="C1214" s="5">
        <v>2</v>
      </c>
      <c r="D1214" s="1" t="s">
        <v>11</v>
      </c>
      <c r="E1214" s="44" t="s">
        <v>535</v>
      </c>
      <c r="F1214" s="5" t="s">
        <v>24</v>
      </c>
      <c r="G1214" s="5">
        <v>45</v>
      </c>
      <c r="H1214" s="5">
        <v>55</v>
      </c>
      <c r="I1214" s="80" t="b">
        <v>1</v>
      </c>
      <c r="J1214" s="1" t="s">
        <v>0</v>
      </c>
      <c r="K1214" s="81" t="s">
        <v>32</v>
      </c>
      <c r="L1214" s="1"/>
      <c r="M1214" s="1"/>
      <c r="N1214" s="1"/>
      <c r="O1214" s="1"/>
      <c r="P1214" s="1"/>
      <c r="Q1214" s="81" t="str">
        <f t="shared" ref="Q1214:Q1277" si="12">B1214</f>
        <v>HiGrad-LoElev</v>
      </c>
      <c r="R1214" s="81" t="str">
        <f t="shared" ref="R1214:R1277" si="13">B1214</f>
        <v>HiGrad-LoElev</v>
      </c>
    </row>
    <row r="1215" spans="1:18" x14ac:dyDescent="0.25">
      <c r="A1215" s="79" t="s">
        <v>1070</v>
      </c>
      <c r="B1215" s="1" t="s">
        <v>474</v>
      </c>
      <c r="C1215" s="5">
        <v>2</v>
      </c>
      <c r="D1215" s="1" t="s">
        <v>33</v>
      </c>
      <c r="E1215" s="44" t="s">
        <v>536</v>
      </c>
      <c r="F1215" s="5" t="s">
        <v>24</v>
      </c>
      <c r="G1215" s="5">
        <v>1</v>
      </c>
      <c r="H1215" s="5">
        <v>5</v>
      </c>
      <c r="I1215" s="80" t="b">
        <v>1</v>
      </c>
      <c r="J1215" s="1" t="s">
        <v>1</v>
      </c>
      <c r="K1215" s="81" t="s">
        <v>32</v>
      </c>
      <c r="L1215" s="1"/>
      <c r="M1215" s="1"/>
      <c r="N1215" s="1"/>
      <c r="O1215" s="1"/>
      <c r="P1215" s="1"/>
      <c r="Q1215" s="81" t="str">
        <f t="shared" si="12"/>
        <v>HiGrad-LoElev</v>
      </c>
      <c r="R1215" s="81" t="str">
        <f t="shared" si="13"/>
        <v>HiGrad-LoElev</v>
      </c>
    </row>
    <row r="1216" spans="1:18" x14ac:dyDescent="0.25">
      <c r="A1216" s="79" t="s">
        <v>1070</v>
      </c>
      <c r="B1216" s="1" t="s">
        <v>474</v>
      </c>
      <c r="C1216" s="5">
        <v>2</v>
      </c>
      <c r="D1216" s="1" t="s">
        <v>390</v>
      </c>
      <c r="E1216" s="44" t="s">
        <v>537</v>
      </c>
      <c r="F1216" s="5" t="s">
        <v>24</v>
      </c>
      <c r="G1216" s="5">
        <v>0</v>
      </c>
      <c r="H1216" s="5">
        <v>4</v>
      </c>
      <c r="I1216" s="80" t="b">
        <v>1</v>
      </c>
      <c r="J1216" s="1" t="s">
        <v>475</v>
      </c>
      <c r="K1216" s="81" t="s">
        <v>32</v>
      </c>
      <c r="L1216" s="1"/>
      <c r="M1216" s="1"/>
      <c r="N1216" s="1"/>
      <c r="O1216" s="1"/>
      <c r="P1216" s="1"/>
      <c r="Q1216" s="81" t="str">
        <f t="shared" si="12"/>
        <v>HiGrad-LoElev</v>
      </c>
      <c r="R1216" s="81" t="str">
        <f t="shared" si="13"/>
        <v>HiGrad-LoElev</v>
      </c>
    </row>
    <row r="1217" spans="1:18" x14ac:dyDescent="0.25">
      <c r="A1217" s="79" t="s">
        <v>1070</v>
      </c>
      <c r="B1217" s="1" t="s">
        <v>474</v>
      </c>
      <c r="C1217" s="5">
        <v>2</v>
      </c>
      <c r="D1217" s="1" t="s">
        <v>29</v>
      </c>
      <c r="E1217" s="44" t="s">
        <v>529</v>
      </c>
      <c r="F1217" s="5" t="s">
        <v>24</v>
      </c>
      <c r="G1217" s="5">
        <v>15</v>
      </c>
      <c r="H1217" s="5">
        <v>25</v>
      </c>
      <c r="I1217" s="80" t="b">
        <v>1</v>
      </c>
      <c r="J1217" s="1" t="s">
        <v>6</v>
      </c>
      <c r="K1217" s="81" t="s">
        <v>32</v>
      </c>
      <c r="L1217" s="1"/>
      <c r="M1217" s="1"/>
      <c r="N1217" s="1"/>
      <c r="O1217" s="1"/>
      <c r="P1217" s="1"/>
      <c r="Q1217" s="81" t="str">
        <f t="shared" si="12"/>
        <v>HiGrad-LoElev</v>
      </c>
      <c r="R1217" s="81" t="str">
        <f t="shared" si="13"/>
        <v>HiGrad-LoElev</v>
      </c>
    </row>
    <row r="1218" spans="1:18" x14ac:dyDescent="0.25">
      <c r="A1218" s="79" t="s">
        <v>1070</v>
      </c>
      <c r="B1218" s="1" t="s">
        <v>474</v>
      </c>
      <c r="C1218" s="5">
        <v>2</v>
      </c>
      <c r="D1218" s="1" t="s">
        <v>34</v>
      </c>
      <c r="E1218" s="44" t="s">
        <v>538</v>
      </c>
      <c r="F1218" s="5" t="s">
        <v>24</v>
      </c>
      <c r="G1218" s="5">
        <v>40</v>
      </c>
      <c r="H1218" s="5">
        <v>50</v>
      </c>
      <c r="I1218" s="80" t="b">
        <v>1</v>
      </c>
      <c r="J1218" s="1" t="s">
        <v>2</v>
      </c>
      <c r="K1218" s="81" t="s">
        <v>32</v>
      </c>
      <c r="L1218" s="1"/>
      <c r="M1218" s="1"/>
      <c r="N1218" s="1"/>
      <c r="O1218" s="1"/>
      <c r="P1218" s="1"/>
      <c r="Q1218" s="81" t="str">
        <f t="shared" si="12"/>
        <v>HiGrad-LoElev</v>
      </c>
      <c r="R1218" s="81" t="str">
        <f t="shared" si="13"/>
        <v>HiGrad-LoElev</v>
      </c>
    </row>
    <row r="1219" spans="1:18" x14ac:dyDescent="0.25">
      <c r="A1219" s="79" t="s">
        <v>1070</v>
      </c>
      <c r="B1219" s="1" t="s">
        <v>474</v>
      </c>
      <c r="C1219" s="5">
        <v>2</v>
      </c>
      <c r="D1219" s="1" t="s">
        <v>35</v>
      </c>
      <c r="E1219" s="44" t="s">
        <v>539</v>
      </c>
      <c r="F1219" s="5" t="s">
        <v>24</v>
      </c>
      <c r="G1219" s="5">
        <v>25</v>
      </c>
      <c r="H1219" s="5">
        <v>35</v>
      </c>
      <c r="I1219" s="80" t="b">
        <v>1</v>
      </c>
      <c r="J1219" s="1" t="s">
        <v>3</v>
      </c>
      <c r="K1219" s="81" t="s">
        <v>32</v>
      </c>
      <c r="L1219" s="1"/>
      <c r="M1219" s="1"/>
      <c r="N1219" s="1"/>
      <c r="O1219" s="1"/>
      <c r="P1219" s="1"/>
      <c r="Q1219" s="81" t="str">
        <f t="shared" si="12"/>
        <v>HiGrad-LoElev</v>
      </c>
      <c r="R1219" s="81" t="str">
        <f t="shared" si="13"/>
        <v>HiGrad-LoElev</v>
      </c>
    </row>
    <row r="1220" spans="1:18" x14ac:dyDescent="0.25">
      <c r="A1220" s="79" t="s">
        <v>1070</v>
      </c>
      <c r="B1220" s="1" t="s">
        <v>474</v>
      </c>
      <c r="C1220" s="5">
        <v>2</v>
      </c>
      <c r="D1220" s="1" t="s">
        <v>48</v>
      </c>
      <c r="E1220" s="44" t="s">
        <v>560</v>
      </c>
      <c r="F1220" s="5" t="s">
        <v>26</v>
      </c>
      <c r="G1220" s="5">
        <v>10</v>
      </c>
      <c r="H1220" s="5">
        <v>20</v>
      </c>
      <c r="I1220" s="80" t="b">
        <v>0</v>
      </c>
      <c r="J1220" s="1" t="s">
        <v>15</v>
      </c>
      <c r="K1220" s="81" t="s">
        <v>32</v>
      </c>
      <c r="L1220" s="1"/>
      <c r="M1220" s="1"/>
      <c r="N1220" s="1"/>
      <c r="O1220" s="1"/>
      <c r="P1220" s="1"/>
      <c r="Q1220" s="81" t="str">
        <f t="shared" si="12"/>
        <v>HiGrad-LoElev</v>
      </c>
      <c r="R1220" s="81" t="str">
        <f t="shared" si="13"/>
        <v>HiGrad-LoElev</v>
      </c>
    </row>
    <row r="1221" spans="1:18" x14ac:dyDescent="0.25">
      <c r="A1221" s="79" t="s">
        <v>1070</v>
      </c>
      <c r="B1221" s="1" t="s">
        <v>474</v>
      </c>
      <c r="C1221" s="5">
        <v>2</v>
      </c>
      <c r="D1221" s="1" t="s">
        <v>476</v>
      </c>
      <c r="E1221" s="44" t="s">
        <v>560</v>
      </c>
      <c r="F1221" s="5" t="s">
        <v>26</v>
      </c>
      <c r="G1221" s="5">
        <v>10</v>
      </c>
      <c r="H1221" s="5">
        <v>20</v>
      </c>
      <c r="I1221" s="80" t="b">
        <v>0</v>
      </c>
      <c r="J1221" s="1" t="s">
        <v>477</v>
      </c>
      <c r="K1221" s="81" t="s">
        <v>32</v>
      </c>
      <c r="L1221" s="1"/>
      <c r="M1221" s="1"/>
      <c r="N1221" s="1"/>
      <c r="O1221" s="1"/>
      <c r="P1221" s="1"/>
      <c r="Q1221" s="81" t="str">
        <f t="shared" si="12"/>
        <v>HiGrad-LoElev</v>
      </c>
      <c r="R1221" s="81" t="str">
        <f t="shared" si="13"/>
        <v>HiGrad-LoElev</v>
      </c>
    </row>
    <row r="1222" spans="1:18" x14ac:dyDescent="0.25">
      <c r="A1222" s="79" t="s">
        <v>1070</v>
      </c>
      <c r="B1222" s="7" t="s">
        <v>474</v>
      </c>
      <c r="C1222" s="6">
        <v>2</v>
      </c>
      <c r="D1222" s="7" t="s">
        <v>478</v>
      </c>
      <c r="E1222" s="55" t="s">
        <v>521</v>
      </c>
      <c r="F1222" s="6" t="s">
        <v>24</v>
      </c>
      <c r="G1222" s="6">
        <v>25</v>
      </c>
      <c r="H1222" s="6">
        <v>35</v>
      </c>
      <c r="I1222" s="80" t="b">
        <v>1</v>
      </c>
      <c r="J1222" s="7" t="s">
        <v>479</v>
      </c>
      <c r="K1222" s="81" t="s">
        <v>32</v>
      </c>
      <c r="L1222" s="7" t="s">
        <v>485</v>
      </c>
      <c r="M1222" s="1" t="s">
        <v>482</v>
      </c>
      <c r="N1222" s="1"/>
      <c r="O1222" s="1"/>
      <c r="P1222" s="1"/>
      <c r="Q1222" s="81" t="str">
        <f t="shared" si="12"/>
        <v>HiGrad-LoElev</v>
      </c>
      <c r="R1222" s="81" t="str">
        <f t="shared" si="13"/>
        <v>HiGrad-LoElev</v>
      </c>
    </row>
    <row r="1223" spans="1:18" x14ac:dyDescent="0.25">
      <c r="A1223" s="79" t="s">
        <v>1070</v>
      </c>
      <c r="B1223" s="7" t="s">
        <v>474</v>
      </c>
      <c r="C1223" s="6">
        <v>2</v>
      </c>
      <c r="D1223" s="7" t="s">
        <v>342</v>
      </c>
      <c r="E1223" s="55" t="s">
        <v>540</v>
      </c>
      <c r="F1223" s="6" t="s">
        <v>24</v>
      </c>
      <c r="G1223" s="6">
        <v>4.3</v>
      </c>
      <c r="H1223" s="6">
        <v>4.7</v>
      </c>
      <c r="I1223" s="80" t="b">
        <v>1</v>
      </c>
      <c r="J1223" s="7" t="s">
        <v>480</v>
      </c>
      <c r="K1223" s="81" t="s">
        <v>32</v>
      </c>
      <c r="L1223" s="7" t="s">
        <v>485</v>
      </c>
      <c r="M1223" s="1" t="s">
        <v>482</v>
      </c>
      <c r="N1223" s="1"/>
      <c r="O1223" s="1"/>
      <c r="P1223" s="1"/>
      <c r="Q1223" s="81" t="str">
        <f t="shared" si="12"/>
        <v>HiGrad-LoElev</v>
      </c>
      <c r="R1223" s="81" t="str">
        <f t="shared" si="13"/>
        <v>HiGrad-LoElev</v>
      </c>
    </row>
    <row r="1224" spans="1:18" x14ac:dyDescent="0.25">
      <c r="A1224" s="79" t="s">
        <v>1070</v>
      </c>
      <c r="B1224" s="7" t="s">
        <v>474</v>
      </c>
      <c r="C1224" s="6">
        <v>2</v>
      </c>
      <c r="D1224" s="7" t="s">
        <v>295</v>
      </c>
      <c r="E1224" s="55" t="s">
        <v>524</v>
      </c>
      <c r="F1224" s="6" t="s">
        <v>24</v>
      </c>
      <c r="G1224" s="6">
        <v>10</v>
      </c>
      <c r="H1224" s="6">
        <v>20</v>
      </c>
      <c r="I1224" s="80" t="b">
        <v>1</v>
      </c>
      <c r="J1224" s="7" t="s">
        <v>481</v>
      </c>
      <c r="K1224" s="81" t="s">
        <v>32</v>
      </c>
      <c r="L1224" s="7" t="s">
        <v>485</v>
      </c>
      <c r="M1224" s="1" t="s">
        <v>482</v>
      </c>
      <c r="N1224" s="1"/>
      <c r="O1224" s="1"/>
      <c r="P1224" s="1"/>
      <c r="Q1224" s="81" t="str">
        <f t="shared" si="12"/>
        <v>HiGrad-LoElev</v>
      </c>
      <c r="R1224" s="81" t="str">
        <f t="shared" si="13"/>
        <v>HiGrad-LoElev</v>
      </c>
    </row>
    <row r="1225" spans="1:18" x14ac:dyDescent="0.25">
      <c r="A1225" s="79" t="s">
        <v>1070</v>
      </c>
      <c r="B1225" s="1" t="s">
        <v>474</v>
      </c>
      <c r="C1225" s="5">
        <v>3</v>
      </c>
      <c r="D1225" s="1" t="s">
        <v>11</v>
      </c>
      <c r="E1225" s="44" t="s">
        <v>541</v>
      </c>
      <c r="F1225" s="5" t="s">
        <v>24</v>
      </c>
      <c r="G1225" s="5">
        <v>35</v>
      </c>
      <c r="H1225" s="5">
        <v>45</v>
      </c>
      <c r="I1225" s="80" t="b">
        <v>1</v>
      </c>
      <c r="J1225" s="1" t="s">
        <v>0</v>
      </c>
      <c r="K1225" s="81" t="s">
        <v>32</v>
      </c>
      <c r="L1225" s="1"/>
      <c r="M1225" s="1"/>
      <c r="N1225" s="1"/>
      <c r="O1225" s="1"/>
      <c r="P1225" s="1"/>
      <c r="Q1225" s="81" t="str">
        <f t="shared" si="12"/>
        <v>HiGrad-LoElev</v>
      </c>
      <c r="R1225" s="81" t="str">
        <f t="shared" si="13"/>
        <v>HiGrad-LoElev</v>
      </c>
    </row>
    <row r="1226" spans="1:18" x14ac:dyDescent="0.25">
      <c r="A1226" s="79" t="s">
        <v>1070</v>
      </c>
      <c r="B1226" s="1" t="s">
        <v>474</v>
      </c>
      <c r="C1226" s="5">
        <v>3</v>
      </c>
      <c r="D1226" s="1" t="s">
        <v>13</v>
      </c>
      <c r="E1226" s="56" t="s">
        <v>529</v>
      </c>
      <c r="F1226" s="5" t="s">
        <v>24</v>
      </c>
      <c r="G1226" s="5">
        <v>15</v>
      </c>
      <c r="H1226" s="5">
        <v>25</v>
      </c>
      <c r="I1226" s="80" t="b">
        <v>1</v>
      </c>
      <c r="J1226" s="57" t="s">
        <v>10</v>
      </c>
      <c r="K1226" s="81" t="s">
        <v>32</v>
      </c>
      <c r="L1226" s="1"/>
      <c r="M1226" s="1"/>
      <c r="N1226" s="1"/>
      <c r="O1226" s="1"/>
      <c r="P1226" s="1"/>
      <c r="Q1226" s="81" t="str">
        <f t="shared" si="12"/>
        <v>HiGrad-LoElev</v>
      </c>
      <c r="R1226" s="81" t="str">
        <f t="shared" si="13"/>
        <v>HiGrad-LoElev</v>
      </c>
    </row>
    <row r="1227" spans="1:18" x14ac:dyDescent="0.25">
      <c r="A1227" s="79" t="s">
        <v>1070</v>
      </c>
      <c r="B1227" s="1" t="s">
        <v>474</v>
      </c>
      <c r="C1227" s="5">
        <v>3</v>
      </c>
      <c r="D1227" s="1" t="s">
        <v>34</v>
      </c>
      <c r="E1227" s="44" t="s">
        <v>523</v>
      </c>
      <c r="F1227" s="5" t="s">
        <v>24</v>
      </c>
      <c r="G1227" s="5">
        <v>15</v>
      </c>
      <c r="H1227" s="5">
        <v>25</v>
      </c>
      <c r="I1227" s="80" t="b">
        <v>1</v>
      </c>
      <c r="J1227" s="1" t="s">
        <v>2</v>
      </c>
      <c r="K1227" s="81" t="s">
        <v>32</v>
      </c>
      <c r="L1227" s="1"/>
      <c r="M1227" s="1"/>
      <c r="N1227" s="1"/>
      <c r="O1227" s="1"/>
      <c r="P1227" s="1"/>
      <c r="Q1227" s="81" t="str">
        <f t="shared" si="12"/>
        <v>HiGrad-LoElev</v>
      </c>
      <c r="R1227" s="81" t="str">
        <f t="shared" si="13"/>
        <v>HiGrad-LoElev</v>
      </c>
    </row>
    <row r="1228" spans="1:18" x14ac:dyDescent="0.25">
      <c r="A1228" s="79" t="s">
        <v>1070</v>
      </c>
      <c r="B1228" s="1" t="s">
        <v>474</v>
      </c>
      <c r="C1228" s="5">
        <v>3</v>
      </c>
      <c r="D1228" s="1" t="s">
        <v>35</v>
      </c>
      <c r="E1228" s="44" t="s">
        <v>526</v>
      </c>
      <c r="F1228" s="5" t="s">
        <v>24</v>
      </c>
      <c r="G1228" s="5">
        <v>5</v>
      </c>
      <c r="H1228" s="5">
        <v>15</v>
      </c>
      <c r="I1228" s="80" t="b">
        <v>1</v>
      </c>
      <c r="J1228" s="1" t="s">
        <v>3</v>
      </c>
      <c r="K1228" s="81" t="s">
        <v>32</v>
      </c>
      <c r="L1228" s="1"/>
      <c r="M1228" s="1"/>
      <c r="N1228" s="1"/>
      <c r="O1228" s="1"/>
      <c r="P1228" s="1"/>
      <c r="Q1228" s="81" t="str">
        <f t="shared" si="12"/>
        <v>HiGrad-LoElev</v>
      </c>
      <c r="R1228" s="81" t="str">
        <f t="shared" si="13"/>
        <v>HiGrad-LoElev</v>
      </c>
    </row>
    <row r="1229" spans="1:18" x14ac:dyDescent="0.25">
      <c r="A1229" s="79" t="s">
        <v>1070</v>
      </c>
      <c r="B1229" s="1" t="s">
        <v>474</v>
      </c>
      <c r="C1229" s="5">
        <v>3</v>
      </c>
      <c r="D1229" s="1" t="s">
        <v>48</v>
      </c>
      <c r="E1229" s="44" t="s">
        <v>563</v>
      </c>
      <c r="F1229" s="5" t="s">
        <v>26</v>
      </c>
      <c r="G1229" s="5">
        <v>15</v>
      </c>
      <c r="H1229" s="5">
        <v>25</v>
      </c>
      <c r="I1229" s="80" t="b">
        <v>0</v>
      </c>
      <c r="J1229" s="57" t="s">
        <v>15</v>
      </c>
      <c r="K1229" s="81" t="s">
        <v>32</v>
      </c>
      <c r="L1229" s="1"/>
      <c r="M1229" s="1"/>
      <c r="N1229" s="1"/>
      <c r="O1229" s="1"/>
      <c r="P1229" s="1"/>
      <c r="Q1229" s="81" t="str">
        <f t="shared" si="12"/>
        <v>HiGrad-LoElev</v>
      </c>
      <c r="R1229" s="81" t="str">
        <f t="shared" si="13"/>
        <v>HiGrad-LoElev</v>
      </c>
    </row>
    <row r="1230" spans="1:18" x14ac:dyDescent="0.25">
      <c r="A1230" s="79" t="s">
        <v>1070</v>
      </c>
      <c r="B1230" s="1" t="s">
        <v>474</v>
      </c>
      <c r="C1230" s="5">
        <v>3</v>
      </c>
      <c r="D1230" s="1" t="s">
        <v>476</v>
      </c>
      <c r="E1230" s="44" t="s">
        <v>563</v>
      </c>
      <c r="F1230" s="5" t="s">
        <v>26</v>
      </c>
      <c r="G1230" s="5">
        <v>15</v>
      </c>
      <c r="H1230" s="5">
        <v>25</v>
      </c>
      <c r="I1230" s="80" t="b">
        <v>0</v>
      </c>
      <c r="J1230" s="1" t="s">
        <v>477</v>
      </c>
      <c r="K1230" s="81" t="s">
        <v>32</v>
      </c>
      <c r="L1230" s="1"/>
      <c r="M1230" s="1"/>
      <c r="N1230" s="1"/>
      <c r="O1230" s="1"/>
      <c r="P1230" s="1"/>
      <c r="Q1230" s="81" t="str">
        <f t="shared" si="12"/>
        <v>HiGrad-LoElev</v>
      </c>
      <c r="R1230" s="81" t="str">
        <f t="shared" si="13"/>
        <v>HiGrad-LoElev</v>
      </c>
    </row>
    <row r="1231" spans="1:18" x14ac:dyDescent="0.25">
      <c r="A1231" s="79" t="s">
        <v>1070</v>
      </c>
      <c r="B1231" s="7" t="s">
        <v>474</v>
      </c>
      <c r="C1231" s="6">
        <v>3</v>
      </c>
      <c r="D1231" s="7" t="s">
        <v>478</v>
      </c>
      <c r="E1231" s="55" t="s">
        <v>525</v>
      </c>
      <c r="F1231" s="6" t="s">
        <v>24</v>
      </c>
      <c r="G1231" s="6">
        <v>20</v>
      </c>
      <c r="H1231" s="6">
        <v>30</v>
      </c>
      <c r="I1231" s="80" t="b">
        <v>1</v>
      </c>
      <c r="J1231" s="7" t="s">
        <v>479</v>
      </c>
      <c r="K1231" s="81" t="s">
        <v>32</v>
      </c>
      <c r="L1231" s="7" t="s">
        <v>485</v>
      </c>
      <c r="M1231" s="1" t="s">
        <v>482</v>
      </c>
      <c r="N1231" s="1"/>
      <c r="O1231" s="1"/>
      <c r="P1231" s="1"/>
      <c r="Q1231" s="81" t="str">
        <f t="shared" si="12"/>
        <v>HiGrad-LoElev</v>
      </c>
      <c r="R1231" s="81" t="str">
        <f t="shared" si="13"/>
        <v>HiGrad-LoElev</v>
      </c>
    </row>
    <row r="1232" spans="1:18" x14ac:dyDescent="0.25">
      <c r="A1232" s="79" t="s">
        <v>1070</v>
      </c>
      <c r="B1232" s="7" t="s">
        <v>474</v>
      </c>
      <c r="C1232" s="6">
        <v>3</v>
      </c>
      <c r="D1232" s="7" t="s">
        <v>29</v>
      </c>
      <c r="E1232" s="58" t="s">
        <v>542</v>
      </c>
      <c r="F1232" s="6" t="s">
        <v>24</v>
      </c>
      <c r="G1232" s="6">
        <v>5</v>
      </c>
      <c r="H1232" s="6">
        <v>15</v>
      </c>
      <c r="I1232" s="80" t="b">
        <v>1</v>
      </c>
      <c r="J1232" s="7" t="s">
        <v>6</v>
      </c>
      <c r="K1232" s="81" t="s">
        <v>32</v>
      </c>
      <c r="L1232" s="7" t="s">
        <v>485</v>
      </c>
      <c r="M1232" s="1" t="s">
        <v>482</v>
      </c>
      <c r="N1232" s="1"/>
      <c r="O1232" s="1"/>
      <c r="P1232" s="1"/>
      <c r="Q1232" s="81" t="str">
        <f t="shared" si="12"/>
        <v>HiGrad-LoElev</v>
      </c>
      <c r="R1232" s="81" t="str">
        <f t="shared" si="13"/>
        <v>HiGrad-LoElev</v>
      </c>
    </row>
    <row r="1233" spans="1:18" x14ac:dyDescent="0.25">
      <c r="A1233" s="79" t="s">
        <v>1070</v>
      </c>
      <c r="B1233" s="7" t="s">
        <v>474</v>
      </c>
      <c r="C1233" s="6">
        <v>3</v>
      </c>
      <c r="D1233" s="7" t="s">
        <v>342</v>
      </c>
      <c r="E1233" s="55" t="s">
        <v>543</v>
      </c>
      <c r="F1233" s="6" t="s">
        <v>24</v>
      </c>
      <c r="G1233" s="6">
        <v>3.8</v>
      </c>
      <c r="H1233" s="6">
        <v>4.2</v>
      </c>
      <c r="I1233" s="80" t="b">
        <v>1</v>
      </c>
      <c r="J1233" s="7" t="s">
        <v>480</v>
      </c>
      <c r="K1233" s="81" t="s">
        <v>32</v>
      </c>
      <c r="L1233" s="7" t="s">
        <v>485</v>
      </c>
      <c r="M1233" s="1" t="s">
        <v>482</v>
      </c>
      <c r="N1233" s="1"/>
      <c r="O1233" s="1"/>
      <c r="P1233" s="1"/>
      <c r="Q1233" s="81" t="str">
        <f t="shared" si="12"/>
        <v>HiGrad-LoElev</v>
      </c>
      <c r="R1233" s="81" t="str">
        <f t="shared" si="13"/>
        <v>HiGrad-LoElev</v>
      </c>
    </row>
    <row r="1234" spans="1:18" x14ac:dyDescent="0.25">
      <c r="A1234" s="79" t="s">
        <v>1070</v>
      </c>
      <c r="B1234" s="1" t="s">
        <v>474</v>
      </c>
      <c r="C1234" s="5">
        <v>4</v>
      </c>
      <c r="D1234" s="1" t="s">
        <v>11</v>
      </c>
      <c r="E1234" s="44" t="s">
        <v>521</v>
      </c>
      <c r="F1234" s="5" t="s">
        <v>24</v>
      </c>
      <c r="G1234" s="5">
        <v>25</v>
      </c>
      <c r="H1234" s="5">
        <v>35</v>
      </c>
      <c r="I1234" s="80" t="b">
        <v>1</v>
      </c>
      <c r="J1234" s="1" t="s">
        <v>0</v>
      </c>
      <c r="K1234" s="81" t="s">
        <v>32</v>
      </c>
      <c r="L1234" s="1"/>
      <c r="M1234" s="1"/>
      <c r="N1234" s="1"/>
      <c r="O1234" s="1"/>
      <c r="P1234" s="1"/>
      <c r="Q1234" s="81" t="str">
        <f t="shared" si="12"/>
        <v>HiGrad-LoElev</v>
      </c>
      <c r="R1234" s="81" t="str">
        <f t="shared" si="13"/>
        <v>HiGrad-LoElev</v>
      </c>
    </row>
    <row r="1235" spans="1:18" x14ac:dyDescent="0.25">
      <c r="A1235" s="79" t="s">
        <v>1070</v>
      </c>
      <c r="B1235" s="1" t="s">
        <v>474</v>
      </c>
      <c r="C1235" s="5">
        <v>4</v>
      </c>
      <c r="D1235" s="1" t="s">
        <v>13</v>
      </c>
      <c r="E1235" s="56" t="s">
        <v>528</v>
      </c>
      <c r="F1235" s="5" t="s">
        <v>24</v>
      </c>
      <c r="G1235" s="5">
        <v>6</v>
      </c>
      <c r="H1235" s="5">
        <v>12</v>
      </c>
      <c r="I1235" s="80" t="b">
        <v>1</v>
      </c>
      <c r="J1235" s="57" t="s">
        <v>10</v>
      </c>
      <c r="K1235" s="81" t="s">
        <v>32</v>
      </c>
      <c r="L1235" s="1"/>
      <c r="M1235" s="1"/>
      <c r="N1235" s="1"/>
      <c r="O1235" s="1"/>
      <c r="P1235" s="1"/>
      <c r="Q1235" s="81" t="str">
        <f t="shared" si="12"/>
        <v>HiGrad-LoElev</v>
      </c>
      <c r="R1235" s="81" t="str">
        <f t="shared" si="13"/>
        <v>HiGrad-LoElev</v>
      </c>
    </row>
    <row r="1236" spans="1:18" x14ac:dyDescent="0.25">
      <c r="A1236" s="79" t="s">
        <v>1070</v>
      </c>
      <c r="B1236" s="1" t="s">
        <v>474</v>
      </c>
      <c r="C1236" s="5">
        <v>4</v>
      </c>
      <c r="D1236" s="1" t="s">
        <v>34</v>
      </c>
      <c r="E1236" s="44" t="s">
        <v>526</v>
      </c>
      <c r="F1236" s="5" t="s">
        <v>24</v>
      </c>
      <c r="G1236" s="5">
        <v>5</v>
      </c>
      <c r="H1236" s="5">
        <v>15</v>
      </c>
      <c r="I1236" s="80" t="b">
        <v>1</v>
      </c>
      <c r="J1236" s="1" t="s">
        <v>2</v>
      </c>
      <c r="K1236" s="81" t="s">
        <v>32</v>
      </c>
      <c r="L1236" s="1"/>
      <c r="M1236" s="1"/>
      <c r="N1236" s="1"/>
      <c r="O1236" s="1"/>
      <c r="P1236" s="1"/>
      <c r="Q1236" s="81" t="str">
        <f t="shared" si="12"/>
        <v>HiGrad-LoElev</v>
      </c>
      <c r="R1236" s="81" t="str">
        <f t="shared" si="13"/>
        <v>HiGrad-LoElev</v>
      </c>
    </row>
    <row r="1237" spans="1:18" x14ac:dyDescent="0.25">
      <c r="A1237" s="79" t="s">
        <v>1070</v>
      </c>
      <c r="B1237" s="1" t="s">
        <v>474</v>
      </c>
      <c r="C1237" s="5">
        <v>4</v>
      </c>
      <c r="D1237" s="1" t="s">
        <v>48</v>
      </c>
      <c r="E1237" s="44" t="s">
        <v>564</v>
      </c>
      <c r="F1237" s="5" t="s">
        <v>26</v>
      </c>
      <c r="G1237" s="5">
        <v>20</v>
      </c>
      <c r="H1237" s="5">
        <v>30</v>
      </c>
      <c r="I1237" s="80" t="b">
        <v>0</v>
      </c>
      <c r="J1237" s="57" t="s">
        <v>15</v>
      </c>
      <c r="K1237" s="81" t="s">
        <v>32</v>
      </c>
      <c r="L1237" s="1"/>
      <c r="M1237" s="1"/>
      <c r="N1237" s="1"/>
      <c r="O1237" s="1"/>
      <c r="P1237" s="1"/>
      <c r="Q1237" s="81" t="str">
        <f t="shared" si="12"/>
        <v>HiGrad-LoElev</v>
      </c>
      <c r="R1237" s="81" t="str">
        <f t="shared" si="13"/>
        <v>HiGrad-LoElev</v>
      </c>
    </row>
    <row r="1238" spans="1:18" x14ac:dyDescent="0.25">
      <c r="A1238" s="79" t="s">
        <v>1070</v>
      </c>
      <c r="B1238" s="1" t="s">
        <v>474</v>
      </c>
      <c r="C1238" s="5">
        <v>4</v>
      </c>
      <c r="D1238" s="1" t="s">
        <v>476</v>
      </c>
      <c r="E1238" s="44" t="s">
        <v>565</v>
      </c>
      <c r="F1238" s="5" t="s">
        <v>26</v>
      </c>
      <c r="G1238" s="5">
        <v>45</v>
      </c>
      <c r="H1238" s="5">
        <v>55</v>
      </c>
      <c r="I1238" s="80" t="b">
        <v>0</v>
      </c>
      <c r="J1238" s="57" t="s">
        <v>477</v>
      </c>
      <c r="K1238" s="81" t="s">
        <v>32</v>
      </c>
      <c r="L1238" s="1"/>
      <c r="M1238" s="1"/>
      <c r="N1238" s="1"/>
      <c r="O1238" s="1"/>
      <c r="P1238" s="1"/>
      <c r="Q1238" s="81" t="str">
        <f t="shared" si="12"/>
        <v>HiGrad-LoElev</v>
      </c>
      <c r="R1238" s="81" t="str">
        <f t="shared" si="13"/>
        <v>HiGrad-LoElev</v>
      </c>
    </row>
    <row r="1239" spans="1:18" x14ac:dyDescent="0.25">
      <c r="A1239" s="79" t="s">
        <v>1070</v>
      </c>
      <c r="B1239" s="1" t="s">
        <v>474</v>
      </c>
      <c r="C1239" s="5">
        <v>4</v>
      </c>
      <c r="D1239" s="1" t="s">
        <v>478</v>
      </c>
      <c r="E1239" s="44" t="s">
        <v>524</v>
      </c>
      <c r="F1239" s="5" t="s">
        <v>24</v>
      </c>
      <c r="G1239" s="5">
        <v>10</v>
      </c>
      <c r="H1239" s="5">
        <v>20</v>
      </c>
      <c r="I1239" s="80" t="b">
        <v>1</v>
      </c>
      <c r="J1239" s="57" t="s">
        <v>479</v>
      </c>
      <c r="K1239" s="81" t="s">
        <v>32</v>
      </c>
      <c r="L1239" s="1"/>
      <c r="M1239" s="1"/>
      <c r="N1239" s="1"/>
      <c r="O1239" s="1"/>
      <c r="P1239" s="1"/>
      <c r="Q1239" s="81" t="str">
        <f t="shared" si="12"/>
        <v>HiGrad-LoElev</v>
      </c>
      <c r="R1239" s="81" t="str">
        <f t="shared" si="13"/>
        <v>HiGrad-LoElev</v>
      </c>
    </row>
    <row r="1240" spans="1:18" x14ac:dyDescent="0.25">
      <c r="A1240" s="79" t="s">
        <v>1070</v>
      </c>
      <c r="B1240" s="1" t="s">
        <v>474</v>
      </c>
      <c r="C1240" s="5">
        <v>5</v>
      </c>
      <c r="D1240" s="1" t="s">
        <v>11</v>
      </c>
      <c r="E1240" s="59" t="s">
        <v>524</v>
      </c>
      <c r="F1240" s="5" t="s">
        <v>24</v>
      </c>
      <c r="G1240" s="5">
        <v>10</v>
      </c>
      <c r="H1240" s="5">
        <v>20</v>
      </c>
      <c r="I1240" s="80" t="b">
        <v>1</v>
      </c>
      <c r="J1240" s="57" t="s">
        <v>0</v>
      </c>
      <c r="K1240" s="81" t="s">
        <v>32</v>
      </c>
      <c r="L1240" s="1"/>
      <c r="M1240" s="1"/>
      <c r="N1240" s="1"/>
      <c r="O1240" s="1"/>
      <c r="P1240" s="1"/>
      <c r="Q1240" s="81" t="str">
        <f t="shared" si="12"/>
        <v>HiGrad-LoElev</v>
      </c>
      <c r="R1240" s="81" t="str">
        <f t="shared" si="13"/>
        <v>HiGrad-LoElev</v>
      </c>
    </row>
    <row r="1241" spans="1:18" x14ac:dyDescent="0.25">
      <c r="A1241" s="79" t="s">
        <v>1070</v>
      </c>
      <c r="B1241" s="1" t="s">
        <v>474</v>
      </c>
      <c r="C1241" s="5">
        <v>5</v>
      </c>
      <c r="D1241" s="1" t="s">
        <v>13</v>
      </c>
      <c r="E1241" s="59" t="s">
        <v>536</v>
      </c>
      <c r="F1241" s="5" t="s">
        <v>24</v>
      </c>
      <c r="G1241" s="5">
        <v>1</v>
      </c>
      <c r="H1241" s="5">
        <v>5</v>
      </c>
      <c r="I1241" s="80" t="b">
        <v>1</v>
      </c>
      <c r="J1241" s="57" t="s">
        <v>10</v>
      </c>
      <c r="K1241" s="81" t="s">
        <v>32</v>
      </c>
      <c r="L1241" s="1"/>
      <c r="M1241" s="1"/>
      <c r="N1241" s="1"/>
      <c r="O1241" s="1"/>
      <c r="P1241" s="1"/>
      <c r="Q1241" s="81" t="str">
        <f t="shared" si="12"/>
        <v>HiGrad-LoElev</v>
      </c>
      <c r="R1241" s="81" t="str">
        <f t="shared" si="13"/>
        <v>HiGrad-LoElev</v>
      </c>
    </row>
    <row r="1242" spans="1:18" x14ac:dyDescent="0.25">
      <c r="A1242" s="79" t="s">
        <v>1070</v>
      </c>
      <c r="B1242" s="1" t="s">
        <v>474</v>
      </c>
      <c r="C1242" s="5">
        <v>5</v>
      </c>
      <c r="D1242" s="1" t="s">
        <v>48</v>
      </c>
      <c r="E1242" s="44" t="s">
        <v>566</v>
      </c>
      <c r="F1242" s="5" t="s">
        <v>26</v>
      </c>
      <c r="G1242" s="5">
        <v>30</v>
      </c>
      <c r="H1242" s="5">
        <v>40</v>
      </c>
      <c r="I1242" s="80" t="b">
        <v>0</v>
      </c>
      <c r="J1242" s="1" t="s">
        <v>15</v>
      </c>
      <c r="K1242" s="81" t="s">
        <v>32</v>
      </c>
      <c r="L1242" s="1"/>
      <c r="M1242" s="1"/>
      <c r="N1242" s="1"/>
      <c r="O1242" s="1"/>
      <c r="P1242" s="1"/>
      <c r="Q1242" s="81" t="str">
        <f t="shared" si="12"/>
        <v>HiGrad-LoElev</v>
      </c>
      <c r="R1242" s="81" t="str">
        <f t="shared" si="13"/>
        <v>HiGrad-LoElev</v>
      </c>
    </row>
    <row r="1243" spans="1:18" x14ac:dyDescent="0.25">
      <c r="A1243" s="79" t="s">
        <v>1070</v>
      </c>
      <c r="B1243" s="1" t="s">
        <v>474</v>
      </c>
      <c r="C1243" s="5">
        <v>5</v>
      </c>
      <c r="D1243" s="1" t="s">
        <v>478</v>
      </c>
      <c r="E1243" s="59" t="s">
        <v>544</v>
      </c>
      <c r="F1243" s="5" t="s">
        <v>24</v>
      </c>
      <c r="G1243" s="5">
        <v>3</v>
      </c>
      <c r="H1243" s="5">
        <v>7</v>
      </c>
      <c r="I1243" s="80" t="b">
        <v>1</v>
      </c>
      <c r="J1243" s="57" t="s">
        <v>479</v>
      </c>
      <c r="K1243" s="81" t="s">
        <v>32</v>
      </c>
      <c r="L1243" s="1"/>
      <c r="M1243" s="1"/>
      <c r="N1243" s="1"/>
      <c r="O1243" s="1"/>
      <c r="P1243" s="1"/>
      <c r="Q1243" s="81" t="str">
        <f t="shared" si="12"/>
        <v>HiGrad-LoElev</v>
      </c>
      <c r="R1243" s="81" t="str">
        <f t="shared" si="13"/>
        <v>HiGrad-LoElev</v>
      </c>
    </row>
    <row r="1244" spans="1:18" x14ac:dyDescent="0.25">
      <c r="A1244" s="79" t="s">
        <v>1070</v>
      </c>
      <c r="B1244" s="1" t="s">
        <v>487</v>
      </c>
      <c r="C1244" s="5">
        <v>2</v>
      </c>
      <c r="D1244" s="1" t="s">
        <v>11</v>
      </c>
      <c r="E1244" s="61" t="s">
        <v>545</v>
      </c>
      <c r="F1244" s="5" t="s">
        <v>24</v>
      </c>
      <c r="G1244" s="5">
        <v>40</v>
      </c>
      <c r="H1244" s="5">
        <v>50</v>
      </c>
      <c r="I1244" s="80" t="b">
        <v>1</v>
      </c>
      <c r="J1244" s="1" t="s">
        <v>0</v>
      </c>
      <c r="K1244" s="81" t="s">
        <v>32</v>
      </c>
      <c r="L1244" s="1"/>
      <c r="M1244" s="1"/>
      <c r="N1244" s="1"/>
      <c r="O1244" s="1"/>
      <c r="P1244" s="1"/>
      <c r="Q1244" s="81" t="str">
        <f t="shared" si="12"/>
        <v>HiGrad-HiElev</v>
      </c>
      <c r="R1244" s="81" t="str">
        <f t="shared" si="13"/>
        <v>HiGrad-HiElev</v>
      </c>
    </row>
    <row r="1245" spans="1:18" x14ac:dyDescent="0.25">
      <c r="A1245" s="79" t="s">
        <v>1070</v>
      </c>
      <c r="B1245" s="1" t="s">
        <v>487</v>
      </c>
      <c r="C1245" s="5">
        <v>2</v>
      </c>
      <c r="D1245" s="1" t="s">
        <v>33</v>
      </c>
      <c r="E1245" s="61" t="s">
        <v>546</v>
      </c>
      <c r="F1245" s="5" t="s">
        <v>24</v>
      </c>
      <c r="G1245" s="5">
        <v>3</v>
      </c>
      <c r="H1245" s="5">
        <v>9</v>
      </c>
      <c r="I1245" s="80" t="b">
        <v>1</v>
      </c>
      <c r="J1245" s="1" t="s">
        <v>1</v>
      </c>
      <c r="K1245" s="81" t="s">
        <v>32</v>
      </c>
      <c r="L1245" s="1"/>
      <c r="M1245" s="1"/>
      <c r="N1245" s="1"/>
      <c r="O1245" s="1"/>
      <c r="P1245" s="1"/>
      <c r="Q1245" s="81" t="str">
        <f t="shared" si="12"/>
        <v>HiGrad-HiElev</v>
      </c>
      <c r="R1245" s="81" t="str">
        <f t="shared" si="13"/>
        <v>HiGrad-HiElev</v>
      </c>
    </row>
    <row r="1246" spans="1:18" x14ac:dyDescent="0.25">
      <c r="A1246" s="79" t="s">
        <v>1070</v>
      </c>
      <c r="B1246" s="1" t="s">
        <v>487</v>
      </c>
      <c r="C1246" s="5">
        <v>2</v>
      </c>
      <c r="D1246" s="1" t="s">
        <v>390</v>
      </c>
      <c r="E1246" s="5" t="s">
        <v>547</v>
      </c>
      <c r="F1246" s="5" t="s">
        <v>24</v>
      </c>
      <c r="G1246" s="5">
        <v>3</v>
      </c>
      <c r="H1246" s="5">
        <v>7</v>
      </c>
      <c r="I1246" s="80" t="b">
        <v>1</v>
      </c>
      <c r="J1246" s="1" t="s">
        <v>475</v>
      </c>
      <c r="K1246" s="81" t="s">
        <v>32</v>
      </c>
      <c r="L1246" s="1"/>
      <c r="M1246" s="1"/>
      <c r="N1246" s="1"/>
      <c r="O1246" s="1"/>
      <c r="P1246" s="1"/>
      <c r="Q1246" s="81" t="str">
        <f t="shared" si="12"/>
        <v>HiGrad-HiElev</v>
      </c>
      <c r="R1246" s="81" t="str">
        <f t="shared" si="13"/>
        <v>HiGrad-HiElev</v>
      </c>
    </row>
    <row r="1247" spans="1:18" x14ac:dyDescent="0.25">
      <c r="A1247" s="79" t="s">
        <v>1070</v>
      </c>
      <c r="B1247" s="1" t="s">
        <v>487</v>
      </c>
      <c r="C1247" s="5">
        <v>2</v>
      </c>
      <c r="D1247" s="1" t="s">
        <v>29</v>
      </c>
      <c r="E1247" s="61" t="s">
        <v>548</v>
      </c>
      <c r="F1247" s="5" t="s">
        <v>24</v>
      </c>
      <c r="G1247" s="5">
        <v>13</v>
      </c>
      <c r="H1247" s="5">
        <v>23</v>
      </c>
      <c r="I1247" s="80" t="b">
        <v>1</v>
      </c>
      <c r="J1247" s="1" t="s">
        <v>6</v>
      </c>
      <c r="K1247" s="81" t="s">
        <v>32</v>
      </c>
      <c r="L1247" s="1"/>
      <c r="M1247" s="1"/>
      <c r="N1247" s="1"/>
      <c r="O1247" s="1"/>
      <c r="P1247" s="1"/>
      <c r="Q1247" s="81" t="str">
        <f t="shared" si="12"/>
        <v>HiGrad-HiElev</v>
      </c>
      <c r="R1247" s="81" t="str">
        <f t="shared" si="13"/>
        <v>HiGrad-HiElev</v>
      </c>
    </row>
    <row r="1248" spans="1:18" x14ac:dyDescent="0.25">
      <c r="A1248" s="79" t="s">
        <v>1070</v>
      </c>
      <c r="B1248" s="1" t="s">
        <v>487</v>
      </c>
      <c r="C1248" s="5">
        <v>2</v>
      </c>
      <c r="D1248" s="1" t="s">
        <v>34</v>
      </c>
      <c r="E1248" s="61" t="s">
        <v>538</v>
      </c>
      <c r="F1248" s="5" t="s">
        <v>24</v>
      </c>
      <c r="G1248" s="5">
        <v>40</v>
      </c>
      <c r="H1248" s="5">
        <v>50</v>
      </c>
      <c r="I1248" s="80" t="b">
        <v>1</v>
      </c>
      <c r="J1248" s="1" t="s">
        <v>2</v>
      </c>
      <c r="K1248" s="81" t="s">
        <v>32</v>
      </c>
      <c r="L1248" s="1"/>
      <c r="M1248" s="1"/>
      <c r="N1248" s="1"/>
      <c r="O1248" s="1"/>
      <c r="P1248" s="1"/>
      <c r="Q1248" s="81" t="str">
        <f t="shared" si="12"/>
        <v>HiGrad-HiElev</v>
      </c>
      <c r="R1248" s="81" t="str">
        <f t="shared" si="13"/>
        <v>HiGrad-HiElev</v>
      </c>
    </row>
    <row r="1249" spans="1:18" x14ac:dyDescent="0.25">
      <c r="A1249" s="79" t="s">
        <v>1070</v>
      </c>
      <c r="B1249" s="1" t="s">
        <v>487</v>
      </c>
      <c r="C1249" s="5">
        <v>2</v>
      </c>
      <c r="D1249" s="1" t="s">
        <v>35</v>
      </c>
      <c r="E1249" s="61" t="s">
        <v>522</v>
      </c>
      <c r="F1249" s="5" t="s">
        <v>24</v>
      </c>
      <c r="G1249" s="5">
        <v>30</v>
      </c>
      <c r="H1249" s="5">
        <v>40</v>
      </c>
      <c r="I1249" s="80" t="b">
        <v>1</v>
      </c>
      <c r="J1249" s="1" t="s">
        <v>3</v>
      </c>
      <c r="K1249" s="81" t="s">
        <v>32</v>
      </c>
      <c r="L1249" s="1"/>
      <c r="M1249" s="1"/>
      <c r="N1249" s="1"/>
      <c r="O1249" s="1"/>
      <c r="P1249" s="1"/>
      <c r="Q1249" s="81" t="str">
        <f t="shared" si="12"/>
        <v>HiGrad-HiElev</v>
      </c>
      <c r="R1249" s="81" t="str">
        <f t="shared" si="13"/>
        <v>HiGrad-HiElev</v>
      </c>
    </row>
    <row r="1250" spans="1:18" x14ac:dyDescent="0.25">
      <c r="A1250" s="79" t="s">
        <v>1070</v>
      </c>
      <c r="B1250" s="1" t="s">
        <v>487</v>
      </c>
      <c r="C1250" s="5">
        <v>2</v>
      </c>
      <c r="D1250" s="1" t="s">
        <v>48</v>
      </c>
      <c r="E1250" s="44" t="s">
        <v>560</v>
      </c>
      <c r="F1250" s="5" t="s">
        <v>26</v>
      </c>
      <c r="G1250" s="5">
        <v>10</v>
      </c>
      <c r="H1250" s="5">
        <v>20</v>
      </c>
      <c r="I1250" s="80" t="b">
        <v>0</v>
      </c>
      <c r="J1250" s="1" t="s">
        <v>15</v>
      </c>
      <c r="K1250" s="81" t="s">
        <v>32</v>
      </c>
      <c r="L1250" s="1"/>
      <c r="M1250" s="1"/>
      <c r="N1250" s="1"/>
      <c r="O1250" s="1"/>
      <c r="P1250" s="1"/>
      <c r="Q1250" s="81" t="str">
        <f t="shared" si="12"/>
        <v>HiGrad-HiElev</v>
      </c>
      <c r="R1250" s="81" t="str">
        <f t="shared" si="13"/>
        <v>HiGrad-HiElev</v>
      </c>
    </row>
    <row r="1251" spans="1:18" x14ac:dyDescent="0.25">
      <c r="A1251" s="79" t="s">
        <v>1070</v>
      </c>
      <c r="B1251" s="1" t="s">
        <v>487</v>
      </c>
      <c r="C1251" s="6">
        <v>2</v>
      </c>
      <c r="D1251" s="7" t="s">
        <v>478</v>
      </c>
      <c r="E1251" s="55" t="s">
        <v>525</v>
      </c>
      <c r="F1251" s="6" t="s">
        <v>24</v>
      </c>
      <c r="G1251" s="6">
        <v>20</v>
      </c>
      <c r="H1251" s="6">
        <v>30</v>
      </c>
      <c r="I1251" s="80" t="b">
        <v>1</v>
      </c>
      <c r="J1251" s="7" t="s">
        <v>479</v>
      </c>
      <c r="K1251" s="81" t="s">
        <v>32</v>
      </c>
      <c r="L1251" s="7" t="s">
        <v>485</v>
      </c>
      <c r="M1251" s="1" t="s">
        <v>482</v>
      </c>
      <c r="N1251" s="1"/>
      <c r="O1251" s="1"/>
      <c r="P1251" s="1"/>
      <c r="Q1251" s="81" t="str">
        <f t="shared" si="12"/>
        <v>HiGrad-HiElev</v>
      </c>
      <c r="R1251" s="81" t="str">
        <f t="shared" si="13"/>
        <v>HiGrad-HiElev</v>
      </c>
    </row>
    <row r="1252" spans="1:18" x14ac:dyDescent="0.25">
      <c r="A1252" s="79" t="s">
        <v>1070</v>
      </c>
      <c r="B1252" s="1" t="s">
        <v>487</v>
      </c>
      <c r="C1252" s="6">
        <v>2</v>
      </c>
      <c r="D1252" s="7" t="s">
        <v>342</v>
      </c>
      <c r="E1252" s="55" t="s">
        <v>549</v>
      </c>
      <c r="F1252" s="6" t="s">
        <v>24</v>
      </c>
      <c r="G1252" s="6">
        <v>3.8</v>
      </c>
      <c r="H1252" s="6">
        <v>4.2</v>
      </c>
      <c r="I1252" s="80" t="b">
        <v>1</v>
      </c>
      <c r="J1252" s="7" t="s">
        <v>480</v>
      </c>
      <c r="K1252" s="81" t="s">
        <v>32</v>
      </c>
      <c r="L1252" s="7" t="s">
        <v>485</v>
      </c>
      <c r="M1252" s="1" t="s">
        <v>482</v>
      </c>
      <c r="N1252" s="1"/>
      <c r="O1252" s="1"/>
      <c r="P1252" s="1"/>
      <c r="Q1252" s="81" t="str">
        <f t="shared" si="12"/>
        <v>HiGrad-HiElev</v>
      </c>
      <c r="R1252" s="81" t="str">
        <f t="shared" si="13"/>
        <v>HiGrad-HiElev</v>
      </c>
    </row>
    <row r="1253" spans="1:18" x14ac:dyDescent="0.25">
      <c r="A1253" s="79" t="s">
        <v>1070</v>
      </c>
      <c r="B1253" s="1" t="s">
        <v>487</v>
      </c>
      <c r="C1253" s="6">
        <v>2</v>
      </c>
      <c r="D1253" s="7" t="s">
        <v>295</v>
      </c>
      <c r="E1253" s="55" t="s">
        <v>550</v>
      </c>
      <c r="F1253" s="6" t="s">
        <v>24</v>
      </c>
      <c r="G1253" s="6">
        <v>9</v>
      </c>
      <c r="H1253" s="6">
        <v>15</v>
      </c>
      <c r="I1253" s="80" t="b">
        <v>1</v>
      </c>
      <c r="J1253" s="7" t="s">
        <v>481</v>
      </c>
      <c r="K1253" s="81" t="s">
        <v>32</v>
      </c>
      <c r="L1253" s="7" t="s">
        <v>485</v>
      </c>
      <c r="M1253" s="1" t="s">
        <v>482</v>
      </c>
      <c r="N1253" s="1"/>
      <c r="O1253" s="1"/>
      <c r="P1253" s="1"/>
      <c r="Q1253" s="81" t="str">
        <f t="shared" si="12"/>
        <v>HiGrad-HiElev</v>
      </c>
      <c r="R1253" s="81" t="str">
        <f t="shared" si="13"/>
        <v>HiGrad-HiElev</v>
      </c>
    </row>
    <row r="1254" spans="1:18" x14ac:dyDescent="0.25">
      <c r="A1254" s="79" t="s">
        <v>1070</v>
      </c>
      <c r="B1254" s="1" t="s">
        <v>487</v>
      </c>
      <c r="C1254" s="5">
        <v>3</v>
      </c>
      <c r="D1254" s="1" t="s">
        <v>11</v>
      </c>
      <c r="E1254" s="44" t="s">
        <v>551</v>
      </c>
      <c r="F1254" s="5" t="s">
        <v>24</v>
      </c>
      <c r="G1254" s="5">
        <v>30</v>
      </c>
      <c r="H1254" s="5">
        <v>40</v>
      </c>
      <c r="I1254" s="80" t="b">
        <v>1</v>
      </c>
      <c r="J1254" s="1" t="s">
        <v>0</v>
      </c>
      <c r="K1254" s="81" t="s">
        <v>32</v>
      </c>
      <c r="L1254" s="1"/>
      <c r="M1254" s="1"/>
      <c r="N1254" s="1"/>
      <c r="O1254" s="1"/>
      <c r="P1254" s="1"/>
      <c r="Q1254" s="81" t="str">
        <f t="shared" si="12"/>
        <v>HiGrad-HiElev</v>
      </c>
      <c r="R1254" s="81" t="str">
        <f t="shared" si="13"/>
        <v>HiGrad-HiElev</v>
      </c>
    </row>
    <row r="1255" spans="1:18" x14ac:dyDescent="0.25">
      <c r="A1255" s="79" t="s">
        <v>1070</v>
      </c>
      <c r="B1255" s="1" t="s">
        <v>487</v>
      </c>
      <c r="C1255" s="5">
        <v>3</v>
      </c>
      <c r="D1255" s="1" t="s">
        <v>13</v>
      </c>
      <c r="E1255" s="56" t="s">
        <v>524</v>
      </c>
      <c r="F1255" s="5" t="s">
        <v>24</v>
      </c>
      <c r="G1255" s="5">
        <v>10</v>
      </c>
      <c r="H1255" s="5">
        <v>20</v>
      </c>
      <c r="I1255" s="80" t="b">
        <v>1</v>
      </c>
      <c r="J1255" s="57" t="s">
        <v>10</v>
      </c>
      <c r="K1255" s="81" t="s">
        <v>32</v>
      </c>
      <c r="L1255" s="1"/>
      <c r="M1255" s="1"/>
      <c r="N1255" s="1"/>
      <c r="O1255" s="1"/>
      <c r="P1255" s="1"/>
      <c r="Q1255" s="81" t="str">
        <f t="shared" si="12"/>
        <v>HiGrad-HiElev</v>
      </c>
      <c r="R1255" s="81" t="str">
        <f t="shared" si="13"/>
        <v>HiGrad-HiElev</v>
      </c>
    </row>
    <row r="1256" spans="1:18" x14ac:dyDescent="0.25">
      <c r="A1256" s="79" t="s">
        <v>1070</v>
      </c>
      <c r="B1256" s="1" t="s">
        <v>487</v>
      </c>
      <c r="C1256" s="5">
        <v>3</v>
      </c>
      <c r="D1256" s="1" t="s">
        <v>33</v>
      </c>
      <c r="E1256" s="56" t="s">
        <v>552</v>
      </c>
      <c r="F1256" s="5" t="s">
        <v>24</v>
      </c>
      <c r="G1256" s="5">
        <v>0</v>
      </c>
      <c r="H1256" s="5">
        <v>1</v>
      </c>
      <c r="I1256" s="80" t="b">
        <v>1</v>
      </c>
      <c r="J1256" s="1" t="s">
        <v>1</v>
      </c>
      <c r="K1256" s="81" t="s">
        <v>32</v>
      </c>
      <c r="L1256" s="1"/>
      <c r="M1256" s="1"/>
      <c r="N1256" s="1"/>
      <c r="O1256" s="1"/>
      <c r="P1256" s="1"/>
      <c r="Q1256" s="81" t="str">
        <f t="shared" si="12"/>
        <v>HiGrad-HiElev</v>
      </c>
      <c r="R1256" s="81" t="str">
        <f t="shared" si="13"/>
        <v>HiGrad-HiElev</v>
      </c>
    </row>
    <row r="1257" spans="1:18" x14ac:dyDescent="0.25">
      <c r="A1257" s="79" t="s">
        <v>1070</v>
      </c>
      <c r="B1257" s="1" t="s">
        <v>487</v>
      </c>
      <c r="C1257" s="5">
        <v>3</v>
      </c>
      <c r="D1257" s="1" t="s">
        <v>34</v>
      </c>
      <c r="E1257" s="44" t="s">
        <v>539</v>
      </c>
      <c r="F1257" s="5" t="s">
        <v>24</v>
      </c>
      <c r="G1257" s="5">
        <v>25</v>
      </c>
      <c r="H1257" s="5">
        <v>35</v>
      </c>
      <c r="I1257" s="80" t="b">
        <v>1</v>
      </c>
      <c r="J1257" s="1" t="s">
        <v>2</v>
      </c>
      <c r="K1257" s="81" t="s">
        <v>32</v>
      </c>
      <c r="L1257" s="1"/>
      <c r="M1257" s="1"/>
      <c r="N1257" s="1"/>
      <c r="O1257" s="1"/>
      <c r="P1257" s="1"/>
      <c r="Q1257" s="81" t="str">
        <f t="shared" si="12"/>
        <v>HiGrad-HiElev</v>
      </c>
      <c r="R1257" s="81" t="str">
        <f t="shared" si="13"/>
        <v>HiGrad-HiElev</v>
      </c>
    </row>
    <row r="1258" spans="1:18" x14ac:dyDescent="0.25">
      <c r="A1258" s="79" t="s">
        <v>1070</v>
      </c>
      <c r="B1258" s="1" t="s">
        <v>487</v>
      </c>
      <c r="C1258" s="5">
        <v>3</v>
      </c>
      <c r="D1258" s="1" t="s">
        <v>35</v>
      </c>
      <c r="E1258" s="44" t="s">
        <v>523</v>
      </c>
      <c r="F1258" s="5" t="s">
        <v>24</v>
      </c>
      <c r="G1258" s="5">
        <v>15</v>
      </c>
      <c r="H1258" s="5">
        <v>25</v>
      </c>
      <c r="I1258" s="80" t="b">
        <v>1</v>
      </c>
      <c r="J1258" s="1" t="s">
        <v>3</v>
      </c>
      <c r="K1258" s="81" t="s">
        <v>32</v>
      </c>
      <c r="L1258" s="1"/>
      <c r="M1258" s="1"/>
      <c r="N1258" s="1"/>
      <c r="O1258" s="1"/>
      <c r="P1258" s="1"/>
      <c r="Q1258" s="81" t="str">
        <f t="shared" si="12"/>
        <v>HiGrad-HiElev</v>
      </c>
      <c r="R1258" s="81" t="str">
        <f t="shared" si="13"/>
        <v>HiGrad-HiElev</v>
      </c>
    </row>
    <row r="1259" spans="1:18" x14ac:dyDescent="0.25">
      <c r="A1259" s="79" t="s">
        <v>1070</v>
      </c>
      <c r="B1259" s="1" t="s">
        <v>487</v>
      </c>
      <c r="C1259" s="5">
        <v>3</v>
      </c>
      <c r="D1259" s="1" t="s">
        <v>48</v>
      </c>
      <c r="E1259" s="44" t="s">
        <v>560</v>
      </c>
      <c r="F1259" s="5" t="s">
        <v>26</v>
      </c>
      <c r="G1259" s="5">
        <v>10</v>
      </c>
      <c r="H1259" s="5">
        <v>20</v>
      </c>
      <c r="I1259" s="80" t="b">
        <v>0</v>
      </c>
      <c r="J1259" s="57" t="s">
        <v>15</v>
      </c>
      <c r="K1259" s="81" t="s">
        <v>32</v>
      </c>
      <c r="L1259" s="1"/>
      <c r="M1259" s="1"/>
      <c r="N1259" s="1"/>
      <c r="O1259" s="1"/>
      <c r="P1259" s="1"/>
      <c r="Q1259" s="81" t="str">
        <f t="shared" si="12"/>
        <v>HiGrad-HiElev</v>
      </c>
      <c r="R1259" s="81" t="str">
        <f t="shared" si="13"/>
        <v>HiGrad-HiElev</v>
      </c>
    </row>
    <row r="1260" spans="1:18" x14ac:dyDescent="0.25">
      <c r="A1260" s="79" t="s">
        <v>1070</v>
      </c>
      <c r="B1260" s="1" t="s">
        <v>487</v>
      </c>
      <c r="C1260" s="6">
        <v>3</v>
      </c>
      <c r="D1260" s="7" t="s">
        <v>478</v>
      </c>
      <c r="E1260" s="55" t="s">
        <v>529</v>
      </c>
      <c r="F1260" s="6" t="s">
        <v>24</v>
      </c>
      <c r="G1260" s="6">
        <v>15</v>
      </c>
      <c r="H1260" s="6">
        <v>25</v>
      </c>
      <c r="I1260" s="80" t="b">
        <v>1</v>
      </c>
      <c r="J1260" s="7" t="s">
        <v>479</v>
      </c>
      <c r="K1260" s="81" t="s">
        <v>32</v>
      </c>
      <c r="L1260" s="7" t="s">
        <v>485</v>
      </c>
      <c r="M1260" s="1" t="s">
        <v>482</v>
      </c>
      <c r="N1260" s="1"/>
      <c r="O1260" s="1"/>
      <c r="P1260" s="1"/>
      <c r="Q1260" s="81" t="str">
        <f t="shared" si="12"/>
        <v>HiGrad-HiElev</v>
      </c>
      <c r="R1260" s="81" t="str">
        <f t="shared" si="13"/>
        <v>HiGrad-HiElev</v>
      </c>
    </row>
    <row r="1261" spans="1:18" x14ac:dyDescent="0.25">
      <c r="A1261" s="79" t="s">
        <v>1070</v>
      </c>
      <c r="B1261" s="1" t="s">
        <v>487</v>
      </c>
      <c r="C1261" s="6">
        <v>3</v>
      </c>
      <c r="D1261" s="7" t="s">
        <v>29</v>
      </c>
      <c r="E1261" s="58" t="s">
        <v>542</v>
      </c>
      <c r="F1261" s="6" t="s">
        <v>24</v>
      </c>
      <c r="G1261" s="6">
        <v>5</v>
      </c>
      <c r="H1261" s="6">
        <v>15</v>
      </c>
      <c r="I1261" s="80" t="b">
        <v>1</v>
      </c>
      <c r="J1261" s="7" t="s">
        <v>6</v>
      </c>
      <c r="K1261" s="81" t="s">
        <v>32</v>
      </c>
      <c r="L1261" s="7" t="s">
        <v>485</v>
      </c>
      <c r="M1261" s="1" t="s">
        <v>482</v>
      </c>
      <c r="N1261" s="1"/>
      <c r="O1261" s="1"/>
      <c r="P1261" s="1"/>
      <c r="Q1261" s="81" t="str">
        <f t="shared" si="12"/>
        <v>HiGrad-HiElev</v>
      </c>
      <c r="R1261" s="81" t="str">
        <f t="shared" si="13"/>
        <v>HiGrad-HiElev</v>
      </c>
    </row>
    <row r="1262" spans="1:18" x14ac:dyDescent="0.25">
      <c r="A1262" s="79" t="s">
        <v>1070</v>
      </c>
      <c r="B1262" s="1" t="s">
        <v>487</v>
      </c>
      <c r="C1262" s="6">
        <v>3</v>
      </c>
      <c r="D1262" s="7" t="s">
        <v>342</v>
      </c>
      <c r="E1262" s="55" t="s">
        <v>553</v>
      </c>
      <c r="F1262" s="6" t="s">
        <v>24</v>
      </c>
      <c r="G1262" s="6">
        <v>3.3</v>
      </c>
      <c r="H1262" s="6">
        <v>3.7</v>
      </c>
      <c r="I1262" s="80" t="b">
        <v>1</v>
      </c>
      <c r="J1262" s="7" t="s">
        <v>480</v>
      </c>
      <c r="K1262" s="81" t="s">
        <v>32</v>
      </c>
      <c r="L1262" s="7" t="s">
        <v>485</v>
      </c>
      <c r="M1262" s="1" t="s">
        <v>482</v>
      </c>
      <c r="N1262" s="1"/>
      <c r="O1262" s="1"/>
      <c r="P1262" s="1"/>
      <c r="Q1262" s="81" t="str">
        <f t="shared" si="12"/>
        <v>HiGrad-HiElev</v>
      </c>
      <c r="R1262" s="81" t="str">
        <f t="shared" si="13"/>
        <v>HiGrad-HiElev</v>
      </c>
    </row>
    <row r="1263" spans="1:18" x14ac:dyDescent="0.25">
      <c r="A1263" s="79" t="s">
        <v>1070</v>
      </c>
      <c r="B1263" s="1" t="s">
        <v>487</v>
      </c>
      <c r="C1263" s="5">
        <v>4</v>
      </c>
      <c r="D1263" s="1" t="s">
        <v>11</v>
      </c>
      <c r="E1263" s="44" t="s">
        <v>525</v>
      </c>
      <c r="F1263" s="5" t="s">
        <v>24</v>
      </c>
      <c r="G1263" s="5">
        <v>20</v>
      </c>
      <c r="H1263" s="5">
        <v>30</v>
      </c>
      <c r="I1263" s="80" t="b">
        <v>1</v>
      </c>
      <c r="J1263" s="1" t="s">
        <v>0</v>
      </c>
      <c r="K1263" s="81" t="s">
        <v>32</v>
      </c>
      <c r="L1263" s="1"/>
      <c r="M1263" s="1"/>
      <c r="N1263" s="1"/>
      <c r="O1263" s="1"/>
      <c r="P1263" s="1"/>
      <c r="Q1263" s="81" t="str">
        <f t="shared" si="12"/>
        <v>HiGrad-HiElev</v>
      </c>
      <c r="R1263" s="81" t="str">
        <f t="shared" si="13"/>
        <v>HiGrad-HiElev</v>
      </c>
    </row>
    <row r="1264" spans="1:18" x14ac:dyDescent="0.25">
      <c r="A1264" s="79" t="s">
        <v>1070</v>
      </c>
      <c r="B1264" s="1" t="s">
        <v>487</v>
      </c>
      <c r="C1264" s="5">
        <v>4</v>
      </c>
      <c r="D1264" s="1" t="s">
        <v>13</v>
      </c>
      <c r="E1264" s="56" t="s">
        <v>528</v>
      </c>
      <c r="F1264" s="5" t="s">
        <v>24</v>
      </c>
      <c r="G1264" s="5">
        <v>6</v>
      </c>
      <c r="H1264" s="5">
        <v>12</v>
      </c>
      <c r="I1264" s="80" t="b">
        <v>1</v>
      </c>
      <c r="J1264" s="57" t="s">
        <v>10</v>
      </c>
      <c r="K1264" s="81" t="s">
        <v>32</v>
      </c>
      <c r="L1264" s="1"/>
      <c r="M1264" s="1"/>
      <c r="N1264" s="1"/>
      <c r="O1264" s="1"/>
      <c r="P1264" s="1"/>
      <c r="Q1264" s="81" t="str">
        <f t="shared" si="12"/>
        <v>HiGrad-HiElev</v>
      </c>
      <c r="R1264" s="81" t="str">
        <f t="shared" si="13"/>
        <v>HiGrad-HiElev</v>
      </c>
    </row>
    <row r="1265" spans="1:18" x14ac:dyDescent="0.25">
      <c r="A1265" s="79" t="s">
        <v>1070</v>
      </c>
      <c r="B1265" s="1" t="s">
        <v>487</v>
      </c>
      <c r="C1265" s="5">
        <v>4</v>
      </c>
      <c r="D1265" s="1" t="s">
        <v>34</v>
      </c>
      <c r="E1265" s="44" t="s">
        <v>526</v>
      </c>
      <c r="F1265" s="5" t="s">
        <v>24</v>
      </c>
      <c r="G1265" s="5">
        <v>5</v>
      </c>
      <c r="H1265" s="5">
        <v>15</v>
      </c>
      <c r="I1265" s="80" t="b">
        <v>1</v>
      </c>
      <c r="J1265" s="1" t="s">
        <v>2</v>
      </c>
      <c r="K1265" s="81" t="s">
        <v>32</v>
      </c>
      <c r="L1265" s="1"/>
      <c r="M1265" s="1"/>
      <c r="N1265" s="1"/>
      <c r="O1265" s="1"/>
      <c r="P1265" s="1"/>
      <c r="Q1265" s="81" t="str">
        <f t="shared" si="12"/>
        <v>HiGrad-HiElev</v>
      </c>
      <c r="R1265" s="81" t="str">
        <f t="shared" si="13"/>
        <v>HiGrad-HiElev</v>
      </c>
    </row>
    <row r="1266" spans="1:18" x14ac:dyDescent="0.25">
      <c r="A1266" s="79" t="s">
        <v>1070</v>
      </c>
      <c r="B1266" s="1" t="s">
        <v>487</v>
      </c>
      <c r="C1266" s="5">
        <v>4</v>
      </c>
      <c r="D1266" s="1" t="s">
        <v>48</v>
      </c>
      <c r="E1266" s="44" t="s">
        <v>563</v>
      </c>
      <c r="F1266" s="5" t="s">
        <v>26</v>
      </c>
      <c r="G1266" s="5">
        <v>15</v>
      </c>
      <c r="H1266" s="5">
        <v>25</v>
      </c>
      <c r="I1266" s="80" t="b">
        <v>0</v>
      </c>
      <c r="J1266" s="57" t="s">
        <v>15</v>
      </c>
      <c r="K1266" s="81" t="s">
        <v>32</v>
      </c>
      <c r="L1266" s="1"/>
      <c r="M1266" s="1"/>
      <c r="N1266" s="1"/>
      <c r="O1266" s="1"/>
      <c r="P1266" s="1"/>
      <c r="Q1266" s="81" t="str">
        <f t="shared" si="12"/>
        <v>HiGrad-HiElev</v>
      </c>
      <c r="R1266" s="81" t="str">
        <f t="shared" si="13"/>
        <v>HiGrad-HiElev</v>
      </c>
    </row>
    <row r="1267" spans="1:18" x14ac:dyDescent="0.25">
      <c r="A1267" s="79" t="s">
        <v>1070</v>
      </c>
      <c r="B1267" s="1" t="s">
        <v>487</v>
      </c>
      <c r="C1267" s="5">
        <v>4</v>
      </c>
      <c r="D1267" s="1" t="s">
        <v>478</v>
      </c>
      <c r="E1267" s="44" t="s">
        <v>524</v>
      </c>
      <c r="F1267" s="5" t="s">
        <v>24</v>
      </c>
      <c r="G1267" s="5">
        <v>10</v>
      </c>
      <c r="H1267" s="5">
        <v>20</v>
      </c>
      <c r="I1267" s="80" t="b">
        <v>1</v>
      </c>
      <c r="J1267" s="57" t="s">
        <v>479</v>
      </c>
      <c r="K1267" s="81" t="s">
        <v>32</v>
      </c>
      <c r="L1267" s="1"/>
      <c r="M1267" s="1"/>
      <c r="N1267" s="1"/>
      <c r="O1267" s="1"/>
      <c r="P1267" s="1"/>
      <c r="Q1267" s="81" t="str">
        <f t="shared" si="12"/>
        <v>HiGrad-HiElev</v>
      </c>
      <c r="R1267" s="81" t="str">
        <f t="shared" si="13"/>
        <v>HiGrad-HiElev</v>
      </c>
    </row>
    <row r="1268" spans="1:18" x14ac:dyDescent="0.25">
      <c r="A1268" s="79" t="s">
        <v>1070</v>
      </c>
      <c r="B1268" s="1" t="s">
        <v>487</v>
      </c>
      <c r="C1268" s="5">
        <v>5</v>
      </c>
      <c r="D1268" s="1" t="s">
        <v>11</v>
      </c>
      <c r="E1268" s="59" t="s">
        <v>524</v>
      </c>
      <c r="F1268" s="5" t="s">
        <v>24</v>
      </c>
      <c r="G1268" s="5">
        <v>10</v>
      </c>
      <c r="H1268" s="5">
        <v>20</v>
      </c>
      <c r="I1268" s="80" t="b">
        <v>1</v>
      </c>
      <c r="J1268" s="57" t="s">
        <v>0</v>
      </c>
      <c r="K1268" s="81" t="s">
        <v>32</v>
      </c>
      <c r="L1268" s="1"/>
      <c r="M1268" s="1"/>
      <c r="N1268" s="1"/>
      <c r="O1268" s="1"/>
      <c r="P1268" s="1"/>
      <c r="Q1268" s="81" t="str">
        <f t="shared" si="12"/>
        <v>HiGrad-HiElev</v>
      </c>
      <c r="R1268" s="81" t="str">
        <f t="shared" si="13"/>
        <v>HiGrad-HiElev</v>
      </c>
    </row>
    <row r="1269" spans="1:18" x14ac:dyDescent="0.25">
      <c r="A1269" s="79" t="s">
        <v>1070</v>
      </c>
      <c r="B1269" s="1" t="s">
        <v>487</v>
      </c>
      <c r="C1269" s="5">
        <v>5</v>
      </c>
      <c r="D1269" s="1" t="s">
        <v>13</v>
      </c>
      <c r="E1269" s="59" t="s">
        <v>536</v>
      </c>
      <c r="F1269" s="5" t="s">
        <v>24</v>
      </c>
      <c r="G1269" s="5">
        <v>1</v>
      </c>
      <c r="H1269" s="5">
        <v>5</v>
      </c>
      <c r="I1269" s="80" t="b">
        <v>1</v>
      </c>
      <c r="J1269" s="57" t="s">
        <v>10</v>
      </c>
      <c r="K1269" s="81" t="s">
        <v>32</v>
      </c>
      <c r="L1269" s="1"/>
      <c r="M1269" s="1"/>
      <c r="N1269" s="1"/>
      <c r="O1269" s="1"/>
      <c r="P1269" s="1"/>
      <c r="Q1269" s="81" t="str">
        <f t="shared" si="12"/>
        <v>HiGrad-HiElev</v>
      </c>
      <c r="R1269" s="81" t="str">
        <f t="shared" si="13"/>
        <v>HiGrad-HiElev</v>
      </c>
    </row>
    <row r="1270" spans="1:18" x14ac:dyDescent="0.25">
      <c r="A1270" s="79" t="s">
        <v>1070</v>
      </c>
      <c r="B1270" s="1" t="s">
        <v>487</v>
      </c>
      <c r="C1270" s="5">
        <v>5</v>
      </c>
      <c r="D1270" s="1" t="s">
        <v>48</v>
      </c>
      <c r="E1270" s="44" t="s">
        <v>564</v>
      </c>
      <c r="F1270" s="5" t="s">
        <v>26</v>
      </c>
      <c r="G1270" s="5">
        <v>20</v>
      </c>
      <c r="H1270" s="5">
        <v>30</v>
      </c>
      <c r="I1270" s="80" t="b">
        <v>0</v>
      </c>
      <c r="J1270" s="1" t="s">
        <v>15</v>
      </c>
      <c r="K1270" s="81" t="s">
        <v>32</v>
      </c>
      <c r="L1270" s="1"/>
      <c r="M1270" s="1"/>
      <c r="N1270" s="1"/>
      <c r="O1270" s="1"/>
      <c r="P1270" s="1"/>
      <c r="Q1270" s="81" t="str">
        <f t="shared" si="12"/>
        <v>HiGrad-HiElev</v>
      </c>
      <c r="R1270" s="81" t="str">
        <f t="shared" si="13"/>
        <v>HiGrad-HiElev</v>
      </c>
    </row>
    <row r="1271" spans="1:18" x14ac:dyDescent="0.25">
      <c r="A1271" s="79" t="s">
        <v>1070</v>
      </c>
      <c r="B1271" s="1" t="s">
        <v>487</v>
      </c>
      <c r="C1271" s="5">
        <v>5</v>
      </c>
      <c r="D1271" s="1" t="s">
        <v>478</v>
      </c>
      <c r="E1271" s="59" t="s">
        <v>544</v>
      </c>
      <c r="F1271" s="5" t="s">
        <v>24</v>
      </c>
      <c r="G1271" s="5">
        <v>3</v>
      </c>
      <c r="H1271" s="5">
        <v>7</v>
      </c>
      <c r="I1271" s="80" t="b">
        <v>1</v>
      </c>
      <c r="J1271" s="57" t="s">
        <v>479</v>
      </c>
      <c r="K1271" s="81" t="s">
        <v>32</v>
      </c>
      <c r="L1271" s="1"/>
      <c r="M1271" s="1"/>
      <c r="N1271" s="1"/>
      <c r="O1271" s="1"/>
      <c r="P1271" s="1"/>
      <c r="Q1271" s="81" t="str">
        <f t="shared" si="12"/>
        <v>HiGrad-HiElev</v>
      </c>
      <c r="R1271" s="81" t="str">
        <f t="shared" si="13"/>
        <v>HiGrad-HiElev</v>
      </c>
    </row>
    <row r="1272" spans="1:18" x14ac:dyDescent="0.25">
      <c r="A1272" s="79" t="s">
        <v>1070</v>
      </c>
      <c r="B1272" s="1" t="s">
        <v>488</v>
      </c>
      <c r="C1272" s="5">
        <v>2</v>
      </c>
      <c r="D1272" s="1" t="s">
        <v>11</v>
      </c>
      <c r="E1272" s="44" t="s">
        <v>535</v>
      </c>
      <c r="F1272" s="5" t="s">
        <v>24</v>
      </c>
      <c r="G1272" s="5">
        <v>45</v>
      </c>
      <c r="H1272" s="5">
        <v>55</v>
      </c>
      <c r="I1272" s="80" t="b">
        <v>1</v>
      </c>
      <c r="J1272" s="1" t="s">
        <v>0</v>
      </c>
      <c r="K1272" s="81" t="s">
        <v>32</v>
      </c>
      <c r="L1272" s="1"/>
      <c r="M1272" s="1"/>
      <c r="N1272" s="1"/>
      <c r="O1272" s="1"/>
      <c r="P1272" s="1"/>
      <c r="Q1272" s="81" t="str">
        <f t="shared" si="12"/>
        <v>LoGrad-LoElev</v>
      </c>
      <c r="R1272" s="81" t="str">
        <f t="shared" si="13"/>
        <v>LoGrad-LoElev</v>
      </c>
    </row>
    <row r="1273" spans="1:18" x14ac:dyDescent="0.25">
      <c r="A1273" s="79" t="s">
        <v>1070</v>
      </c>
      <c r="B1273" s="1" t="s">
        <v>488</v>
      </c>
      <c r="C1273" s="5">
        <v>2</v>
      </c>
      <c r="D1273" s="1" t="s">
        <v>33</v>
      </c>
      <c r="E1273" s="44" t="s">
        <v>536</v>
      </c>
      <c r="F1273" s="5" t="s">
        <v>24</v>
      </c>
      <c r="G1273" s="5">
        <v>1</v>
      </c>
      <c r="H1273" s="5">
        <v>5</v>
      </c>
      <c r="I1273" s="80" t="b">
        <v>1</v>
      </c>
      <c r="J1273" s="1" t="s">
        <v>1</v>
      </c>
      <c r="K1273" s="81" t="s">
        <v>32</v>
      </c>
      <c r="L1273" s="1"/>
      <c r="M1273" s="1"/>
      <c r="N1273" s="1"/>
      <c r="O1273" s="1"/>
      <c r="P1273" s="1"/>
      <c r="Q1273" s="81" t="str">
        <f t="shared" si="12"/>
        <v>LoGrad-LoElev</v>
      </c>
      <c r="R1273" s="81" t="str">
        <f t="shared" si="13"/>
        <v>LoGrad-LoElev</v>
      </c>
    </row>
    <row r="1274" spans="1:18" x14ac:dyDescent="0.25">
      <c r="A1274" s="79" t="s">
        <v>1070</v>
      </c>
      <c r="B1274" s="1" t="s">
        <v>488</v>
      </c>
      <c r="C1274" s="5">
        <v>2</v>
      </c>
      <c r="D1274" s="1" t="s">
        <v>390</v>
      </c>
      <c r="E1274" s="44" t="s">
        <v>537</v>
      </c>
      <c r="F1274" s="5" t="s">
        <v>24</v>
      </c>
      <c r="G1274" s="5">
        <v>1</v>
      </c>
      <c r="H1274" s="5">
        <v>3</v>
      </c>
      <c r="I1274" s="80" t="b">
        <v>1</v>
      </c>
      <c r="J1274" s="1" t="s">
        <v>475</v>
      </c>
      <c r="K1274" s="81" t="s">
        <v>32</v>
      </c>
      <c r="L1274" s="1"/>
      <c r="M1274" s="1"/>
      <c r="N1274" s="1"/>
      <c r="O1274" s="1"/>
      <c r="P1274" s="1"/>
      <c r="Q1274" s="81" t="str">
        <f t="shared" si="12"/>
        <v>LoGrad-LoElev</v>
      </c>
      <c r="R1274" s="81" t="str">
        <f t="shared" si="13"/>
        <v>LoGrad-LoElev</v>
      </c>
    </row>
    <row r="1275" spans="1:18" x14ac:dyDescent="0.25">
      <c r="A1275" s="79" t="s">
        <v>1070</v>
      </c>
      <c r="B1275" s="1" t="s">
        <v>488</v>
      </c>
      <c r="C1275" s="5">
        <v>2</v>
      </c>
      <c r="D1275" s="1" t="s">
        <v>29</v>
      </c>
      <c r="E1275" s="44" t="s">
        <v>548</v>
      </c>
      <c r="F1275" s="5" t="s">
        <v>24</v>
      </c>
      <c r="G1275" s="5">
        <v>13</v>
      </c>
      <c r="H1275" s="5">
        <v>23</v>
      </c>
      <c r="I1275" s="80" t="b">
        <v>1</v>
      </c>
      <c r="J1275" s="1" t="s">
        <v>6</v>
      </c>
      <c r="K1275" s="81" t="s">
        <v>32</v>
      </c>
      <c r="L1275" s="1"/>
      <c r="M1275" s="1"/>
      <c r="N1275" s="1"/>
      <c r="O1275" s="1"/>
      <c r="P1275" s="1"/>
      <c r="Q1275" s="81" t="str">
        <f t="shared" si="12"/>
        <v>LoGrad-LoElev</v>
      </c>
      <c r="R1275" s="81" t="str">
        <f t="shared" si="13"/>
        <v>LoGrad-LoElev</v>
      </c>
    </row>
    <row r="1276" spans="1:18" x14ac:dyDescent="0.25">
      <c r="A1276" s="79" t="s">
        <v>1070</v>
      </c>
      <c r="B1276" s="1" t="s">
        <v>488</v>
      </c>
      <c r="C1276" s="5">
        <v>2</v>
      </c>
      <c r="D1276" s="1" t="s">
        <v>34</v>
      </c>
      <c r="E1276" s="44" t="s">
        <v>538</v>
      </c>
      <c r="F1276" s="5" t="s">
        <v>24</v>
      </c>
      <c r="G1276" s="5">
        <v>40</v>
      </c>
      <c r="H1276" s="5">
        <v>50</v>
      </c>
      <c r="I1276" s="80" t="b">
        <v>1</v>
      </c>
      <c r="J1276" s="1" t="s">
        <v>2</v>
      </c>
      <c r="K1276" s="81" t="s">
        <v>32</v>
      </c>
      <c r="L1276" s="1"/>
      <c r="M1276" s="1"/>
      <c r="N1276" s="1"/>
      <c r="O1276" s="1"/>
      <c r="P1276" s="1"/>
      <c r="Q1276" s="81" t="str">
        <f t="shared" si="12"/>
        <v>LoGrad-LoElev</v>
      </c>
      <c r="R1276" s="81" t="str">
        <f t="shared" si="13"/>
        <v>LoGrad-LoElev</v>
      </c>
    </row>
    <row r="1277" spans="1:18" x14ac:dyDescent="0.25">
      <c r="A1277" s="79" t="s">
        <v>1070</v>
      </c>
      <c r="B1277" s="1" t="s">
        <v>488</v>
      </c>
      <c r="C1277" s="5">
        <v>2</v>
      </c>
      <c r="D1277" s="1" t="s">
        <v>35</v>
      </c>
      <c r="E1277" s="44" t="s">
        <v>539</v>
      </c>
      <c r="F1277" s="5" t="s">
        <v>24</v>
      </c>
      <c r="G1277" s="5">
        <v>25</v>
      </c>
      <c r="H1277" s="5">
        <v>35</v>
      </c>
      <c r="I1277" s="80" t="b">
        <v>1</v>
      </c>
      <c r="J1277" s="1" t="s">
        <v>3</v>
      </c>
      <c r="K1277" s="81" t="s">
        <v>32</v>
      </c>
      <c r="L1277" s="1"/>
      <c r="M1277" s="1"/>
      <c r="N1277" s="1"/>
      <c r="O1277" s="1"/>
      <c r="P1277" s="1"/>
      <c r="Q1277" s="81" t="str">
        <f t="shared" si="12"/>
        <v>LoGrad-LoElev</v>
      </c>
      <c r="R1277" s="81" t="str">
        <f t="shared" si="13"/>
        <v>LoGrad-LoElev</v>
      </c>
    </row>
    <row r="1278" spans="1:18" x14ac:dyDescent="0.25">
      <c r="A1278" s="79" t="s">
        <v>1070</v>
      </c>
      <c r="B1278" s="1" t="s">
        <v>488</v>
      </c>
      <c r="C1278" s="5">
        <v>2</v>
      </c>
      <c r="D1278" s="1" t="s">
        <v>48</v>
      </c>
      <c r="E1278" s="44" t="s">
        <v>560</v>
      </c>
      <c r="F1278" s="5" t="s">
        <v>26</v>
      </c>
      <c r="G1278" s="5">
        <v>10</v>
      </c>
      <c r="H1278" s="5">
        <v>20</v>
      </c>
      <c r="I1278" s="80" t="b">
        <v>0</v>
      </c>
      <c r="J1278" s="1" t="s">
        <v>15</v>
      </c>
      <c r="K1278" s="81" t="s">
        <v>32</v>
      </c>
      <c r="L1278" s="1"/>
      <c r="M1278" s="1"/>
      <c r="N1278" s="1"/>
      <c r="O1278" s="1"/>
      <c r="P1278" s="1"/>
      <c r="Q1278" s="81" t="str">
        <f t="shared" ref="Q1278:Q1303" si="14">B1278</f>
        <v>LoGrad-LoElev</v>
      </c>
      <c r="R1278" s="81" t="str">
        <f t="shared" ref="R1278:R1303" si="15">B1278</f>
        <v>LoGrad-LoElev</v>
      </c>
    </row>
    <row r="1279" spans="1:18" x14ac:dyDescent="0.25">
      <c r="A1279" s="79" t="s">
        <v>1070</v>
      </c>
      <c r="B1279" s="1" t="s">
        <v>488</v>
      </c>
      <c r="C1279" s="5">
        <v>2</v>
      </c>
      <c r="D1279" s="44" t="s">
        <v>37</v>
      </c>
      <c r="E1279" s="44" t="s">
        <v>489</v>
      </c>
      <c r="F1279" s="82" t="s">
        <v>27</v>
      </c>
      <c r="G1279" s="5">
        <v>0</v>
      </c>
      <c r="H1279" s="5">
        <v>1</v>
      </c>
      <c r="I1279" s="80" t="b">
        <v>0</v>
      </c>
      <c r="J1279" s="1" t="s">
        <v>5</v>
      </c>
      <c r="K1279" s="81" t="s">
        <v>32</v>
      </c>
      <c r="L1279" s="1"/>
      <c r="M1279" s="1"/>
      <c r="N1279" s="1"/>
      <c r="O1279" s="1"/>
      <c r="P1279" s="1"/>
      <c r="Q1279" s="81" t="str">
        <f t="shared" si="14"/>
        <v>LoGrad-LoElev</v>
      </c>
      <c r="R1279" s="81" t="str">
        <f t="shared" si="15"/>
        <v>LoGrad-LoElev</v>
      </c>
    </row>
    <row r="1280" spans="1:18" x14ac:dyDescent="0.25">
      <c r="A1280" s="79" t="s">
        <v>1070</v>
      </c>
      <c r="B1280" s="1" t="s">
        <v>488</v>
      </c>
      <c r="C1280" s="6">
        <v>2</v>
      </c>
      <c r="D1280" s="7" t="s">
        <v>478</v>
      </c>
      <c r="E1280" s="55" t="s">
        <v>521</v>
      </c>
      <c r="F1280" s="6" t="s">
        <v>24</v>
      </c>
      <c r="G1280" s="6">
        <v>25</v>
      </c>
      <c r="H1280" s="6">
        <v>35</v>
      </c>
      <c r="I1280" s="80" t="b">
        <v>1</v>
      </c>
      <c r="J1280" s="7" t="s">
        <v>479</v>
      </c>
      <c r="K1280" s="81" t="s">
        <v>32</v>
      </c>
      <c r="L1280" s="7" t="s">
        <v>485</v>
      </c>
      <c r="M1280" s="1" t="s">
        <v>482</v>
      </c>
      <c r="N1280" s="1"/>
      <c r="O1280" s="1"/>
      <c r="P1280" s="1"/>
      <c r="Q1280" s="81" t="str">
        <f t="shared" si="14"/>
        <v>LoGrad-LoElev</v>
      </c>
      <c r="R1280" s="81" t="str">
        <f t="shared" si="15"/>
        <v>LoGrad-LoElev</v>
      </c>
    </row>
    <row r="1281" spans="1:18" x14ac:dyDescent="0.25">
      <c r="A1281" s="79" t="s">
        <v>1070</v>
      </c>
      <c r="B1281" s="1" t="s">
        <v>488</v>
      </c>
      <c r="C1281" s="6">
        <v>2</v>
      </c>
      <c r="D1281" s="7" t="s">
        <v>342</v>
      </c>
      <c r="E1281" s="55" t="s">
        <v>540</v>
      </c>
      <c r="F1281" s="6" t="s">
        <v>24</v>
      </c>
      <c r="G1281" s="6">
        <v>4.3</v>
      </c>
      <c r="H1281" s="6">
        <v>4.7</v>
      </c>
      <c r="I1281" s="80" t="b">
        <v>1</v>
      </c>
      <c r="J1281" s="7" t="s">
        <v>480</v>
      </c>
      <c r="K1281" s="81" t="s">
        <v>32</v>
      </c>
      <c r="L1281" s="7" t="s">
        <v>485</v>
      </c>
      <c r="M1281" s="1" t="s">
        <v>482</v>
      </c>
      <c r="N1281" s="1"/>
      <c r="O1281" s="1"/>
      <c r="P1281" s="1"/>
      <c r="Q1281" s="81" t="str">
        <f t="shared" si="14"/>
        <v>LoGrad-LoElev</v>
      </c>
      <c r="R1281" s="81" t="str">
        <f t="shared" si="15"/>
        <v>LoGrad-LoElev</v>
      </c>
    </row>
    <row r="1282" spans="1:18" x14ac:dyDescent="0.25">
      <c r="A1282" s="79" t="s">
        <v>1070</v>
      </c>
      <c r="B1282" s="1" t="s">
        <v>488</v>
      </c>
      <c r="C1282" s="6">
        <v>2</v>
      </c>
      <c r="D1282" s="7" t="s">
        <v>295</v>
      </c>
      <c r="E1282" s="55" t="s">
        <v>524</v>
      </c>
      <c r="F1282" s="6" t="s">
        <v>24</v>
      </c>
      <c r="G1282" s="6">
        <v>10</v>
      </c>
      <c r="H1282" s="6">
        <v>20</v>
      </c>
      <c r="I1282" s="80" t="b">
        <v>1</v>
      </c>
      <c r="J1282" s="7" t="s">
        <v>481</v>
      </c>
      <c r="K1282" s="81" t="s">
        <v>32</v>
      </c>
      <c r="L1282" s="7" t="s">
        <v>485</v>
      </c>
      <c r="M1282" s="1" t="s">
        <v>482</v>
      </c>
      <c r="N1282" s="1"/>
      <c r="O1282" s="1"/>
      <c r="P1282" s="1"/>
      <c r="Q1282" s="81" t="str">
        <f t="shared" si="14"/>
        <v>LoGrad-LoElev</v>
      </c>
      <c r="R1282" s="81" t="str">
        <f t="shared" si="15"/>
        <v>LoGrad-LoElev</v>
      </c>
    </row>
    <row r="1283" spans="1:18" x14ac:dyDescent="0.25">
      <c r="A1283" s="79" t="s">
        <v>1070</v>
      </c>
      <c r="B1283" s="1" t="s">
        <v>488</v>
      </c>
      <c r="C1283" s="5">
        <v>3</v>
      </c>
      <c r="D1283" s="1" t="s">
        <v>11</v>
      </c>
      <c r="E1283" s="44" t="s">
        <v>541</v>
      </c>
      <c r="F1283" s="5" t="s">
        <v>24</v>
      </c>
      <c r="G1283" s="5">
        <v>35</v>
      </c>
      <c r="H1283" s="5">
        <v>45</v>
      </c>
      <c r="I1283" s="80" t="b">
        <v>1</v>
      </c>
      <c r="J1283" s="1" t="s">
        <v>0</v>
      </c>
      <c r="K1283" s="81" t="s">
        <v>32</v>
      </c>
      <c r="L1283" s="1"/>
      <c r="M1283" s="1"/>
      <c r="N1283" s="1"/>
      <c r="O1283" s="1"/>
      <c r="P1283" s="1"/>
      <c r="Q1283" s="81" t="str">
        <f t="shared" si="14"/>
        <v>LoGrad-LoElev</v>
      </c>
      <c r="R1283" s="81" t="str">
        <f t="shared" si="15"/>
        <v>LoGrad-LoElev</v>
      </c>
    </row>
    <row r="1284" spans="1:18" x14ac:dyDescent="0.25">
      <c r="A1284" s="79" t="s">
        <v>1070</v>
      </c>
      <c r="B1284" s="1" t="s">
        <v>488</v>
      </c>
      <c r="C1284" s="5">
        <v>3</v>
      </c>
      <c r="D1284" s="1" t="s">
        <v>13</v>
      </c>
      <c r="E1284" s="56" t="s">
        <v>524</v>
      </c>
      <c r="F1284" s="5" t="s">
        <v>24</v>
      </c>
      <c r="G1284" s="5">
        <v>10</v>
      </c>
      <c r="H1284" s="5">
        <v>20</v>
      </c>
      <c r="I1284" s="80" t="b">
        <v>1</v>
      </c>
      <c r="J1284" s="57" t="s">
        <v>10</v>
      </c>
      <c r="K1284" s="81" t="s">
        <v>32</v>
      </c>
      <c r="L1284" s="1"/>
      <c r="M1284" s="1"/>
      <c r="N1284" s="1"/>
      <c r="O1284" s="1"/>
      <c r="P1284" s="1"/>
      <c r="Q1284" s="81" t="str">
        <f t="shared" si="14"/>
        <v>LoGrad-LoElev</v>
      </c>
      <c r="R1284" s="81" t="str">
        <f t="shared" si="15"/>
        <v>LoGrad-LoElev</v>
      </c>
    </row>
    <row r="1285" spans="1:18" x14ac:dyDescent="0.25">
      <c r="A1285" s="79" t="s">
        <v>1070</v>
      </c>
      <c r="B1285" s="1" t="s">
        <v>488</v>
      </c>
      <c r="C1285" s="5">
        <v>3</v>
      </c>
      <c r="D1285" s="1" t="s">
        <v>34</v>
      </c>
      <c r="E1285" s="44" t="s">
        <v>523</v>
      </c>
      <c r="F1285" s="5" t="s">
        <v>24</v>
      </c>
      <c r="G1285" s="5">
        <v>15</v>
      </c>
      <c r="H1285" s="5">
        <v>25</v>
      </c>
      <c r="I1285" s="80" t="b">
        <v>1</v>
      </c>
      <c r="J1285" s="1" t="s">
        <v>2</v>
      </c>
      <c r="K1285" s="81" t="s">
        <v>32</v>
      </c>
      <c r="L1285" s="1"/>
      <c r="M1285" s="1"/>
      <c r="N1285" s="1"/>
      <c r="O1285" s="1"/>
      <c r="P1285" s="1"/>
      <c r="Q1285" s="81" t="str">
        <f t="shared" si="14"/>
        <v>LoGrad-LoElev</v>
      </c>
      <c r="R1285" s="81" t="str">
        <f t="shared" si="15"/>
        <v>LoGrad-LoElev</v>
      </c>
    </row>
    <row r="1286" spans="1:18" x14ac:dyDescent="0.25">
      <c r="A1286" s="79" t="s">
        <v>1070</v>
      </c>
      <c r="B1286" s="1" t="s">
        <v>488</v>
      </c>
      <c r="C1286" s="5">
        <v>3</v>
      </c>
      <c r="D1286" s="1" t="s">
        <v>35</v>
      </c>
      <c r="E1286" s="44" t="s">
        <v>526</v>
      </c>
      <c r="F1286" s="5" t="s">
        <v>24</v>
      </c>
      <c r="G1286" s="5">
        <v>5</v>
      </c>
      <c r="H1286" s="5">
        <v>15</v>
      </c>
      <c r="I1286" s="80" t="b">
        <v>1</v>
      </c>
      <c r="J1286" s="1" t="s">
        <v>3</v>
      </c>
      <c r="K1286" s="81" t="s">
        <v>32</v>
      </c>
      <c r="L1286" s="1"/>
      <c r="M1286" s="1"/>
      <c r="N1286" s="1"/>
      <c r="O1286" s="1"/>
      <c r="P1286" s="1"/>
      <c r="Q1286" s="81" t="str">
        <f t="shared" si="14"/>
        <v>LoGrad-LoElev</v>
      </c>
      <c r="R1286" s="81" t="str">
        <f t="shared" si="15"/>
        <v>LoGrad-LoElev</v>
      </c>
    </row>
    <row r="1287" spans="1:18" x14ac:dyDescent="0.25">
      <c r="A1287" s="79" t="s">
        <v>1070</v>
      </c>
      <c r="B1287" s="1" t="s">
        <v>488</v>
      </c>
      <c r="C1287" s="5">
        <v>3</v>
      </c>
      <c r="D1287" s="1" t="s">
        <v>48</v>
      </c>
      <c r="E1287" s="44" t="s">
        <v>563</v>
      </c>
      <c r="F1287" s="5" t="s">
        <v>26</v>
      </c>
      <c r="G1287" s="5">
        <v>15</v>
      </c>
      <c r="H1287" s="5">
        <v>25</v>
      </c>
      <c r="I1287" s="80" t="b">
        <v>0</v>
      </c>
      <c r="J1287" s="57" t="s">
        <v>15</v>
      </c>
      <c r="K1287" s="81" t="s">
        <v>32</v>
      </c>
      <c r="L1287" s="1"/>
      <c r="M1287" s="1"/>
      <c r="N1287" s="1"/>
      <c r="O1287" s="1"/>
      <c r="P1287" s="1"/>
      <c r="Q1287" s="81" t="str">
        <f t="shared" si="14"/>
        <v>LoGrad-LoElev</v>
      </c>
      <c r="R1287" s="81" t="str">
        <f t="shared" si="15"/>
        <v>LoGrad-LoElev</v>
      </c>
    </row>
    <row r="1288" spans="1:18" x14ac:dyDescent="0.25">
      <c r="A1288" s="79" t="s">
        <v>1070</v>
      </c>
      <c r="B1288" s="1" t="s">
        <v>488</v>
      </c>
      <c r="C1288" s="62">
        <v>3</v>
      </c>
      <c r="D1288" s="63" t="s">
        <v>478</v>
      </c>
      <c r="E1288" s="64" t="s">
        <v>548</v>
      </c>
      <c r="F1288" s="62" t="s">
        <v>24</v>
      </c>
      <c r="G1288" s="62">
        <v>13</v>
      </c>
      <c r="H1288" s="62">
        <v>23</v>
      </c>
      <c r="I1288" s="80" t="b">
        <v>1</v>
      </c>
      <c r="J1288" s="63" t="s">
        <v>479</v>
      </c>
      <c r="K1288" s="81" t="s">
        <v>32</v>
      </c>
      <c r="L1288" s="63"/>
      <c r="M1288" s="1" t="s">
        <v>490</v>
      </c>
      <c r="N1288" s="1"/>
      <c r="O1288" s="1"/>
      <c r="P1288" s="1"/>
      <c r="Q1288" s="81" t="str">
        <f t="shared" si="14"/>
        <v>LoGrad-LoElev</v>
      </c>
      <c r="R1288" s="81" t="str">
        <f t="shared" si="15"/>
        <v>LoGrad-LoElev</v>
      </c>
    </row>
    <row r="1289" spans="1:18" x14ac:dyDescent="0.25">
      <c r="A1289" s="79" t="s">
        <v>1070</v>
      </c>
      <c r="B1289" s="1" t="s">
        <v>488</v>
      </c>
      <c r="C1289" s="6">
        <v>3</v>
      </c>
      <c r="D1289" s="7" t="s">
        <v>29</v>
      </c>
      <c r="E1289" s="58" t="s">
        <v>542</v>
      </c>
      <c r="F1289" s="6" t="s">
        <v>24</v>
      </c>
      <c r="G1289" s="6">
        <v>5</v>
      </c>
      <c r="H1289" s="6">
        <v>15</v>
      </c>
      <c r="I1289" s="80" t="b">
        <v>1</v>
      </c>
      <c r="J1289" s="7" t="s">
        <v>6</v>
      </c>
      <c r="K1289" s="81" t="s">
        <v>32</v>
      </c>
      <c r="L1289" s="7" t="s">
        <v>485</v>
      </c>
      <c r="M1289" s="1" t="s">
        <v>482</v>
      </c>
      <c r="N1289" s="1"/>
      <c r="O1289" s="1"/>
      <c r="P1289" s="1"/>
      <c r="Q1289" s="81" t="str">
        <f t="shared" si="14"/>
        <v>LoGrad-LoElev</v>
      </c>
      <c r="R1289" s="81" t="str">
        <f t="shared" si="15"/>
        <v>LoGrad-LoElev</v>
      </c>
    </row>
    <row r="1290" spans="1:18" x14ac:dyDescent="0.25">
      <c r="A1290" s="79" t="s">
        <v>1070</v>
      </c>
      <c r="B1290" s="1" t="s">
        <v>488</v>
      </c>
      <c r="C1290" s="6">
        <v>3</v>
      </c>
      <c r="D1290" s="7" t="s">
        <v>342</v>
      </c>
      <c r="E1290" s="55" t="s">
        <v>543</v>
      </c>
      <c r="F1290" s="6" t="s">
        <v>24</v>
      </c>
      <c r="G1290" s="6">
        <v>3.8</v>
      </c>
      <c r="H1290" s="6">
        <v>4.2</v>
      </c>
      <c r="I1290" s="80" t="b">
        <v>1</v>
      </c>
      <c r="J1290" s="7" t="s">
        <v>480</v>
      </c>
      <c r="K1290" s="81" t="s">
        <v>32</v>
      </c>
      <c r="L1290" s="7" t="s">
        <v>485</v>
      </c>
      <c r="M1290" s="1" t="s">
        <v>482</v>
      </c>
      <c r="N1290" s="1"/>
      <c r="O1290" s="1"/>
      <c r="P1290" s="1"/>
      <c r="Q1290" s="81" t="str">
        <f t="shared" si="14"/>
        <v>LoGrad-LoElev</v>
      </c>
      <c r="R1290" s="81" t="str">
        <f t="shared" si="15"/>
        <v>LoGrad-LoElev</v>
      </c>
    </row>
    <row r="1291" spans="1:18" x14ac:dyDescent="0.25">
      <c r="A1291" s="79" t="s">
        <v>1070</v>
      </c>
      <c r="B1291" s="1" t="s">
        <v>488</v>
      </c>
      <c r="C1291" s="6">
        <v>3</v>
      </c>
      <c r="D1291" s="7" t="s">
        <v>37</v>
      </c>
      <c r="E1291" s="55" t="s">
        <v>559</v>
      </c>
      <c r="F1291" s="6" t="s">
        <v>26</v>
      </c>
      <c r="G1291" s="6">
        <v>3</v>
      </c>
      <c r="H1291" s="6">
        <v>7</v>
      </c>
      <c r="I1291" s="80" t="b">
        <v>0</v>
      </c>
      <c r="J1291" s="7" t="s">
        <v>5</v>
      </c>
      <c r="K1291" s="81" t="s">
        <v>32</v>
      </c>
      <c r="L1291" s="7" t="s">
        <v>485</v>
      </c>
      <c r="M1291" s="1" t="s">
        <v>482</v>
      </c>
      <c r="N1291" s="1"/>
      <c r="O1291" s="1"/>
      <c r="P1291" s="1"/>
      <c r="Q1291" s="81" t="str">
        <f t="shared" si="14"/>
        <v>LoGrad-LoElev</v>
      </c>
      <c r="R1291" s="81" t="str">
        <f t="shared" si="15"/>
        <v>LoGrad-LoElev</v>
      </c>
    </row>
    <row r="1292" spans="1:18" x14ac:dyDescent="0.25">
      <c r="A1292" s="79" t="s">
        <v>1070</v>
      </c>
      <c r="B1292" s="1" t="s">
        <v>488</v>
      </c>
      <c r="C1292" s="5">
        <v>4</v>
      </c>
      <c r="D1292" s="1" t="s">
        <v>11</v>
      </c>
      <c r="E1292" s="44" t="s">
        <v>521</v>
      </c>
      <c r="F1292" s="5" t="s">
        <v>24</v>
      </c>
      <c r="G1292" s="5">
        <v>25</v>
      </c>
      <c r="H1292" s="5">
        <v>35</v>
      </c>
      <c r="I1292" s="80" t="b">
        <v>1</v>
      </c>
      <c r="J1292" s="1" t="s">
        <v>0</v>
      </c>
      <c r="K1292" s="81" t="s">
        <v>32</v>
      </c>
      <c r="L1292" s="1"/>
      <c r="M1292" s="1"/>
      <c r="N1292" s="1"/>
      <c r="O1292" s="1"/>
      <c r="P1292" s="1"/>
      <c r="Q1292" s="81" t="str">
        <f t="shared" si="14"/>
        <v>LoGrad-LoElev</v>
      </c>
      <c r="R1292" s="81" t="str">
        <f t="shared" si="15"/>
        <v>LoGrad-LoElev</v>
      </c>
    </row>
    <row r="1293" spans="1:18" x14ac:dyDescent="0.25">
      <c r="A1293" s="79" t="s">
        <v>1070</v>
      </c>
      <c r="B1293" s="7" t="s">
        <v>488</v>
      </c>
      <c r="C1293" s="6">
        <v>4</v>
      </c>
      <c r="D1293" s="7" t="s">
        <v>13</v>
      </c>
      <c r="E1293" s="58" t="s">
        <v>528</v>
      </c>
      <c r="F1293" s="6" t="s">
        <v>24</v>
      </c>
      <c r="G1293" s="6">
        <v>6</v>
      </c>
      <c r="H1293" s="6">
        <v>12</v>
      </c>
      <c r="I1293" s="80" t="b">
        <v>1</v>
      </c>
      <c r="J1293" s="8" t="s">
        <v>10</v>
      </c>
      <c r="K1293" s="81" t="s">
        <v>32</v>
      </c>
      <c r="L1293" s="7" t="s">
        <v>485</v>
      </c>
      <c r="M1293" s="1" t="s">
        <v>482</v>
      </c>
      <c r="N1293" s="1"/>
      <c r="O1293" s="1"/>
      <c r="P1293" s="1"/>
      <c r="Q1293" s="81" t="str">
        <f t="shared" si="14"/>
        <v>LoGrad-LoElev</v>
      </c>
      <c r="R1293" s="81" t="str">
        <f t="shared" si="15"/>
        <v>LoGrad-LoElev</v>
      </c>
    </row>
    <row r="1294" spans="1:18" x14ac:dyDescent="0.25">
      <c r="A1294" s="79" t="s">
        <v>1070</v>
      </c>
      <c r="B1294" s="1" t="s">
        <v>488</v>
      </c>
      <c r="C1294" s="5">
        <v>4</v>
      </c>
      <c r="D1294" s="1" t="s">
        <v>34</v>
      </c>
      <c r="E1294" s="44" t="s">
        <v>526</v>
      </c>
      <c r="F1294" s="5" t="s">
        <v>24</v>
      </c>
      <c r="G1294" s="5">
        <v>5</v>
      </c>
      <c r="H1294" s="5">
        <v>15</v>
      </c>
      <c r="I1294" s="80" t="b">
        <v>1</v>
      </c>
      <c r="J1294" s="1" t="s">
        <v>2</v>
      </c>
      <c r="K1294" s="81" t="s">
        <v>32</v>
      </c>
      <c r="L1294" s="1"/>
      <c r="M1294" s="1"/>
      <c r="N1294" s="1"/>
      <c r="O1294" s="1"/>
      <c r="P1294" s="1"/>
      <c r="Q1294" s="81" t="str">
        <f t="shared" si="14"/>
        <v>LoGrad-LoElev</v>
      </c>
      <c r="R1294" s="81" t="str">
        <f t="shared" si="15"/>
        <v>LoGrad-LoElev</v>
      </c>
    </row>
    <row r="1295" spans="1:18" x14ac:dyDescent="0.25">
      <c r="A1295" s="79" t="s">
        <v>1070</v>
      </c>
      <c r="B1295" s="1" t="s">
        <v>488</v>
      </c>
      <c r="C1295" s="5">
        <v>4</v>
      </c>
      <c r="D1295" s="1" t="s">
        <v>48</v>
      </c>
      <c r="E1295" s="44" t="s">
        <v>564</v>
      </c>
      <c r="F1295" s="5" t="s">
        <v>26</v>
      </c>
      <c r="G1295" s="5">
        <v>20</v>
      </c>
      <c r="H1295" s="5">
        <v>30</v>
      </c>
      <c r="I1295" s="80" t="b">
        <v>0</v>
      </c>
      <c r="J1295" s="57" t="s">
        <v>15</v>
      </c>
      <c r="K1295" s="81" t="s">
        <v>32</v>
      </c>
      <c r="L1295" s="1"/>
      <c r="M1295" s="1"/>
      <c r="N1295" s="1"/>
      <c r="O1295" s="1"/>
      <c r="P1295" s="1"/>
      <c r="Q1295" s="81" t="str">
        <f t="shared" si="14"/>
        <v>LoGrad-LoElev</v>
      </c>
      <c r="R1295" s="81" t="str">
        <f t="shared" si="15"/>
        <v>LoGrad-LoElev</v>
      </c>
    </row>
    <row r="1296" spans="1:18" x14ac:dyDescent="0.25">
      <c r="A1296" s="79" t="s">
        <v>1070</v>
      </c>
      <c r="B1296" s="7" t="s">
        <v>488</v>
      </c>
      <c r="C1296" s="6">
        <v>4</v>
      </c>
      <c r="D1296" s="7" t="s">
        <v>478</v>
      </c>
      <c r="E1296" s="55" t="s">
        <v>554</v>
      </c>
      <c r="F1296" s="6" t="s">
        <v>24</v>
      </c>
      <c r="G1296" s="6">
        <v>7</v>
      </c>
      <c r="H1296" s="6">
        <v>17</v>
      </c>
      <c r="I1296" s="80" t="b">
        <v>1</v>
      </c>
      <c r="J1296" s="8" t="s">
        <v>479</v>
      </c>
      <c r="K1296" s="81" t="s">
        <v>32</v>
      </c>
      <c r="L1296" s="7" t="s">
        <v>485</v>
      </c>
      <c r="M1296" s="1" t="s">
        <v>482</v>
      </c>
      <c r="N1296" s="1"/>
      <c r="O1296" s="1"/>
      <c r="P1296" s="1"/>
      <c r="Q1296" s="81" t="str">
        <f t="shared" si="14"/>
        <v>LoGrad-LoElev</v>
      </c>
      <c r="R1296" s="81" t="str">
        <f t="shared" si="15"/>
        <v>LoGrad-LoElev</v>
      </c>
    </row>
    <row r="1297" spans="1:19" x14ac:dyDescent="0.25">
      <c r="A1297" s="79" t="s">
        <v>1070</v>
      </c>
      <c r="B1297" s="7" t="s">
        <v>488</v>
      </c>
      <c r="C1297" s="6">
        <v>4</v>
      </c>
      <c r="D1297" s="7" t="s">
        <v>37</v>
      </c>
      <c r="E1297" s="55" t="s">
        <v>560</v>
      </c>
      <c r="F1297" s="6" t="s">
        <v>26</v>
      </c>
      <c r="G1297" s="6">
        <v>10</v>
      </c>
      <c r="H1297" s="6">
        <v>20</v>
      </c>
      <c r="I1297" s="80" t="b">
        <v>0</v>
      </c>
      <c r="J1297" s="8" t="s">
        <v>5</v>
      </c>
      <c r="K1297" s="81" t="s">
        <v>32</v>
      </c>
      <c r="L1297" s="7" t="s">
        <v>485</v>
      </c>
      <c r="M1297" s="1" t="s">
        <v>482</v>
      </c>
      <c r="N1297" s="1"/>
      <c r="O1297" s="1"/>
      <c r="P1297" s="1"/>
      <c r="Q1297" s="81" t="str">
        <f t="shared" si="14"/>
        <v>LoGrad-LoElev</v>
      </c>
      <c r="R1297" s="81" t="str">
        <f t="shared" si="15"/>
        <v>LoGrad-LoElev</v>
      </c>
    </row>
    <row r="1298" spans="1:19" x14ac:dyDescent="0.25">
      <c r="A1298" s="79" t="s">
        <v>1070</v>
      </c>
      <c r="B1298" s="1" t="s">
        <v>488</v>
      </c>
      <c r="C1298" s="5">
        <v>5</v>
      </c>
      <c r="D1298" s="1" t="s">
        <v>11</v>
      </c>
      <c r="E1298" s="59" t="s">
        <v>529</v>
      </c>
      <c r="F1298" s="5" t="s">
        <v>24</v>
      </c>
      <c r="G1298" s="5">
        <v>15</v>
      </c>
      <c r="H1298" s="5">
        <v>25</v>
      </c>
      <c r="I1298" s="80" t="b">
        <v>1</v>
      </c>
      <c r="J1298" s="57" t="s">
        <v>0</v>
      </c>
      <c r="K1298" s="81" t="s">
        <v>32</v>
      </c>
      <c r="L1298" s="7" t="s">
        <v>485</v>
      </c>
      <c r="M1298" s="1" t="s">
        <v>482</v>
      </c>
      <c r="N1298" s="1"/>
      <c r="O1298" s="1"/>
      <c r="P1298" s="1"/>
      <c r="Q1298" s="81" t="str">
        <f t="shared" si="14"/>
        <v>LoGrad-LoElev</v>
      </c>
      <c r="R1298" s="81" t="str">
        <f t="shared" si="15"/>
        <v>LoGrad-LoElev</v>
      </c>
    </row>
    <row r="1299" spans="1:19" x14ac:dyDescent="0.25">
      <c r="A1299" s="79" t="s">
        <v>1070</v>
      </c>
      <c r="B1299" s="1" t="s">
        <v>488</v>
      </c>
      <c r="C1299" s="5">
        <v>5</v>
      </c>
      <c r="D1299" s="1" t="s">
        <v>13</v>
      </c>
      <c r="E1299" s="59" t="s">
        <v>552</v>
      </c>
      <c r="F1299" s="5" t="s">
        <v>24</v>
      </c>
      <c r="G1299" s="5">
        <v>0</v>
      </c>
      <c r="H1299" s="5">
        <v>1</v>
      </c>
      <c r="I1299" s="80" t="b">
        <v>1</v>
      </c>
      <c r="J1299" s="57" t="s">
        <v>10</v>
      </c>
      <c r="K1299" s="81" t="s">
        <v>32</v>
      </c>
      <c r="L1299" s="1"/>
      <c r="M1299" s="1"/>
      <c r="N1299" s="1"/>
      <c r="O1299" s="1"/>
      <c r="P1299" s="1"/>
      <c r="Q1299" s="81" t="str">
        <f t="shared" si="14"/>
        <v>LoGrad-LoElev</v>
      </c>
      <c r="R1299" s="81" t="str">
        <f t="shared" si="15"/>
        <v>LoGrad-LoElev</v>
      </c>
    </row>
    <row r="1300" spans="1:19" x14ac:dyDescent="0.25">
      <c r="A1300" s="79" t="s">
        <v>1070</v>
      </c>
      <c r="B1300" s="1" t="s">
        <v>488</v>
      </c>
      <c r="C1300" s="5">
        <v>5</v>
      </c>
      <c r="D1300" s="1" t="s">
        <v>48</v>
      </c>
      <c r="E1300" s="44" t="s">
        <v>566</v>
      </c>
      <c r="F1300" s="5" t="s">
        <v>26</v>
      </c>
      <c r="G1300" s="5">
        <v>30</v>
      </c>
      <c r="H1300" s="5">
        <v>40</v>
      </c>
      <c r="I1300" s="80" t="b">
        <v>0</v>
      </c>
      <c r="J1300" s="1" t="s">
        <v>15</v>
      </c>
      <c r="K1300" s="81" t="s">
        <v>32</v>
      </c>
      <c r="L1300" s="1"/>
      <c r="M1300" s="1"/>
      <c r="N1300" s="1"/>
      <c r="O1300" s="1"/>
      <c r="P1300" s="1"/>
      <c r="Q1300" s="81" t="str">
        <f t="shared" si="14"/>
        <v>LoGrad-LoElev</v>
      </c>
      <c r="R1300" s="81" t="str">
        <f t="shared" si="15"/>
        <v>LoGrad-LoElev</v>
      </c>
    </row>
    <row r="1301" spans="1:19" x14ac:dyDescent="0.25">
      <c r="A1301" s="79" t="s">
        <v>1070</v>
      </c>
      <c r="B1301" s="1" t="s">
        <v>488</v>
      </c>
      <c r="C1301" s="5">
        <v>5</v>
      </c>
      <c r="D1301" s="1" t="s">
        <v>478</v>
      </c>
      <c r="E1301" s="59" t="s">
        <v>544</v>
      </c>
      <c r="F1301" s="5" t="s">
        <v>24</v>
      </c>
      <c r="G1301" s="5">
        <v>3</v>
      </c>
      <c r="H1301" s="5">
        <v>7</v>
      </c>
      <c r="I1301" s="80" t="b">
        <v>1</v>
      </c>
      <c r="J1301" s="57" t="s">
        <v>479</v>
      </c>
      <c r="K1301" s="81" t="s">
        <v>32</v>
      </c>
      <c r="L1301" s="1"/>
      <c r="M1301" s="1"/>
      <c r="N1301" s="1"/>
      <c r="O1301" s="1"/>
      <c r="P1301" s="1"/>
      <c r="Q1301" s="81" t="str">
        <f t="shared" si="14"/>
        <v>LoGrad-LoElev</v>
      </c>
      <c r="R1301" s="81" t="str">
        <f t="shared" si="15"/>
        <v>LoGrad-LoElev</v>
      </c>
    </row>
    <row r="1302" spans="1:19" x14ac:dyDescent="0.25">
      <c r="A1302" s="79" t="s">
        <v>1070</v>
      </c>
      <c r="B1302" s="1" t="s">
        <v>488</v>
      </c>
      <c r="C1302" s="5">
        <v>5</v>
      </c>
      <c r="D1302" s="1" t="s">
        <v>35</v>
      </c>
      <c r="E1302" s="1" t="s">
        <v>555</v>
      </c>
      <c r="F1302" s="5" t="s">
        <v>24</v>
      </c>
      <c r="G1302" s="5">
        <v>0</v>
      </c>
      <c r="H1302" s="5">
        <v>2</v>
      </c>
      <c r="I1302" s="80" t="b">
        <v>1</v>
      </c>
      <c r="J1302" s="1" t="s">
        <v>3</v>
      </c>
      <c r="K1302" s="81" t="s">
        <v>32</v>
      </c>
      <c r="L1302" s="7" t="s">
        <v>485</v>
      </c>
      <c r="M1302" s="1" t="s">
        <v>482</v>
      </c>
      <c r="N1302" s="1"/>
      <c r="O1302" s="1"/>
      <c r="P1302" s="1"/>
      <c r="Q1302" s="81" t="str">
        <f t="shared" si="14"/>
        <v>LoGrad-LoElev</v>
      </c>
      <c r="R1302" s="81" t="str">
        <f t="shared" si="15"/>
        <v>LoGrad-LoElev</v>
      </c>
    </row>
    <row r="1303" spans="1:19" x14ac:dyDescent="0.25">
      <c r="A1303" s="79" t="s">
        <v>1070</v>
      </c>
      <c r="B1303" s="1" t="s">
        <v>488</v>
      </c>
      <c r="C1303" s="5">
        <v>5</v>
      </c>
      <c r="D1303" s="1" t="s">
        <v>37</v>
      </c>
      <c r="E1303" s="1" t="s">
        <v>562</v>
      </c>
      <c r="F1303" s="5" t="s">
        <v>26</v>
      </c>
      <c r="G1303" s="5">
        <v>25</v>
      </c>
      <c r="H1303" s="5">
        <v>35</v>
      </c>
      <c r="I1303" s="80" t="b">
        <v>0</v>
      </c>
      <c r="J1303" s="1" t="s">
        <v>5</v>
      </c>
      <c r="K1303" s="81" t="s">
        <v>32</v>
      </c>
      <c r="L1303" s="7" t="s">
        <v>485</v>
      </c>
      <c r="M1303" s="1" t="s">
        <v>482</v>
      </c>
      <c r="N1303" s="1"/>
      <c r="O1303" s="1"/>
      <c r="P1303" s="1"/>
      <c r="Q1303" s="81" t="str">
        <f t="shared" si="14"/>
        <v>LoGrad-LoElev</v>
      </c>
      <c r="R1303" s="81" t="str">
        <f t="shared" si="15"/>
        <v>LoGrad-LoElev</v>
      </c>
    </row>
    <row r="1304" spans="1:19" x14ac:dyDescent="0.25">
      <c r="A1304" t="s">
        <v>1114</v>
      </c>
      <c r="B1304" t="s">
        <v>1115</v>
      </c>
      <c r="C1304">
        <v>2</v>
      </c>
      <c r="D1304" t="s">
        <v>11</v>
      </c>
      <c r="E1304" t="s">
        <v>541</v>
      </c>
      <c r="F1304" s="5" t="s">
        <v>24</v>
      </c>
      <c r="G1304" s="19">
        <v>35</v>
      </c>
      <c r="H1304" s="19">
        <v>45</v>
      </c>
      <c r="I1304" t="b">
        <v>1</v>
      </c>
      <c r="J1304" t="s">
        <v>0</v>
      </c>
      <c r="K1304" t="s">
        <v>32</v>
      </c>
      <c r="Q1304" t="s">
        <v>1116</v>
      </c>
      <c r="R1304" t="s">
        <v>1116</v>
      </c>
      <c r="S1304" s="83">
        <v>1</v>
      </c>
    </row>
    <row r="1305" spans="1:19" x14ac:dyDescent="0.25">
      <c r="A1305" t="s">
        <v>1114</v>
      </c>
      <c r="B1305" t="s">
        <v>1115</v>
      </c>
      <c r="C1305">
        <v>2</v>
      </c>
      <c r="D1305" t="s">
        <v>13</v>
      </c>
      <c r="E1305" t="s">
        <v>1117</v>
      </c>
      <c r="F1305" s="5" t="s">
        <v>25</v>
      </c>
      <c r="G1305" s="19">
        <v>16</v>
      </c>
      <c r="H1305" s="19">
        <v>21</v>
      </c>
      <c r="I1305" t="b">
        <v>1</v>
      </c>
      <c r="J1305" t="s">
        <v>10</v>
      </c>
      <c r="K1305" t="s">
        <v>32</v>
      </c>
      <c r="Q1305" t="s">
        <v>1116</v>
      </c>
      <c r="R1305" t="s">
        <v>1116</v>
      </c>
      <c r="S1305" s="6">
        <v>2</v>
      </c>
    </row>
    <row r="1306" spans="1:19" x14ac:dyDescent="0.25">
      <c r="A1306" t="s">
        <v>1114</v>
      </c>
      <c r="B1306" t="s">
        <v>1115</v>
      </c>
      <c r="C1306">
        <v>2</v>
      </c>
      <c r="D1306" t="s">
        <v>1118</v>
      </c>
      <c r="E1306" t="s">
        <v>1211</v>
      </c>
      <c r="F1306" s="5" t="s">
        <v>26</v>
      </c>
      <c r="G1306" s="19">
        <v>30</v>
      </c>
      <c r="H1306" s="19">
        <v>40</v>
      </c>
      <c r="I1306" t="b">
        <v>0</v>
      </c>
      <c r="J1306" t="s">
        <v>1119</v>
      </c>
      <c r="K1306" t="s">
        <v>32</v>
      </c>
      <c r="Q1306" t="s">
        <v>1116</v>
      </c>
      <c r="R1306" t="s">
        <v>1116</v>
      </c>
      <c r="S1306" s="83">
        <v>7</v>
      </c>
    </row>
    <row r="1307" spans="1:19" x14ac:dyDescent="0.25">
      <c r="A1307" t="s">
        <v>1114</v>
      </c>
      <c r="B1307" t="s">
        <v>1115</v>
      </c>
      <c r="C1307">
        <v>2</v>
      </c>
      <c r="D1307" t="s">
        <v>29</v>
      </c>
      <c r="E1307" t="s">
        <v>1120</v>
      </c>
      <c r="F1307" s="5" t="s">
        <v>25</v>
      </c>
      <c r="G1307" s="19">
        <v>4</v>
      </c>
      <c r="H1307" s="19">
        <v>9</v>
      </c>
      <c r="I1307" t="b">
        <v>1</v>
      </c>
      <c r="J1307" t="s">
        <v>1121</v>
      </c>
      <c r="K1307" t="s">
        <v>32</v>
      </c>
      <c r="Q1307" t="s">
        <v>1116</v>
      </c>
      <c r="R1307" t="s">
        <v>1116</v>
      </c>
      <c r="S1307" s="6">
        <v>6</v>
      </c>
    </row>
    <row r="1308" spans="1:19" x14ac:dyDescent="0.25">
      <c r="A1308" t="s">
        <v>1114</v>
      </c>
      <c r="B1308" t="s">
        <v>1115</v>
      </c>
      <c r="C1308">
        <v>2</v>
      </c>
      <c r="D1308" t="s">
        <v>1122</v>
      </c>
      <c r="E1308" t="s">
        <v>1123</v>
      </c>
      <c r="F1308" s="5" t="s">
        <v>25</v>
      </c>
      <c r="G1308" s="19">
        <v>5</v>
      </c>
      <c r="H1308" s="19">
        <v>10</v>
      </c>
      <c r="I1308" t="b">
        <v>1</v>
      </c>
      <c r="J1308" t="s">
        <v>1124</v>
      </c>
      <c r="K1308" t="s">
        <v>32</v>
      </c>
      <c r="Q1308" t="s">
        <v>1116</v>
      </c>
      <c r="R1308" t="s">
        <v>1116</v>
      </c>
      <c r="S1308" s="6">
        <v>8</v>
      </c>
    </row>
    <row r="1309" spans="1:19" x14ac:dyDescent="0.25">
      <c r="A1309" t="s">
        <v>1114</v>
      </c>
      <c r="B1309" t="s">
        <v>1115</v>
      </c>
      <c r="C1309">
        <v>2</v>
      </c>
      <c r="D1309" t="s">
        <v>1125</v>
      </c>
      <c r="E1309" t="s">
        <v>1212</v>
      </c>
      <c r="F1309" s="5" t="s">
        <v>26</v>
      </c>
      <c r="G1309" s="19">
        <v>0</v>
      </c>
      <c r="H1309" s="19">
        <v>4</v>
      </c>
      <c r="I1309" t="b">
        <v>0</v>
      </c>
      <c r="J1309" t="s">
        <v>1126</v>
      </c>
      <c r="K1309" t="s">
        <v>32</v>
      </c>
      <c r="Q1309" t="s">
        <v>1116</v>
      </c>
      <c r="R1309" t="s">
        <v>1116</v>
      </c>
      <c r="S1309" s="6">
        <v>5</v>
      </c>
    </row>
    <row r="1310" spans="1:19" x14ac:dyDescent="0.25">
      <c r="A1310" t="s">
        <v>1114</v>
      </c>
      <c r="B1310" t="s">
        <v>1115</v>
      </c>
      <c r="C1310">
        <v>2</v>
      </c>
      <c r="D1310" t="s">
        <v>144</v>
      </c>
      <c r="E1310" t="s">
        <v>1127</v>
      </c>
      <c r="F1310" s="5" t="s">
        <v>25</v>
      </c>
      <c r="G1310" s="19">
        <v>3</v>
      </c>
      <c r="H1310" s="19">
        <v>6</v>
      </c>
      <c r="I1310" t="b">
        <v>1</v>
      </c>
      <c r="J1310" t="s">
        <v>1128</v>
      </c>
      <c r="K1310" t="s">
        <v>32</v>
      </c>
      <c r="Q1310" t="s">
        <v>1116</v>
      </c>
      <c r="R1310" t="s">
        <v>1116</v>
      </c>
      <c r="S1310" s="83">
        <v>9</v>
      </c>
    </row>
    <row r="1311" spans="1:19" x14ac:dyDescent="0.25">
      <c r="A1311" t="s">
        <v>1114</v>
      </c>
      <c r="B1311" t="s">
        <v>1115</v>
      </c>
      <c r="C1311">
        <v>2</v>
      </c>
      <c r="D1311" t="s">
        <v>1129</v>
      </c>
      <c r="E1311" t="s">
        <v>1130</v>
      </c>
      <c r="F1311" s="5" t="s">
        <v>27</v>
      </c>
      <c r="G1311" s="19">
        <v>5</v>
      </c>
      <c r="H1311" s="19">
        <v>10</v>
      </c>
      <c r="I1311" t="b">
        <v>0</v>
      </c>
      <c r="J1311" t="s">
        <v>1131</v>
      </c>
      <c r="K1311" t="s">
        <v>32</v>
      </c>
      <c r="Q1311" t="s">
        <v>1116</v>
      </c>
      <c r="R1311" t="s">
        <v>1116</v>
      </c>
      <c r="S1311" s="83">
        <v>4</v>
      </c>
    </row>
    <row r="1312" spans="1:19" x14ac:dyDescent="0.25">
      <c r="A1312" t="s">
        <v>1114</v>
      </c>
      <c r="B1312" t="s">
        <v>1115</v>
      </c>
      <c r="C1312">
        <v>2</v>
      </c>
      <c r="D1312" t="s">
        <v>109</v>
      </c>
      <c r="E1312" t="s">
        <v>1213</v>
      </c>
      <c r="F1312" s="5" t="s">
        <v>26</v>
      </c>
      <c r="G1312" s="19">
        <v>10</v>
      </c>
      <c r="H1312" s="19">
        <v>20</v>
      </c>
      <c r="I1312" t="b">
        <v>0</v>
      </c>
      <c r="J1312" t="s">
        <v>1132</v>
      </c>
      <c r="K1312" t="s">
        <v>32</v>
      </c>
      <c r="Q1312" t="s">
        <v>1116</v>
      </c>
      <c r="R1312" t="s">
        <v>1116</v>
      </c>
      <c r="S1312" s="83">
        <v>3</v>
      </c>
    </row>
    <row r="1313" spans="1:19" x14ac:dyDescent="0.25">
      <c r="A1313" t="s">
        <v>1114</v>
      </c>
      <c r="B1313" t="s">
        <v>1115</v>
      </c>
      <c r="C1313">
        <v>3</v>
      </c>
      <c r="D1313" t="s">
        <v>11</v>
      </c>
      <c r="E1313" t="s">
        <v>1133</v>
      </c>
      <c r="F1313" s="5" t="s">
        <v>25</v>
      </c>
      <c r="G1313" s="19">
        <v>30</v>
      </c>
      <c r="H1313" s="19">
        <v>35</v>
      </c>
      <c r="I1313" t="b">
        <v>1</v>
      </c>
      <c r="J1313" t="s">
        <v>0</v>
      </c>
      <c r="K1313" t="s">
        <v>32</v>
      </c>
      <c r="Q1313" t="s">
        <v>1116</v>
      </c>
      <c r="R1313" t="s">
        <v>1116</v>
      </c>
      <c r="S1313" s="83">
        <v>1</v>
      </c>
    </row>
    <row r="1314" spans="1:19" x14ac:dyDescent="0.25">
      <c r="A1314" t="s">
        <v>1114</v>
      </c>
      <c r="B1314" t="s">
        <v>1115</v>
      </c>
      <c r="C1314">
        <v>3</v>
      </c>
      <c r="D1314" t="s">
        <v>13</v>
      </c>
      <c r="E1314" t="s">
        <v>1134</v>
      </c>
      <c r="F1314" s="5" t="s">
        <v>25</v>
      </c>
      <c r="G1314" s="19">
        <v>11</v>
      </c>
      <c r="H1314" s="19">
        <v>16</v>
      </c>
      <c r="I1314" t="b">
        <v>1</v>
      </c>
      <c r="J1314" t="s">
        <v>10</v>
      </c>
      <c r="K1314" t="s">
        <v>32</v>
      </c>
      <c r="Q1314" t="s">
        <v>1116</v>
      </c>
      <c r="R1314" t="s">
        <v>1116</v>
      </c>
      <c r="S1314" s="6">
        <v>2</v>
      </c>
    </row>
    <row r="1315" spans="1:19" x14ac:dyDescent="0.25">
      <c r="A1315" t="s">
        <v>1114</v>
      </c>
      <c r="B1315" t="s">
        <v>1115</v>
      </c>
      <c r="C1315">
        <v>3</v>
      </c>
      <c r="D1315" t="s">
        <v>1118</v>
      </c>
      <c r="E1315" t="s">
        <v>1135</v>
      </c>
      <c r="F1315" s="5" t="s">
        <v>27</v>
      </c>
      <c r="G1315" s="19">
        <v>40</v>
      </c>
      <c r="H1315" s="19">
        <v>45</v>
      </c>
      <c r="I1315" t="b">
        <v>0</v>
      </c>
      <c r="J1315" t="s">
        <v>1119</v>
      </c>
      <c r="K1315" t="s">
        <v>32</v>
      </c>
      <c r="Q1315" t="s">
        <v>1116</v>
      </c>
      <c r="R1315" t="s">
        <v>1116</v>
      </c>
      <c r="S1315" s="83">
        <v>7</v>
      </c>
    </row>
    <row r="1316" spans="1:19" x14ac:dyDescent="0.25">
      <c r="A1316" t="s">
        <v>1114</v>
      </c>
      <c r="B1316" t="s">
        <v>1115</v>
      </c>
      <c r="C1316">
        <v>3</v>
      </c>
      <c r="D1316" t="s">
        <v>29</v>
      </c>
      <c r="E1316" t="s">
        <v>1112</v>
      </c>
      <c r="F1316" s="5" t="s">
        <v>25</v>
      </c>
      <c r="G1316" s="19">
        <v>1</v>
      </c>
      <c r="H1316" s="19">
        <v>4</v>
      </c>
      <c r="I1316" t="b">
        <v>1</v>
      </c>
      <c r="J1316" t="s">
        <v>1121</v>
      </c>
      <c r="K1316" t="s">
        <v>32</v>
      </c>
      <c r="Q1316" t="s">
        <v>1116</v>
      </c>
      <c r="R1316" t="s">
        <v>1116</v>
      </c>
      <c r="S1316" s="6">
        <v>6</v>
      </c>
    </row>
    <row r="1317" spans="1:19" x14ac:dyDescent="0.25">
      <c r="A1317" t="s">
        <v>1114</v>
      </c>
      <c r="B1317" t="s">
        <v>1115</v>
      </c>
      <c r="C1317">
        <v>3</v>
      </c>
      <c r="D1317" t="s">
        <v>1122</v>
      </c>
      <c r="E1317" t="s">
        <v>1113</v>
      </c>
      <c r="F1317" s="5" t="s">
        <v>25</v>
      </c>
      <c r="G1317" s="19">
        <v>0</v>
      </c>
      <c r="H1317" s="19">
        <v>3</v>
      </c>
      <c r="I1317" t="b">
        <v>1</v>
      </c>
      <c r="J1317" t="s">
        <v>1124</v>
      </c>
      <c r="K1317" t="s">
        <v>32</v>
      </c>
      <c r="Q1317" t="s">
        <v>1116</v>
      </c>
      <c r="R1317" t="s">
        <v>1116</v>
      </c>
      <c r="S1317" s="6">
        <v>8</v>
      </c>
    </row>
    <row r="1318" spans="1:19" x14ac:dyDescent="0.25">
      <c r="A1318" t="s">
        <v>1114</v>
      </c>
      <c r="B1318" t="s">
        <v>1115</v>
      </c>
      <c r="C1318">
        <v>3</v>
      </c>
      <c r="D1318" t="s">
        <v>1125</v>
      </c>
      <c r="E1318" t="s">
        <v>1214</v>
      </c>
      <c r="F1318" s="5" t="s">
        <v>26</v>
      </c>
      <c r="G1318" s="19">
        <v>4</v>
      </c>
      <c r="H1318" s="19">
        <v>10</v>
      </c>
      <c r="I1318" t="b">
        <v>0</v>
      </c>
      <c r="J1318" t="s">
        <v>1126</v>
      </c>
      <c r="K1318" t="s">
        <v>32</v>
      </c>
      <c r="Q1318" t="s">
        <v>1116</v>
      </c>
      <c r="R1318" t="s">
        <v>1116</v>
      </c>
      <c r="S1318" s="6">
        <v>5</v>
      </c>
    </row>
    <row r="1319" spans="1:19" x14ac:dyDescent="0.25">
      <c r="A1319" t="s">
        <v>1114</v>
      </c>
      <c r="B1319" t="s">
        <v>1115</v>
      </c>
      <c r="C1319">
        <v>3</v>
      </c>
      <c r="D1319" t="s">
        <v>144</v>
      </c>
      <c r="E1319" t="s">
        <v>1113</v>
      </c>
      <c r="F1319" s="5" t="s">
        <v>25</v>
      </c>
      <c r="G1319" s="19">
        <v>0</v>
      </c>
      <c r="H1319" s="19">
        <v>3</v>
      </c>
      <c r="I1319" t="b">
        <v>1</v>
      </c>
      <c r="J1319" t="s">
        <v>1128</v>
      </c>
      <c r="K1319" t="s">
        <v>32</v>
      </c>
      <c r="Q1319" t="s">
        <v>1116</v>
      </c>
      <c r="R1319" t="s">
        <v>1116</v>
      </c>
      <c r="S1319" s="83">
        <v>9</v>
      </c>
    </row>
    <row r="1320" spans="1:19" x14ac:dyDescent="0.25">
      <c r="A1320" t="s">
        <v>1114</v>
      </c>
      <c r="B1320" t="s">
        <v>1115</v>
      </c>
      <c r="C1320">
        <v>3</v>
      </c>
      <c r="D1320" t="s">
        <v>1129</v>
      </c>
      <c r="E1320" t="s">
        <v>1213</v>
      </c>
      <c r="F1320" s="5" t="s">
        <v>26</v>
      </c>
      <c r="G1320" s="19">
        <v>10</v>
      </c>
      <c r="H1320" s="19">
        <v>20</v>
      </c>
      <c r="I1320" t="b">
        <v>0</v>
      </c>
      <c r="J1320" t="s">
        <v>1131</v>
      </c>
      <c r="K1320" t="s">
        <v>32</v>
      </c>
      <c r="Q1320" t="s">
        <v>1116</v>
      </c>
      <c r="R1320" t="s">
        <v>1116</v>
      </c>
      <c r="S1320" s="83">
        <v>4</v>
      </c>
    </row>
    <row r="1321" spans="1:19" x14ac:dyDescent="0.25">
      <c r="A1321" t="s">
        <v>1114</v>
      </c>
      <c r="B1321" t="s">
        <v>1115</v>
      </c>
      <c r="C1321">
        <v>3</v>
      </c>
      <c r="D1321" t="s">
        <v>109</v>
      </c>
      <c r="E1321" t="s">
        <v>1215</v>
      </c>
      <c r="F1321" s="5" t="s">
        <v>26</v>
      </c>
      <c r="G1321" s="19">
        <v>20</v>
      </c>
      <c r="H1321" s="19">
        <v>30</v>
      </c>
      <c r="I1321" t="b">
        <v>0</v>
      </c>
      <c r="J1321" t="s">
        <v>1132</v>
      </c>
      <c r="K1321" t="s">
        <v>32</v>
      </c>
      <c r="Q1321" t="s">
        <v>1116</v>
      </c>
      <c r="R1321" t="s">
        <v>1116</v>
      </c>
      <c r="S1321" s="83">
        <v>3</v>
      </c>
    </row>
    <row r="1322" spans="1:19" x14ac:dyDescent="0.25">
      <c r="A1322" t="s">
        <v>1114</v>
      </c>
      <c r="B1322" t="s">
        <v>1115</v>
      </c>
      <c r="C1322">
        <v>4</v>
      </c>
      <c r="D1322" t="s">
        <v>11</v>
      </c>
      <c r="E1322" t="s">
        <v>1136</v>
      </c>
      <c r="F1322" s="5" t="s">
        <v>25</v>
      </c>
      <c r="G1322" s="19">
        <v>20</v>
      </c>
      <c r="H1322" s="19">
        <v>25</v>
      </c>
      <c r="I1322" t="b">
        <v>1</v>
      </c>
      <c r="J1322" t="s">
        <v>0</v>
      </c>
      <c r="K1322" t="s">
        <v>32</v>
      </c>
      <c r="Q1322" t="s">
        <v>1116</v>
      </c>
      <c r="R1322" t="s">
        <v>1116</v>
      </c>
      <c r="S1322" s="83">
        <v>1</v>
      </c>
    </row>
    <row r="1323" spans="1:19" x14ac:dyDescent="0.25">
      <c r="A1323" t="s">
        <v>1114</v>
      </c>
      <c r="B1323" t="s">
        <v>1115</v>
      </c>
      <c r="C1323">
        <v>4</v>
      </c>
      <c r="D1323" t="s">
        <v>13</v>
      </c>
      <c r="E1323" t="s">
        <v>1137</v>
      </c>
      <c r="F1323" s="5" t="s">
        <v>25</v>
      </c>
      <c r="G1323" s="19">
        <v>6</v>
      </c>
      <c r="H1323" s="19">
        <v>11</v>
      </c>
      <c r="I1323" t="b">
        <v>1</v>
      </c>
      <c r="J1323" t="s">
        <v>10</v>
      </c>
      <c r="K1323" t="s">
        <v>32</v>
      </c>
      <c r="Q1323" t="s">
        <v>1116</v>
      </c>
      <c r="R1323" t="s">
        <v>1116</v>
      </c>
      <c r="S1323" s="6">
        <v>2</v>
      </c>
    </row>
    <row r="1324" spans="1:19" x14ac:dyDescent="0.25">
      <c r="A1324" t="s">
        <v>1114</v>
      </c>
      <c r="B1324" t="s">
        <v>1115</v>
      </c>
      <c r="C1324">
        <v>4</v>
      </c>
      <c r="D1324" t="s">
        <v>1125</v>
      </c>
      <c r="E1324" t="s">
        <v>1216</v>
      </c>
      <c r="F1324" s="5" t="s">
        <v>26</v>
      </c>
      <c r="G1324" s="19">
        <v>15</v>
      </c>
      <c r="H1324" s="19">
        <v>25</v>
      </c>
      <c r="I1324" t="b">
        <v>0</v>
      </c>
      <c r="J1324" t="s">
        <v>1126</v>
      </c>
      <c r="K1324" t="s">
        <v>32</v>
      </c>
      <c r="Q1324" t="s">
        <v>1116</v>
      </c>
      <c r="R1324" t="s">
        <v>1116</v>
      </c>
      <c r="S1324" s="6">
        <v>5</v>
      </c>
    </row>
    <row r="1325" spans="1:19" x14ac:dyDescent="0.25">
      <c r="A1325" t="s">
        <v>1114</v>
      </c>
      <c r="B1325" t="s">
        <v>1115</v>
      </c>
      <c r="C1325">
        <v>4</v>
      </c>
      <c r="D1325" t="s">
        <v>1118</v>
      </c>
      <c r="E1325" t="s">
        <v>1217</v>
      </c>
      <c r="F1325" s="5" t="s">
        <v>26</v>
      </c>
      <c r="G1325" s="19">
        <v>45</v>
      </c>
      <c r="H1325" s="19">
        <v>55</v>
      </c>
      <c r="I1325" t="b">
        <v>0</v>
      </c>
      <c r="J1325" t="s">
        <v>1119</v>
      </c>
      <c r="K1325" t="s">
        <v>32</v>
      </c>
      <c r="L1325" t="s">
        <v>716</v>
      </c>
      <c r="M1325" t="s">
        <v>1138</v>
      </c>
      <c r="Q1325" t="s">
        <v>1116</v>
      </c>
      <c r="R1325" t="s">
        <v>1116</v>
      </c>
      <c r="S1325" s="83">
        <v>7</v>
      </c>
    </row>
    <row r="1326" spans="1:19" x14ac:dyDescent="0.25">
      <c r="A1326" t="s">
        <v>1114</v>
      </c>
      <c r="B1326" t="s">
        <v>1115</v>
      </c>
      <c r="C1326">
        <v>4</v>
      </c>
      <c r="D1326" t="s">
        <v>29</v>
      </c>
      <c r="E1326" t="s">
        <v>1111</v>
      </c>
      <c r="F1326" s="5" t="s">
        <v>25</v>
      </c>
      <c r="G1326" s="19">
        <v>0</v>
      </c>
      <c r="H1326" s="19">
        <v>1</v>
      </c>
      <c r="I1326" t="b">
        <v>1</v>
      </c>
      <c r="J1326" t="s">
        <v>1121</v>
      </c>
      <c r="K1326" t="s">
        <v>32</v>
      </c>
      <c r="L1326" t="s">
        <v>716</v>
      </c>
      <c r="M1326" t="s">
        <v>1138</v>
      </c>
      <c r="Q1326" t="s">
        <v>1116</v>
      </c>
      <c r="R1326" t="s">
        <v>1116</v>
      </c>
      <c r="S1326" s="6">
        <v>6</v>
      </c>
    </row>
    <row r="1327" spans="1:19" x14ac:dyDescent="0.25">
      <c r="A1327" t="s">
        <v>1114</v>
      </c>
      <c r="B1327" t="s">
        <v>1115</v>
      </c>
      <c r="C1327">
        <v>4</v>
      </c>
      <c r="D1327" t="s">
        <v>1129</v>
      </c>
      <c r="E1327" t="s">
        <v>1215</v>
      </c>
      <c r="F1327" s="5" t="s">
        <v>26</v>
      </c>
      <c r="G1327" s="19">
        <v>20</v>
      </c>
      <c r="H1327" s="19">
        <v>30</v>
      </c>
      <c r="I1327" t="b">
        <v>0</v>
      </c>
      <c r="J1327" t="s">
        <v>1131</v>
      </c>
      <c r="K1327" t="s">
        <v>32</v>
      </c>
      <c r="L1327" t="s">
        <v>716</v>
      </c>
      <c r="M1327" t="s">
        <v>1138</v>
      </c>
      <c r="Q1327" t="s">
        <v>1116</v>
      </c>
      <c r="R1327" t="s">
        <v>1116</v>
      </c>
      <c r="S1327" s="83">
        <v>4</v>
      </c>
    </row>
    <row r="1328" spans="1:19" x14ac:dyDescent="0.25">
      <c r="A1328" t="s">
        <v>1114</v>
      </c>
      <c r="B1328" t="s">
        <v>1115</v>
      </c>
      <c r="C1328">
        <v>4</v>
      </c>
      <c r="D1328" t="s">
        <v>109</v>
      </c>
      <c r="E1328" t="s">
        <v>1211</v>
      </c>
      <c r="F1328" s="5" t="s">
        <v>26</v>
      </c>
      <c r="G1328" s="19">
        <v>30</v>
      </c>
      <c r="H1328" s="19">
        <v>40</v>
      </c>
      <c r="I1328" t="b">
        <v>0</v>
      </c>
      <c r="J1328" t="s">
        <v>1132</v>
      </c>
      <c r="K1328" t="s">
        <v>32</v>
      </c>
      <c r="L1328" t="s">
        <v>716</v>
      </c>
      <c r="M1328" t="s">
        <v>1138</v>
      </c>
      <c r="Q1328" t="s">
        <v>1116</v>
      </c>
      <c r="R1328" t="s">
        <v>1116</v>
      </c>
      <c r="S1328" s="83">
        <v>3</v>
      </c>
    </row>
    <row r="1329" spans="1:19" x14ac:dyDescent="0.25">
      <c r="A1329" t="s">
        <v>1114</v>
      </c>
      <c r="B1329" t="s">
        <v>1115</v>
      </c>
      <c r="C1329">
        <v>5</v>
      </c>
      <c r="D1329" t="s">
        <v>11</v>
      </c>
      <c r="E1329" t="s">
        <v>524</v>
      </c>
      <c r="F1329" s="5" t="s">
        <v>24</v>
      </c>
      <c r="G1329" s="19">
        <v>10</v>
      </c>
      <c r="H1329" s="19">
        <v>20</v>
      </c>
      <c r="I1329" t="b">
        <v>1</v>
      </c>
      <c r="J1329" t="s">
        <v>0</v>
      </c>
      <c r="K1329" t="s">
        <v>32</v>
      </c>
      <c r="L1329" t="s">
        <v>716</v>
      </c>
      <c r="M1329" t="s">
        <v>1138</v>
      </c>
      <c r="Q1329" t="s">
        <v>1116</v>
      </c>
      <c r="R1329" t="s">
        <v>1116</v>
      </c>
      <c r="S1329" s="83">
        <v>1</v>
      </c>
    </row>
    <row r="1330" spans="1:19" x14ac:dyDescent="0.25">
      <c r="A1330" t="s">
        <v>1114</v>
      </c>
      <c r="B1330" t="s">
        <v>1115</v>
      </c>
      <c r="C1330">
        <v>5</v>
      </c>
      <c r="D1330" t="s">
        <v>13</v>
      </c>
      <c r="E1330" t="s">
        <v>1139</v>
      </c>
      <c r="F1330" s="5" t="s">
        <v>25</v>
      </c>
      <c r="G1330" s="19">
        <v>0</v>
      </c>
      <c r="H1330" s="19">
        <v>5</v>
      </c>
      <c r="I1330" t="b">
        <v>1</v>
      </c>
      <c r="J1330" t="s">
        <v>10</v>
      </c>
      <c r="K1330" t="s">
        <v>32</v>
      </c>
      <c r="L1330" t="s">
        <v>716</v>
      </c>
      <c r="M1330" t="s">
        <v>1138</v>
      </c>
      <c r="Q1330" t="s">
        <v>1116</v>
      </c>
      <c r="R1330" t="s">
        <v>1116</v>
      </c>
      <c r="S1330" s="6">
        <v>2</v>
      </c>
    </row>
    <row r="1331" spans="1:19" x14ac:dyDescent="0.25">
      <c r="A1331" t="s">
        <v>1114</v>
      </c>
      <c r="B1331" t="s">
        <v>1115</v>
      </c>
      <c r="C1331">
        <v>5</v>
      </c>
      <c r="D1331" t="s">
        <v>1125</v>
      </c>
      <c r="E1331" t="s">
        <v>1218</v>
      </c>
      <c r="F1331" s="5" t="s">
        <v>26</v>
      </c>
      <c r="G1331" s="19">
        <v>25</v>
      </c>
      <c r="H1331" s="19">
        <v>35</v>
      </c>
      <c r="I1331" t="b">
        <v>0</v>
      </c>
      <c r="J1331" t="s">
        <v>1126</v>
      </c>
      <c r="K1331" t="s">
        <v>32</v>
      </c>
      <c r="L1331" t="s">
        <v>716</v>
      </c>
      <c r="M1331" t="s">
        <v>1138</v>
      </c>
      <c r="Q1331" t="s">
        <v>1116</v>
      </c>
      <c r="R1331" t="s">
        <v>1116</v>
      </c>
      <c r="S1331" s="6">
        <v>5</v>
      </c>
    </row>
    <row r="1332" spans="1:19" x14ac:dyDescent="0.25">
      <c r="A1332" t="s">
        <v>1114</v>
      </c>
      <c r="B1332" t="s">
        <v>1115</v>
      </c>
      <c r="C1332">
        <v>5</v>
      </c>
      <c r="D1332" t="s">
        <v>1129</v>
      </c>
      <c r="E1332" t="s">
        <v>1140</v>
      </c>
      <c r="F1332" s="5" t="s">
        <v>27</v>
      </c>
      <c r="G1332" s="19">
        <v>35</v>
      </c>
      <c r="H1332" s="19">
        <v>40</v>
      </c>
      <c r="I1332" t="b">
        <v>0</v>
      </c>
      <c r="J1332" t="s">
        <v>1131</v>
      </c>
      <c r="K1332" t="s">
        <v>32</v>
      </c>
      <c r="L1332" t="s">
        <v>716</v>
      </c>
      <c r="M1332" t="s">
        <v>1138</v>
      </c>
      <c r="Q1332" t="s">
        <v>1116</v>
      </c>
      <c r="R1332" t="s">
        <v>1116</v>
      </c>
      <c r="S1332" s="83">
        <v>4</v>
      </c>
    </row>
    <row r="1333" spans="1:19" x14ac:dyDescent="0.25">
      <c r="A1333" t="s">
        <v>1114</v>
      </c>
      <c r="B1333" t="s">
        <v>1115</v>
      </c>
      <c r="C1333">
        <v>5</v>
      </c>
      <c r="D1333" t="s">
        <v>109</v>
      </c>
      <c r="E1333" t="s">
        <v>1217</v>
      </c>
      <c r="F1333" s="5" t="s">
        <v>26</v>
      </c>
      <c r="G1333" s="19">
        <v>45</v>
      </c>
      <c r="H1333" s="19">
        <v>55</v>
      </c>
      <c r="I1333" t="b">
        <v>0</v>
      </c>
      <c r="J1333" t="s">
        <v>1132</v>
      </c>
      <c r="K1333" t="s">
        <v>32</v>
      </c>
      <c r="L1333" t="s">
        <v>716</v>
      </c>
      <c r="M1333" t="s">
        <v>1138</v>
      </c>
      <c r="Q1333" t="s">
        <v>1116</v>
      </c>
      <c r="R1333" t="s">
        <v>1116</v>
      </c>
      <c r="S1333" s="83">
        <v>3</v>
      </c>
    </row>
    <row r="1334" spans="1:19" x14ac:dyDescent="0.25">
      <c r="A1334" t="s">
        <v>1114</v>
      </c>
      <c r="B1334" t="s">
        <v>1110</v>
      </c>
      <c r="C1334">
        <v>2</v>
      </c>
      <c r="D1334" t="s">
        <v>11</v>
      </c>
      <c r="E1334" t="s">
        <v>541</v>
      </c>
      <c r="F1334" s="5" t="s">
        <v>24</v>
      </c>
      <c r="G1334" s="19">
        <v>35</v>
      </c>
      <c r="H1334" s="19">
        <v>45</v>
      </c>
      <c r="I1334" t="b">
        <v>1</v>
      </c>
      <c r="J1334" t="s">
        <v>0</v>
      </c>
      <c r="K1334" t="s">
        <v>32</v>
      </c>
      <c r="Q1334" t="s">
        <v>1116</v>
      </c>
      <c r="R1334" t="s">
        <v>1116</v>
      </c>
      <c r="S1334" s="83">
        <v>1</v>
      </c>
    </row>
    <row r="1335" spans="1:19" x14ac:dyDescent="0.25">
      <c r="A1335" t="s">
        <v>1114</v>
      </c>
      <c r="B1335" t="s">
        <v>1110</v>
      </c>
      <c r="C1335">
        <v>2</v>
      </c>
      <c r="D1335" t="s">
        <v>13</v>
      </c>
      <c r="E1335" t="s">
        <v>1117</v>
      </c>
      <c r="F1335" s="5" t="s">
        <v>25</v>
      </c>
      <c r="G1335" s="19">
        <v>16</v>
      </c>
      <c r="H1335" s="19">
        <v>21</v>
      </c>
      <c r="I1335" t="b">
        <v>1</v>
      </c>
      <c r="J1335" t="s">
        <v>10</v>
      </c>
      <c r="K1335" t="s">
        <v>32</v>
      </c>
      <c r="Q1335" t="s">
        <v>1116</v>
      </c>
      <c r="R1335" t="s">
        <v>1116</v>
      </c>
      <c r="S1335" s="6">
        <v>2</v>
      </c>
    </row>
    <row r="1336" spans="1:19" x14ac:dyDescent="0.25">
      <c r="A1336" t="s">
        <v>1114</v>
      </c>
      <c r="B1336" t="s">
        <v>1110</v>
      </c>
      <c r="C1336">
        <v>2</v>
      </c>
      <c r="D1336" t="s">
        <v>1118</v>
      </c>
      <c r="E1336" t="s">
        <v>1211</v>
      </c>
      <c r="F1336" s="5" t="s">
        <v>26</v>
      </c>
      <c r="G1336" s="19">
        <v>30</v>
      </c>
      <c r="H1336" s="19">
        <v>40</v>
      </c>
      <c r="I1336" t="b">
        <v>0</v>
      </c>
      <c r="J1336" t="s">
        <v>1119</v>
      </c>
      <c r="K1336" t="s">
        <v>32</v>
      </c>
      <c r="Q1336" t="s">
        <v>1116</v>
      </c>
      <c r="R1336" t="s">
        <v>1116</v>
      </c>
      <c r="S1336" s="83">
        <v>7</v>
      </c>
    </row>
    <row r="1337" spans="1:19" x14ac:dyDescent="0.25">
      <c r="A1337" t="s">
        <v>1114</v>
      </c>
      <c r="B1337" t="s">
        <v>1110</v>
      </c>
      <c r="C1337">
        <v>2</v>
      </c>
      <c r="D1337" t="s">
        <v>29</v>
      </c>
      <c r="E1337" t="s">
        <v>1120</v>
      </c>
      <c r="F1337" s="5" t="s">
        <v>25</v>
      </c>
      <c r="G1337" s="19">
        <v>4</v>
      </c>
      <c r="H1337" s="19">
        <v>9</v>
      </c>
      <c r="I1337" t="b">
        <v>1</v>
      </c>
      <c r="J1337" t="s">
        <v>1121</v>
      </c>
      <c r="K1337" t="s">
        <v>32</v>
      </c>
      <c r="Q1337" t="s">
        <v>1116</v>
      </c>
      <c r="R1337" t="s">
        <v>1116</v>
      </c>
      <c r="S1337" s="6">
        <v>6</v>
      </c>
    </row>
    <row r="1338" spans="1:19" x14ac:dyDescent="0.25">
      <c r="A1338" t="s">
        <v>1114</v>
      </c>
      <c r="B1338" t="s">
        <v>1110</v>
      </c>
      <c r="C1338">
        <v>2</v>
      </c>
      <c r="D1338" t="s">
        <v>1122</v>
      </c>
      <c r="E1338" t="s">
        <v>1123</v>
      </c>
      <c r="F1338" s="5" t="s">
        <v>25</v>
      </c>
      <c r="G1338" s="19">
        <v>5</v>
      </c>
      <c r="H1338" s="19">
        <v>10</v>
      </c>
      <c r="I1338" t="b">
        <v>1</v>
      </c>
      <c r="J1338" t="s">
        <v>1124</v>
      </c>
      <c r="K1338" t="s">
        <v>32</v>
      </c>
      <c r="Q1338" t="s">
        <v>1116</v>
      </c>
      <c r="R1338" t="s">
        <v>1116</v>
      </c>
      <c r="S1338" s="6">
        <v>8</v>
      </c>
    </row>
    <row r="1339" spans="1:19" x14ac:dyDescent="0.25">
      <c r="A1339" t="s">
        <v>1114</v>
      </c>
      <c r="B1339" t="s">
        <v>1110</v>
      </c>
      <c r="C1339">
        <v>2</v>
      </c>
      <c r="D1339" t="s">
        <v>1125</v>
      </c>
      <c r="E1339" t="s">
        <v>1212</v>
      </c>
      <c r="F1339" s="5" t="s">
        <v>26</v>
      </c>
      <c r="G1339" s="19">
        <v>0</v>
      </c>
      <c r="H1339" s="19">
        <v>4</v>
      </c>
      <c r="I1339" t="b">
        <v>0</v>
      </c>
      <c r="J1339" t="s">
        <v>1126</v>
      </c>
      <c r="K1339" t="s">
        <v>32</v>
      </c>
      <c r="Q1339" t="s">
        <v>1116</v>
      </c>
      <c r="R1339" t="s">
        <v>1116</v>
      </c>
      <c r="S1339" s="6">
        <v>5</v>
      </c>
    </row>
    <row r="1340" spans="1:19" x14ac:dyDescent="0.25">
      <c r="A1340" t="s">
        <v>1114</v>
      </c>
      <c r="B1340" t="s">
        <v>1110</v>
      </c>
      <c r="C1340">
        <v>2</v>
      </c>
      <c r="D1340" t="s">
        <v>144</v>
      </c>
      <c r="E1340" t="s">
        <v>1127</v>
      </c>
      <c r="F1340" s="5" t="s">
        <v>25</v>
      </c>
      <c r="G1340" s="19">
        <v>3</v>
      </c>
      <c r="H1340" s="19">
        <v>6</v>
      </c>
      <c r="I1340" t="b">
        <v>1</v>
      </c>
      <c r="J1340" t="s">
        <v>1128</v>
      </c>
      <c r="K1340" t="s">
        <v>32</v>
      </c>
      <c r="Q1340" t="s">
        <v>1116</v>
      </c>
      <c r="R1340" t="s">
        <v>1116</v>
      </c>
      <c r="S1340" s="83">
        <v>9</v>
      </c>
    </row>
    <row r="1341" spans="1:19" x14ac:dyDescent="0.25">
      <c r="A1341" t="s">
        <v>1114</v>
      </c>
      <c r="B1341" t="s">
        <v>1110</v>
      </c>
      <c r="C1341">
        <v>2</v>
      </c>
      <c r="D1341" t="s">
        <v>1129</v>
      </c>
      <c r="E1341" t="s">
        <v>1130</v>
      </c>
      <c r="F1341" s="5" t="s">
        <v>27</v>
      </c>
      <c r="G1341" s="19">
        <v>5</v>
      </c>
      <c r="H1341" s="19">
        <v>10</v>
      </c>
      <c r="I1341" t="b">
        <v>0</v>
      </c>
      <c r="J1341" t="s">
        <v>1131</v>
      </c>
      <c r="K1341" t="s">
        <v>32</v>
      </c>
      <c r="Q1341" t="s">
        <v>1116</v>
      </c>
      <c r="R1341" t="s">
        <v>1116</v>
      </c>
      <c r="S1341" s="83">
        <v>4</v>
      </c>
    </row>
    <row r="1342" spans="1:19" x14ac:dyDescent="0.25">
      <c r="A1342" t="s">
        <v>1114</v>
      </c>
      <c r="B1342" t="s">
        <v>1110</v>
      </c>
      <c r="C1342">
        <v>2</v>
      </c>
      <c r="D1342" t="s">
        <v>109</v>
      </c>
      <c r="E1342" t="s">
        <v>1213</v>
      </c>
      <c r="F1342" s="5" t="s">
        <v>26</v>
      </c>
      <c r="G1342" s="19">
        <v>10</v>
      </c>
      <c r="H1342" s="19">
        <v>20</v>
      </c>
      <c r="I1342" t="b">
        <v>0</v>
      </c>
      <c r="J1342" t="s">
        <v>1132</v>
      </c>
      <c r="K1342" t="s">
        <v>32</v>
      </c>
      <c r="Q1342" t="s">
        <v>1116</v>
      </c>
      <c r="R1342" t="s">
        <v>1116</v>
      </c>
      <c r="S1342" s="83">
        <v>3</v>
      </c>
    </row>
    <row r="1343" spans="1:19" x14ac:dyDescent="0.25">
      <c r="A1343" t="s">
        <v>1114</v>
      </c>
      <c r="B1343" t="s">
        <v>1110</v>
      </c>
      <c r="C1343">
        <v>3</v>
      </c>
      <c r="D1343" t="s">
        <v>11</v>
      </c>
      <c r="E1343" t="s">
        <v>1133</v>
      </c>
      <c r="F1343" s="5" t="s">
        <v>25</v>
      </c>
      <c r="G1343" s="19">
        <v>30</v>
      </c>
      <c r="H1343" s="19">
        <v>35</v>
      </c>
      <c r="I1343" t="b">
        <v>1</v>
      </c>
      <c r="J1343" t="s">
        <v>0</v>
      </c>
      <c r="K1343" t="s">
        <v>32</v>
      </c>
      <c r="Q1343" t="s">
        <v>1116</v>
      </c>
      <c r="R1343" t="s">
        <v>1116</v>
      </c>
      <c r="S1343" s="83">
        <v>1</v>
      </c>
    </row>
    <row r="1344" spans="1:19" x14ac:dyDescent="0.25">
      <c r="A1344" t="s">
        <v>1114</v>
      </c>
      <c r="B1344" t="s">
        <v>1110</v>
      </c>
      <c r="C1344">
        <v>3</v>
      </c>
      <c r="D1344" t="s">
        <v>13</v>
      </c>
      <c r="E1344" t="s">
        <v>1134</v>
      </c>
      <c r="F1344" s="5" t="s">
        <v>25</v>
      </c>
      <c r="G1344" s="19">
        <v>11</v>
      </c>
      <c r="H1344" s="19">
        <v>16</v>
      </c>
      <c r="I1344" t="b">
        <v>1</v>
      </c>
      <c r="J1344" t="s">
        <v>10</v>
      </c>
      <c r="K1344" t="s">
        <v>32</v>
      </c>
      <c r="Q1344" t="s">
        <v>1116</v>
      </c>
      <c r="R1344" t="s">
        <v>1116</v>
      </c>
      <c r="S1344" s="6">
        <v>2</v>
      </c>
    </row>
    <row r="1345" spans="1:19" x14ac:dyDescent="0.25">
      <c r="A1345" t="s">
        <v>1114</v>
      </c>
      <c r="B1345" t="s">
        <v>1110</v>
      </c>
      <c r="C1345">
        <v>3</v>
      </c>
      <c r="D1345" t="s">
        <v>1118</v>
      </c>
      <c r="E1345" t="s">
        <v>1135</v>
      </c>
      <c r="F1345" s="5" t="s">
        <v>27</v>
      </c>
      <c r="G1345" s="19">
        <v>40</v>
      </c>
      <c r="H1345" s="19">
        <v>45</v>
      </c>
      <c r="I1345" t="b">
        <v>0</v>
      </c>
      <c r="J1345" t="s">
        <v>1119</v>
      </c>
      <c r="K1345" t="s">
        <v>32</v>
      </c>
      <c r="Q1345" t="s">
        <v>1116</v>
      </c>
      <c r="R1345" t="s">
        <v>1116</v>
      </c>
      <c r="S1345" s="83">
        <v>7</v>
      </c>
    </row>
    <row r="1346" spans="1:19" x14ac:dyDescent="0.25">
      <c r="A1346" t="s">
        <v>1114</v>
      </c>
      <c r="B1346" t="s">
        <v>1110</v>
      </c>
      <c r="C1346">
        <v>3</v>
      </c>
      <c r="D1346" t="s">
        <v>29</v>
      </c>
      <c r="E1346" t="s">
        <v>1112</v>
      </c>
      <c r="F1346" s="5" t="s">
        <v>25</v>
      </c>
      <c r="G1346" s="19">
        <v>1</v>
      </c>
      <c r="H1346" s="19">
        <v>4</v>
      </c>
      <c r="I1346" t="b">
        <v>1</v>
      </c>
      <c r="J1346" t="s">
        <v>1121</v>
      </c>
      <c r="K1346" t="s">
        <v>32</v>
      </c>
      <c r="Q1346" t="s">
        <v>1116</v>
      </c>
      <c r="R1346" t="s">
        <v>1116</v>
      </c>
      <c r="S1346" s="6">
        <v>6</v>
      </c>
    </row>
    <row r="1347" spans="1:19" x14ac:dyDescent="0.25">
      <c r="A1347" t="s">
        <v>1114</v>
      </c>
      <c r="B1347" t="s">
        <v>1110</v>
      </c>
      <c r="C1347">
        <v>3</v>
      </c>
      <c r="D1347" t="s">
        <v>1122</v>
      </c>
      <c r="E1347" t="s">
        <v>1113</v>
      </c>
      <c r="F1347" s="5" t="s">
        <v>25</v>
      </c>
      <c r="G1347" s="19">
        <v>0</v>
      </c>
      <c r="H1347" s="19">
        <v>3</v>
      </c>
      <c r="I1347" t="b">
        <v>1</v>
      </c>
      <c r="J1347" t="s">
        <v>1124</v>
      </c>
      <c r="K1347" t="s">
        <v>32</v>
      </c>
      <c r="Q1347" t="s">
        <v>1116</v>
      </c>
      <c r="R1347" t="s">
        <v>1116</v>
      </c>
      <c r="S1347" s="6">
        <v>8</v>
      </c>
    </row>
    <row r="1348" spans="1:19" x14ac:dyDescent="0.25">
      <c r="A1348" t="s">
        <v>1114</v>
      </c>
      <c r="B1348" t="s">
        <v>1110</v>
      </c>
      <c r="C1348">
        <v>3</v>
      </c>
      <c r="D1348" t="s">
        <v>1125</v>
      </c>
      <c r="E1348" t="s">
        <v>1214</v>
      </c>
      <c r="F1348" s="5" t="s">
        <v>26</v>
      </c>
      <c r="G1348" s="19">
        <v>4</v>
      </c>
      <c r="H1348" s="19">
        <v>10</v>
      </c>
      <c r="I1348" t="b">
        <v>0</v>
      </c>
      <c r="J1348" t="s">
        <v>1126</v>
      </c>
      <c r="K1348" t="s">
        <v>32</v>
      </c>
      <c r="Q1348" t="s">
        <v>1116</v>
      </c>
      <c r="R1348" t="s">
        <v>1116</v>
      </c>
      <c r="S1348" s="6">
        <v>5</v>
      </c>
    </row>
    <row r="1349" spans="1:19" x14ac:dyDescent="0.25">
      <c r="A1349" t="s">
        <v>1114</v>
      </c>
      <c r="B1349" t="s">
        <v>1110</v>
      </c>
      <c r="C1349">
        <v>3</v>
      </c>
      <c r="D1349" t="s">
        <v>144</v>
      </c>
      <c r="E1349" t="s">
        <v>1113</v>
      </c>
      <c r="F1349" s="5" t="s">
        <v>25</v>
      </c>
      <c r="G1349" s="19">
        <v>0</v>
      </c>
      <c r="H1349" s="19">
        <v>3</v>
      </c>
      <c r="I1349" t="b">
        <v>1</v>
      </c>
      <c r="J1349" t="s">
        <v>1128</v>
      </c>
      <c r="K1349" t="s">
        <v>32</v>
      </c>
      <c r="Q1349" t="s">
        <v>1116</v>
      </c>
      <c r="R1349" t="s">
        <v>1116</v>
      </c>
      <c r="S1349" s="83">
        <v>9</v>
      </c>
    </row>
    <row r="1350" spans="1:19" x14ac:dyDescent="0.25">
      <c r="A1350" t="s">
        <v>1114</v>
      </c>
      <c r="B1350" t="s">
        <v>1110</v>
      </c>
      <c r="C1350">
        <v>3</v>
      </c>
      <c r="D1350" t="s">
        <v>1129</v>
      </c>
      <c r="E1350" t="s">
        <v>1213</v>
      </c>
      <c r="F1350" s="5" t="s">
        <v>26</v>
      </c>
      <c r="G1350" s="19">
        <v>10</v>
      </c>
      <c r="H1350" s="19">
        <v>20</v>
      </c>
      <c r="I1350" t="b">
        <v>0</v>
      </c>
      <c r="J1350" t="s">
        <v>1131</v>
      </c>
      <c r="K1350" t="s">
        <v>32</v>
      </c>
      <c r="Q1350" t="s">
        <v>1116</v>
      </c>
      <c r="R1350" t="s">
        <v>1116</v>
      </c>
      <c r="S1350" s="83">
        <v>4</v>
      </c>
    </row>
    <row r="1351" spans="1:19" x14ac:dyDescent="0.25">
      <c r="A1351" t="s">
        <v>1114</v>
      </c>
      <c r="B1351" t="s">
        <v>1110</v>
      </c>
      <c r="C1351">
        <v>3</v>
      </c>
      <c r="D1351" t="s">
        <v>109</v>
      </c>
      <c r="E1351" t="s">
        <v>1215</v>
      </c>
      <c r="F1351" s="5" t="s">
        <v>26</v>
      </c>
      <c r="G1351" s="19">
        <v>20</v>
      </c>
      <c r="H1351" s="19">
        <v>30</v>
      </c>
      <c r="I1351" t="b">
        <v>0</v>
      </c>
      <c r="J1351" t="s">
        <v>1132</v>
      </c>
      <c r="K1351" t="s">
        <v>32</v>
      </c>
      <c r="Q1351" t="s">
        <v>1116</v>
      </c>
      <c r="R1351" t="s">
        <v>1116</v>
      </c>
      <c r="S1351" s="83">
        <v>3</v>
      </c>
    </row>
    <row r="1352" spans="1:19" x14ac:dyDescent="0.25">
      <c r="A1352" t="s">
        <v>1114</v>
      </c>
      <c r="B1352" t="s">
        <v>1110</v>
      </c>
      <c r="C1352">
        <v>4</v>
      </c>
      <c r="D1352" t="s">
        <v>11</v>
      </c>
      <c r="E1352" t="s">
        <v>1136</v>
      </c>
      <c r="F1352" s="5" t="s">
        <v>25</v>
      </c>
      <c r="G1352" s="19">
        <v>20</v>
      </c>
      <c r="H1352" s="19">
        <v>25</v>
      </c>
      <c r="I1352" t="b">
        <v>1</v>
      </c>
      <c r="J1352" t="s">
        <v>0</v>
      </c>
      <c r="K1352" t="s">
        <v>32</v>
      </c>
      <c r="Q1352" t="s">
        <v>1116</v>
      </c>
      <c r="R1352" t="s">
        <v>1116</v>
      </c>
      <c r="S1352" s="83">
        <v>1</v>
      </c>
    </row>
    <row r="1353" spans="1:19" x14ac:dyDescent="0.25">
      <c r="A1353" t="s">
        <v>1114</v>
      </c>
      <c r="B1353" t="s">
        <v>1110</v>
      </c>
      <c r="C1353">
        <v>4</v>
      </c>
      <c r="D1353" t="s">
        <v>13</v>
      </c>
      <c r="E1353" t="s">
        <v>1137</v>
      </c>
      <c r="F1353" s="5" t="s">
        <v>25</v>
      </c>
      <c r="G1353" s="19">
        <v>6</v>
      </c>
      <c r="H1353" s="19">
        <v>11</v>
      </c>
      <c r="I1353" t="b">
        <v>1</v>
      </c>
      <c r="J1353" t="s">
        <v>10</v>
      </c>
      <c r="K1353" t="s">
        <v>32</v>
      </c>
      <c r="Q1353" t="s">
        <v>1116</v>
      </c>
      <c r="R1353" t="s">
        <v>1116</v>
      </c>
      <c r="S1353" s="6">
        <v>2</v>
      </c>
    </row>
    <row r="1354" spans="1:19" x14ac:dyDescent="0.25">
      <c r="A1354" t="s">
        <v>1114</v>
      </c>
      <c r="B1354" t="s">
        <v>1110</v>
      </c>
      <c r="C1354">
        <v>4</v>
      </c>
      <c r="D1354" t="s">
        <v>1125</v>
      </c>
      <c r="E1354" t="s">
        <v>1216</v>
      </c>
      <c r="F1354" s="5" t="s">
        <v>26</v>
      </c>
      <c r="G1354" s="19">
        <v>15</v>
      </c>
      <c r="H1354" s="19">
        <v>25</v>
      </c>
      <c r="I1354" t="b">
        <v>0</v>
      </c>
      <c r="J1354" t="s">
        <v>1126</v>
      </c>
      <c r="K1354" t="s">
        <v>32</v>
      </c>
      <c r="Q1354" t="s">
        <v>1116</v>
      </c>
      <c r="R1354" t="s">
        <v>1116</v>
      </c>
      <c r="S1354" s="6">
        <v>5</v>
      </c>
    </row>
    <row r="1355" spans="1:19" x14ac:dyDescent="0.25">
      <c r="A1355" t="s">
        <v>1114</v>
      </c>
      <c r="B1355" t="s">
        <v>1110</v>
      </c>
      <c r="C1355">
        <v>4</v>
      </c>
      <c r="D1355" t="s">
        <v>1118</v>
      </c>
      <c r="E1355" t="s">
        <v>1217</v>
      </c>
      <c r="F1355" s="5" t="s">
        <v>26</v>
      </c>
      <c r="G1355" s="19">
        <v>45</v>
      </c>
      <c r="H1355" s="19">
        <v>55</v>
      </c>
      <c r="I1355" t="b">
        <v>0</v>
      </c>
      <c r="J1355" t="s">
        <v>1119</v>
      </c>
      <c r="K1355" t="s">
        <v>32</v>
      </c>
      <c r="L1355" t="s">
        <v>716</v>
      </c>
      <c r="M1355" t="s">
        <v>1138</v>
      </c>
      <c r="Q1355" t="s">
        <v>1116</v>
      </c>
      <c r="R1355" t="s">
        <v>1116</v>
      </c>
      <c r="S1355" s="83">
        <v>7</v>
      </c>
    </row>
    <row r="1356" spans="1:19" x14ac:dyDescent="0.25">
      <c r="A1356" t="s">
        <v>1114</v>
      </c>
      <c r="B1356" t="s">
        <v>1110</v>
      </c>
      <c r="C1356">
        <v>4</v>
      </c>
      <c r="D1356" t="s">
        <v>29</v>
      </c>
      <c r="E1356" t="s">
        <v>1111</v>
      </c>
      <c r="F1356" s="5" t="s">
        <v>25</v>
      </c>
      <c r="G1356" s="19">
        <v>0</v>
      </c>
      <c r="H1356" s="19">
        <v>1</v>
      </c>
      <c r="I1356" t="b">
        <v>1</v>
      </c>
      <c r="J1356" t="s">
        <v>1121</v>
      </c>
      <c r="K1356" t="s">
        <v>32</v>
      </c>
      <c r="L1356" t="s">
        <v>716</v>
      </c>
      <c r="M1356" t="s">
        <v>1138</v>
      </c>
      <c r="Q1356" t="s">
        <v>1116</v>
      </c>
      <c r="R1356" t="s">
        <v>1116</v>
      </c>
      <c r="S1356" s="6">
        <v>6</v>
      </c>
    </row>
    <row r="1357" spans="1:19" x14ac:dyDescent="0.25">
      <c r="A1357" t="s">
        <v>1114</v>
      </c>
      <c r="B1357" t="s">
        <v>1110</v>
      </c>
      <c r="C1357">
        <v>4</v>
      </c>
      <c r="D1357" t="s">
        <v>1129</v>
      </c>
      <c r="E1357" t="s">
        <v>1215</v>
      </c>
      <c r="F1357" s="5" t="s">
        <v>26</v>
      </c>
      <c r="G1357" s="19">
        <v>20</v>
      </c>
      <c r="H1357" s="19">
        <v>30</v>
      </c>
      <c r="I1357" t="b">
        <v>0</v>
      </c>
      <c r="J1357" t="s">
        <v>1131</v>
      </c>
      <c r="K1357" t="s">
        <v>32</v>
      </c>
      <c r="L1357" t="s">
        <v>716</v>
      </c>
      <c r="M1357" t="s">
        <v>1138</v>
      </c>
      <c r="Q1357" t="s">
        <v>1116</v>
      </c>
      <c r="R1357" t="s">
        <v>1116</v>
      </c>
      <c r="S1357" s="83">
        <v>4</v>
      </c>
    </row>
    <row r="1358" spans="1:19" x14ac:dyDescent="0.25">
      <c r="A1358" t="s">
        <v>1114</v>
      </c>
      <c r="B1358" t="s">
        <v>1110</v>
      </c>
      <c r="C1358">
        <v>4</v>
      </c>
      <c r="D1358" t="s">
        <v>109</v>
      </c>
      <c r="E1358" t="s">
        <v>1211</v>
      </c>
      <c r="F1358" s="5" t="s">
        <v>26</v>
      </c>
      <c r="G1358" s="19">
        <v>30</v>
      </c>
      <c r="H1358" s="19">
        <v>40</v>
      </c>
      <c r="I1358" t="b">
        <v>0</v>
      </c>
      <c r="J1358" t="s">
        <v>1132</v>
      </c>
      <c r="K1358" t="s">
        <v>32</v>
      </c>
      <c r="L1358" t="s">
        <v>716</v>
      </c>
      <c r="M1358" t="s">
        <v>1138</v>
      </c>
      <c r="Q1358" t="s">
        <v>1116</v>
      </c>
      <c r="R1358" t="s">
        <v>1116</v>
      </c>
      <c r="S1358" s="83">
        <v>3</v>
      </c>
    </row>
    <row r="1359" spans="1:19" x14ac:dyDescent="0.25">
      <c r="A1359" t="s">
        <v>1114</v>
      </c>
      <c r="B1359" t="s">
        <v>1110</v>
      </c>
      <c r="C1359">
        <v>5</v>
      </c>
      <c r="D1359" t="s">
        <v>11</v>
      </c>
      <c r="E1359" t="s">
        <v>524</v>
      </c>
      <c r="F1359" s="5" t="s">
        <v>24</v>
      </c>
      <c r="G1359" s="19">
        <v>10</v>
      </c>
      <c r="H1359" s="19">
        <v>20</v>
      </c>
      <c r="I1359" t="b">
        <v>1</v>
      </c>
      <c r="J1359" t="s">
        <v>0</v>
      </c>
      <c r="K1359" t="s">
        <v>32</v>
      </c>
      <c r="L1359" t="s">
        <v>716</v>
      </c>
      <c r="M1359" t="s">
        <v>1138</v>
      </c>
      <c r="Q1359" t="s">
        <v>1116</v>
      </c>
      <c r="R1359" t="s">
        <v>1116</v>
      </c>
      <c r="S1359" s="83">
        <v>1</v>
      </c>
    </row>
    <row r="1360" spans="1:19" x14ac:dyDescent="0.25">
      <c r="A1360" t="s">
        <v>1114</v>
      </c>
      <c r="B1360" t="s">
        <v>1110</v>
      </c>
      <c r="C1360">
        <v>5</v>
      </c>
      <c r="D1360" t="s">
        <v>13</v>
      </c>
      <c r="E1360" t="s">
        <v>1139</v>
      </c>
      <c r="F1360" s="5" t="s">
        <v>25</v>
      </c>
      <c r="G1360" s="19">
        <v>0</v>
      </c>
      <c r="H1360" s="19">
        <v>5</v>
      </c>
      <c r="I1360" t="b">
        <v>1</v>
      </c>
      <c r="J1360" t="s">
        <v>10</v>
      </c>
      <c r="K1360" t="s">
        <v>32</v>
      </c>
      <c r="L1360" t="s">
        <v>716</v>
      </c>
      <c r="M1360" t="s">
        <v>1138</v>
      </c>
      <c r="Q1360" t="s">
        <v>1116</v>
      </c>
      <c r="R1360" t="s">
        <v>1116</v>
      </c>
      <c r="S1360" s="6">
        <v>2</v>
      </c>
    </row>
    <row r="1361" spans="1:19" x14ac:dyDescent="0.25">
      <c r="A1361" t="s">
        <v>1114</v>
      </c>
      <c r="B1361" t="s">
        <v>1110</v>
      </c>
      <c r="C1361">
        <v>5</v>
      </c>
      <c r="D1361" t="s">
        <v>1125</v>
      </c>
      <c r="E1361" t="s">
        <v>1218</v>
      </c>
      <c r="F1361" s="5" t="s">
        <v>26</v>
      </c>
      <c r="G1361" s="19">
        <v>25</v>
      </c>
      <c r="H1361" s="19">
        <v>35</v>
      </c>
      <c r="I1361" t="b">
        <v>0</v>
      </c>
      <c r="J1361" t="s">
        <v>1126</v>
      </c>
      <c r="K1361" t="s">
        <v>32</v>
      </c>
      <c r="L1361" t="s">
        <v>716</v>
      </c>
      <c r="M1361" t="s">
        <v>1138</v>
      </c>
      <c r="Q1361" t="s">
        <v>1116</v>
      </c>
      <c r="R1361" t="s">
        <v>1116</v>
      </c>
      <c r="S1361" s="6">
        <v>5</v>
      </c>
    </row>
    <row r="1362" spans="1:19" x14ac:dyDescent="0.25">
      <c r="A1362" t="s">
        <v>1114</v>
      </c>
      <c r="B1362" t="s">
        <v>1110</v>
      </c>
      <c r="C1362">
        <v>5</v>
      </c>
      <c r="D1362" t="s">
        <v>1129</v>
      </c>
      <c r="E1362" t="s">
        <v>1140</v>
      </c>
      <c r="F1362" s="5" t="s">
        <v>27</v>
      </c>
      <c r="G1362" s="19">
        <v>35</v>
      </c>
      <c r="H1362" s="19">
        <v>40</v>
      </c>
      <c r="I1362" t="b">
        <v>0</v>
      </c>
      <c r="J1362" t="s">
        <v>1131</v>
      </c>
      <c r="K1362" t="s">
        <v>32</v>
      </c>
      <c r="L1362" t="s">
        <v>716</v>
      </c>
      <c r="M1362" t="s">
        <v>1138</v>
      </c>
      <c r="Q1362" t="s">
        <v>1116</v>
      </c>
      <c r="R1362" t="s">
        <v>1116</v>
      </c>
      <c r="S1362" s="83">
        <v>4</v>
      </c>
    </row>
    <row r="1363" spans="1:19" x14ac:dyDescent="0.25">
      <c r="A1363" t="s">
        <v>1114</v>
      </c>
      <c r="B1363" t="s">
        <v>1110</v>
      </c>
      <c r="C1363">
        <v>5</v>
      </c>
      <c r="D1363" t="s">
        <v>109</v>
      </c>
      <c r="E1363" t="s">
        <v>1217</v>
      </c>
      <c r="F1363" s="5" t="s">
        <v>26</v>
      </c>
      <c r="G1363" s="19">
        <v>45</v>
      </c>
      <c r="H1363" s="19">
        <v>55</v>
      </c>
      <c r="I1363" t="b">
        <v>0</v>
      </c>
      <c r="J1363" t="s">
        <v>1132</v>
      </c>
      <c r="K1363" t="s">
        <v>32</v>
      </c>
      <c r="L1363" t="s">
        <v>716</v>
      </c>
      <c r="M1363" t="s">
        <v>1138</v>
      </c>
      <c r="Q1363" t="s">
        <v>1116</v>
      </c>
      <c r="R1363" t="s">
        <v>1116</v>
      </c>
      <c r="S1363" s="83">
        <v>3</v>
      </c>
    </row>
    <row r="1364" spans="1:19" x14ac:dyDescent="0.25">
      <c r="A1364" t="s">
        <v>1114</v>
      </c>
      <c r="B1364" t="s">
        <v>1141</v>
      </c>
      <c r="C1364">
        <v>2</v>
      </c>
      <c r="D1364" t="s">
        <v>11</v>
      </c>
      <c r="E1364" t="s">
        <v>541</v>
      </c>
      <c r="F1364" s="5" t="s">
        <v>24</v>
      </c>
      <c r="G1364" s="19">
        <v>35</v>
      </c>
      <c r="H1364" s="19">
        <v>45</v>
      </c>
      <c r="I1364" t="b">
        <v>1</v>
      </c>
      <c r="J1364" t="s">
        <v>0</v>
      </c>
      <c r="K1364" t="s">
        <v>32</v>
      </c>
      <c r="Q1364" t="s">
        <v>1116</v>
      </c>
      <c r="R1364" t="s">
        <v>1116</v>
      </c>
      <c r="S1364" s="83">
        <v>1</v>
      </c>
    </row>
    <row r="1365" spans="1:19" x14ac:dyDescent="0.25">
      <c r="A1365" t="s">
        <v>1114</v>
      </c>
      <c r="B1365" t="s">
        <v>1141</v>
      </c>
      <c r="C1365">
        <v>2</v>
      </c>
      <c r="D1365" t="s">
        <v>13</v>
      </c>
      <c r="E1365" t="s">
        <v>1117</v>
      </c>
      <c r="F1365" s="5" t="s">
        <v>25</v>
      </c>
      <c r="G1365" s="19">
        <v>16</v>
      </c>
      <c r="H1365" s="19">
        <v>21</v>
      </c>
      <c r="I1365" t="b">
        <v>1</v>
      </c>
      <c r="J1365" t="s">
        <v>10</v>
      </c>
      <c r="K1365" t="s">
        <v>32</v>
      </c>
      <c r="Q1365" t="s">
        <v>1116</v>
      </c>
      <c r="R1365" t="s">
        <v>1116</v>
      </c>
      <c r="S1365" s="6">
        <v>2</v>
      </c>
    </row>
    <row r="1366" spans="1:19" x14ac:dyDescent="0.25">
      <c r="A1366" t="s">
        <v>1114</v>
      </c>
      <c r="B1366" t="s">
        <v>1141</v>
      </c>
      <c r="C1366">
        <v>2</v>
      </c>
      <c r="D1366" t="s">
        <v>1118</v>
      </c>
      <c r="E1366" t="s">
        <v>1211</v>
      </c>
      <c r="F1366" s="5" t="s">
        <v>26</v>
      </c>
      <c r="G1366" s="19">
        <v>30</v>
      </c>
      <c r="H1366" s="19">
        <v>40</v>
      </c>
      <c r="I1366" t="b">
        <v>0</v>
      </c>
      <c r="J1366" t="s">
        <v>1119</v>
      </c>
      <c r="K1366" t="s">
        <v>32</v>
      </c>
      <c r="Q1366" t="s">
        <v>1116</v>
      </c>
      <c r="R1366" t="s">
        <v>1116</v>
      </c>
      <c r="S1366" s="83">
        <v>7</v>
      </c>
    </row>
    <row r="1367" spans="1:19" x14ac:dyDescent="0.25">
      <c r="A1367" t="s">
        <v>1114</v>
      </c>
      <c r="B1367" t="s">
        <v>1141</v>
      </c>
      <c r="C1367">
        <v>2</v>
      </c>
      <c r="D1367" t="s">
        <v>29</v>
      </c>
      <c r="E1367" t="s">
        <v>1120</v>
      </c>
      <c r="F1367" s="5" t="s">
        <v>25</v>
      </c>
      <c r="G1367" s="19">
        <v>4</v>
      </c>
      <c r="H1367" s="19">
        <v>9</v>
      </c>
      <c r="I1367" t="b">
        <v>1</v>
      </c>
      <c r="J1367" t="s">
        <v>1121</v>
      </c>
      <c r="K1367" t="s">
        <v>32</v>
      </c>
      <c r="Q1367" t="s">
        <v>1116</v>
      </c>
      <c r="R1367" t="s">
        <v>1116</v>
      </c>
      <c r="S1367" s="6">
        <v>6</v>
      </c>
    </row>
    <row r="1368" spans="1:19" x14ac:dyDescent="0.25">
      <c r="A1368" t="s">
        <v>1114</v>
      </c>
      <c r="B1368" t="s">
        <v>1141</v>
      </c>
      <c r="C1368">
        <v>2</v>
      </c>
      <c r="D1368" t="s">
        <v>1122</v>
      </c>
      <c r="E1368" t="s">
        <v>1123</v>
      </c>
      <c r="F1368" s="5" t="s">
        <v>25</v>
      </c>
      <c r="G1368" s="19">
        <v>5</v>
      </c>
      <c r="H1368" s="19">
        <v>10</v>
      </c>
      <c r="I1368" t="b">
        <v>1</v>
      </c>
      <c r="J1368" t="s">
        <v>1124</v>
      </c>
      <c r="K1368" t="s">
        <v>32</v>
      </c>
      <c r="Q1368" t="s">
        <v>1116</v>
      </c>
      <c r="R1368" t="s">
        <v>1116</v>
      </c>
      <c r="S1368" s="6">
        <v>8</v>
      </c>
    </row>
    <row r="1369" spans="1:19" x14ac:dyDescent="0.25">
      <c r="A1369" t="s">
        <v>1114</v>
      </c>
      <c r="B1369" t="s">
        <v>1141</v>
      </c>
      <c r="C1369">
        <v>2</v>
      </c>
      <c r="D1369" t="s">
        <v>1125</v>
      </c>
      <c r="E1369" t="s">
        <v>1212</v>
      </c>
      <c r="F1369" s="5" t="s">
        <v>26</v>
      </c>
      <c r="G1369" s="19">
        <v>0</v>
      </c>
      <c r="H1369" s="19">
        <v>4</v>
      </c>
      <c r="I1369" t="b">
        <v>0</v>
      </c>
      <c r="J1369" t="s">
        <v>1126</v>
      </c>
      <c r="K1369" t="s">
        <v>32</v>
      </c>
      <c r="Q1369" t="s">
        <v>1116</v>
      </c>
      <c r="R1369" t="s">
        <v>1116</v>
      </c>
      <c r="S1369" s="6">
        <v>5</v>
      </c>
    </row>
    <row r="1370" spans="1:19" x14ac:dyDescent="0.25">
      <c r="A1370" t="s">
        <v>1114</v>
      </c>
      <c r="B1370" t="s">
        <v>1141</v>
      </c>
      <c r="C1370">
        <v>2</v>
      </c>
      <c r="D1370" t="s">
        <v>144</v>
      </c>
      <c r="E1370" t="s">
        <v>1127</v>
      </c>
      <c r="F1370" s="5" t="s">
        <v>25</v>
      </c>
      <c r="G1370" s="19">
        <v>3</v>
      </c>
      <c r="H1370" s="19">
        <v>6</v>
      </c>
      <c r="I1370" t="b">
        <v>1</v>
      </c>
      <c r="J1370" t="s">
        <v>1128</v>
      </c>
      <c r="K1370" t="s">
        <v>32</v>
      </c>
      <c r="Q1370" t="s">
        <v>1116</v>
      </c>
      <c r="R1370" t="s">
        <v>1116</v>
      </c>
      <c r="S1370" s="83">
        <v>9</v>
      </c>
    </row>
    <row r="1371" spans="1:19" x14ac:dyDescent="0.25">
      <c r="A1371" t="s">
        <v>1114</v>
      </c>
      <c r="B1371" t="s">
        <v>1141</v>
      </c>
      <c r="C1371">
        <v>2</v>
      </c>
      <c r="D1371" t="s">
        <v>1129</v>
      </c>
      <c r="E1371" t="s">
        <v>1130</v>
      </c>
      <c r="F1371" s="5" t="s">
        <v>27</v>
      </c>
      <c r="G1371" s="19">
        <v>5</v>
      </c>
      <c r="H1371" s="19">
        <v>10</v>
      </c>
      <c r="I1371" t="b">
        <v>0</v>
      </c>
      <c r="J1371" t="s">
        <v>1131</v>
      </c>
      <c r="K1371" t="s">
        <v>32</v>
      </c>
      <c r="Q1371" t="s">
        <v>1116</v>
      </c>
      <c r="R1371" t="s">
        <v>1116</v>
      </c>
      <c r="S1371" s="83">
        <v>4</v>
      </c>
    </row>
    <row r="1372" spans="1:19" x14ac:dyDescent="0.25">
      <c r="A1372" t="s">
        <v>1114</v>
      </c>
      <c r="B1372" t="s">
        <v>1141</v>
      </c>
      <c r="C1372">
        <v>2</v>
      </c>
      <c r="D1372" t="s">
        <v>109</v>
      </c>
      <c r="E1372" t="s">
        <v>1213</v>
      </c>
      <c r="F1372" s="5" t="s">
        <v>26</v>
      </c>
      <c r="G1372" s="19">
        <v>10</v>
      </c>
      <c r="H1372" s="19">
        <v>20</v>
      </c>
      <c r="I1372" t="b">
        <v>0</v>
      </c>
      <c r="J1372" t="s">
        <v>1132</v>
      </c>
      <c r="K1372" t="s">
        <v>32</v>
      </c>
      <c r="Q1372" t="s">
        <v>1116</v>
      </c>
      <c r="R1372" t="s">
        <v>1116</v>
      </c>
      <c r="S1372" s="83">
        <v>3</v>
      </c>
    </row>
    <row r="1373" spans="1:19" x14ac:dyDescent="0.25">
      <c r="A1373" t="s">
        <v>1114</v>
      </c>
      <c r="B1373" t="s">
        <v>1141</v>
      </c>
      <c r="C1373">
        <v>3</v>
      </c>
      <c r="D1373" t="s">
        <v>11</v>
      </c>
      <c r="E1373" t="s">
        <v>1133</v>
      </c>
      <c r="F1373" s="5" t="s">
        <v>25</v>
      </c>
      <c r="G1373" s="19">
        <v>30</v>
      </c>
      <c r="H1373" s="19">
        <v>35</v>
      </c>
      <c r="I1373" t="b">
        <v>1</v>
      </c>
      <c r="J1373" t="s">
        <v>0</v>
      </c>
      <c r="K1373" t="s">
        <v>32</v>
      </c>
      <c r="Q1373" t="s">
        <v>1116</v>
      </c>
      <c r="R1373" t="s">
        <v>1116</v>
      </c>
      <c r="S1373" s="83">
        <v>1</v>
      </c>
    </row>
    <row r="1374" spans="1:19" x14ac:dyDescent="0.25">
      <c r="A1374" t="s">
        <v>1114</v>
      </c>
      <c r="B1374" t="s">
        <v>1141</v>
      </c>
      <c r="C1374">
        <v>3</v>
      </c>
      <c r="D1374" t="s">
        <v>13</v>
      </c>
      <c r="E1374" t="s">
        <v>1134</v>
      </c>
      <c r="F1374" s="5" t="s">
        <v>25</v>
      </c>
      <c r="G1374" s="19">
        <v>11</v>
      </c>
      <c r="H1374" s="19">
        <v>16</v>
      </c>
      <c r="I1374" t="b">
        <v>1</v>
      </c>
      <c r="J1374" t="s">
        <v>10</v>
      </c>
      <c r="K1374" t="s">
        <v>32</v>
      </c>
      <c r="Q1374" t="s">
        <v>1116</v>
      </c>
      <c r="R1374" t="s">
        <v>1116</v>
      </c>
      <c r="S1374" s="6">
        <v>2</v>
      </c>
    </row>
    <row r="1375" spans="1:19" x14ac:dyDescent="0.25">
      <c r="A1375" t="s">
        <v>1114</v>
      </c>
      <c r="B1375" t="s">
        <v>1141</v>
      </c>
      <c r="C1375">
        <v>3</v>
      </c>
      <c r="D1375" t="s">
        <v>1118</v>
      </c>
      <c r="E1375" t="s">
        <v>1135</v>
      </c>
      <c r="F1375" s="5" t="s">
        <v>27</v>
      </c>
      <c r="G1375" s="19">
        <v>40</v>
      </c>
      <c r="H1375" s="19">
        <v>45</v>
      </c>
      <c r="I1375" t="b">
        <v>0</v>
      </c>
      <c r="J1375" t="s">
        <v>1119</v>
      </c>
      <c r="K1375" t="s">
        <v>32</v>
      </c>
      <c r="Q1375" t="s">
        <v>1116</v>
      </c>
      <c r="R1375" t="s">
        <v>1116</v>
      </c>
      <c r="S1375" s="83">
        <v>7</v>
      </c>
    </row>
    <row r="1376" spans="1:19" x14ac:dyDescent="0.25">
      <c r="A1376" t="s">
        <v>1114</v>
      </c>
      <c r="B1376" t="s">
        <v>1141</v>
      </c>
      <c r="C1376">
        <v>3</v>
      </c>
      <c r="D1376" t="s">
        <v>29</v>
      </c>
      <c r="E1376" t="s">
        <v>1112</v>
      </c>
      <c r="F1376" s="5" t="s">
        <v>25</v>
      </c>
      <c r="G1376" s="19">
        <v>1</v>
      </c>
      <c r="H1376" s="19">
        <v>4</v>
      </c>
      <c r="I1376" t="b">
        <v>1</v>
      </c>
      <c r="J1376" t="s">
        <v>1121</v>
      </c>
      <c r="K1376" t="s">
        <v>32</v>
      </c>
      <c r="Q1376" t="s">
        <v>1116</v>
      </c>
      <c r="R1376" t="s">
        <v>1116</v>
      </c>
      <c r="S1376" s="6">
        <v>6</v>
      </c>
    </row>
    <row r="1377" spans="1:19" x14ac:dyDescent="0.25">
      <c r="A1377" t="s">
        <v>1114</v>
      </c>
      <c r="B1377" t="s">
        <v>1141</v>
      </c>
      <c r="C1377">
        <v>3</v>
      </c>
      <c r="D1377" t="s">
        <v>1122</v>
      </c>
      <c r="E1377" t="s">
        <v>1113</v>
      </c>
      <c r="F1377" s="5" t="s">
        <v>25</v>
      </c>
      <c r="G1377" s="19">
        <v>0</v>
      </c>
      <c r="H1377" s="19">
        <v>3</v>
      </c>
      <c r="I1377" t="b">
        <v>1</v>
      </c>
      <c r="J1377" t="s">
        <v>1124</v>
      </c>
      <c r="K1377" t="s">
        <v>32</v>
      </c>
      <c r="Q1377" t="s">
        <v>1116</v>
      </c>
      <c r="R1377" t="s">
        <v>1116</v>
      </c>
      <c r="S1377" s="6">
        <v>8</v>
      </c>
    </row>
    <row r="1378" spans="1:19" x14ac:dyDescent="0.25">
      <c r="A1378" t="s">
        <v>1114</v>
      </c>
      <c r="B1378" t="s">
        <v>1141</v>
      </c>
      <c r="C1378">
        <v>3</v>
      </c>
      <c r="D1378" t="s">
        <v>1125</v>
      </c>
      <c r="E1378" t="s">
        <v>1214</v>
      </c>
      <c r="F1378" s="5" t="s">
        <v>26</v>
      </c>
      <c r="G1378" s="19">
        <v>4</v>
      </c>
      <c r="H1378" s="19">
        <v>10</v>
      </c>
      <c r="I1378" t="b">
        <v>0</v>
      </c>
      <c r="J1378" t="s">
        <v>1126</v>
      </c>
      <c r="K1378" t="s">
        <v>32</v>
      </c>
      <c r="Q1378" t="s">
        <v>1116</v>
      </c>
      <c r="R1378" t="s">
        <v>1116</v>
      </c>
      <c r="S1378" s="6">
        <v>5</v>
      </c>
    </row>
    <row r="1379" spans="1:19" x14ac:dyDescent="0.25">
      <c r="A1379" t="s">
        <v>1114</v>
      </c>
      <c r="B1379" t="s">
        <v>1141</v>
      </c>
      <c r="C1379">
        <v>3</v>
      </c>
      <c r="D1379" t="s">
        <v>144</v>
      </c>
      <c r="E1379" t="s">
        <v>1113</v>
      </c>
      <c r="F1379" s="5" t="s">
        <v>25</v>
      </c>
      <c r="G1379" s="19">
        <v>0</v>
      </c>
      <c r="H1379" s="19">
        <v>3</v>
      </c>
      <c r="I1379" t="b">
        <v>1</v>
      </c>
      <c r="J1379" t="s">
        <v>1128</v>
      </c>
      <c r="K1379" t="s">
        <v>32</v>
      </c>
      <c r="Q1379" t="s">
        <v>1116</v>
      </c>
      <c r="R1379" t="s">
        <v>1116</v>
      </c>
      <c r="S1379" s="83">
        <v>9</v>
      </c>
    </row>
    <row r="1380" spans="1:19" x14ac:dyDescent="0.25">
      <c r="A1380" t="s">
        <v>1114</v>
      </c>
      <c r="B1380" t="s">
        <v>1141</v>
      </c>
      <c r="C1380">
        <v>3</v>
      </c>
      <c r="D1380" t="s">
        <v>1129</v>
      </c>
      <c r="E1380" t="s">
        <v>1213</v>
      </c>
      <c r="F1380" s="5" t="s">
        <v>26</v>
      </c>
      <c r="G1380" s="19">
        <v>10</v>
      </c>
      <c r="H1380" s="19">
        <v>20</v>
      </c>
      <c r="I1380" t="b">
        <v>0</v>
      </c>
      <c r="J1380" t="s">
        <v>1131</v>
      </c>
      <c r="K1380" t="s">
        <v>32</v>
      </c>
      <c r="Q1380" t="s">
        <v>1116</v>
      </c>
      <c r="R1380" t="s">
        <v>1116</v>
      </c>
      <c r="S1380" s="83">
        <v>4</v>
      </c>
    </row>
    <row r="1381" spans="1:19" x14ac:dyDescent="0.25">
      <c r="A1381" t="s">
        <v>1114</v>
      </c>
      <c r="B1381" t="s">
        <v>1141</v>
      </c>
      <c r="C1381">
        <v>3</v>
      </c>
      <c r="D1381" t="s">
        <v>109</v>
      </c>
      <c r="E1381" t="s">
        <v>1215</v>
      </c>
      <c r="F1381" s="5" t="s">
        <v>26</v>
      </c>
      <c r="G1381" s="19">
        <v>20</v>
      </c>
      <c r="H1381" s="19">
        <v>30</v>
      </c>
      <c r="I1381" t="b">
        <v>0</v>
      </c>
      <c r="J1381" t="s">
        <v>1132</v>
      </c>
      <c r="K1381" t="s">
        <v>32</v>
      </c>
      <c r="Q1381" t="s">
        <v>1116</v>
      </c>
      <c r="R1381" t="s">
        <v>1116</v>
      </c>
      <c r="S1381" s="83">
        <v>3</v>
      </c>
    </row>
    <row r="1382" spans="1:19" x14ac:dyDescent="0.25">
      <c r="A1382" t="s">
        <v>1114</v>
      </c>
      <c r="B1382" t="s">
        <v>1141</v>
      </c>
      <c r="C1382">
        <v>4</v>
      </c>
      <c r="D1382" t="s">
        <v>11</v>
      </c>
      <c r="E1382" t="s">
        <v>1136</v>
      </c>
      <c r="F1382" s="5" t="s">
        <v>25</v>
      </c>
      <c r="G1382" s="19">
        <v>20</v>
      </c>
      <c r="H1382" s="19">
        <v>25</v>
      </c>
      <c r="I1382" t="b">
        <v>1</v>
      </c>
      <c r="J1382" t="s">
        <v>0</v>
      </c>
      <c r="K1382" t="s">
        <v>32</v>
      </c>
      <c r="Q1382" t="s">
        <v>1116</v>
      </c>
      <c r="R1382" t="s">
        <v>1116</v>
      </c>
      <c r="S1382" s="83">
        <v>1</v>
      </c>
    </row>
    <row r="1383" spans="1:19" x14ac:dyDescent="0.25">
      <c r="A1383" t="s">
        <v>1114</v>
      </c>
      <c r="B1383" t="s">
        <v>1141</v>
      </c>
      <c r="C1383">
        <v>4</v>
      </c>
      <c r="D1383" t="s">
        <v>13</v>
      </c>
      <c r="E1383" t="s">
        <v>1137</v>
      </c>
      <c r="F1383" s="5" t="s">
        <v>25</v>
      </c>
      <c r="G1383" s="19">
        <v>6</v>
      </c>
      <c r="H1383" s="19">
        <v>11</v>
      </c>
      <c r="I1383" t="b">
        <v>1</v>
      </c>
      <c r="J1383" t="s">
        <v>10</v>
      </c>
      <c r="K1383" t="s">
        <v>32</v>
      </c>
      <c r="Q1383" t="s">
        <v>1116</v>
      </c>
      <c r="R1383" t="s">
        <v>1116</v>
      </c>
      <c r="S1383" s="6">
        <v>2</v>
      </c>
    </row>
    <row r="1384" spans="1:19" x14ac:dyDescent="0.25">
      <c r="A1384" t="s">
        <v>1114</v>
      </c>
      <c r="B1384" t="s">
        <v>1141</v>
      </c>
      <c r="C1384">
        <v>4</v>
      </c>
      <c r="D1384" t="s">
        <v>1125</v>
      </c>
      <c r="E1384" t="s">
        <v>1216</v>
      </c>
      <c r="F1384" s="5" t="s">
        <v>26</v>
      </c>
      <c r="G1384" s="19">
        <v>15</v>
      </c>
      <c r="H1384" s="19">
        <v>25</v>
      </c>
      <c r="I1384" t="b">
        <v>0</v>
      </c>
      <c r="J1384" t="s">
        <v>1126</v>
      </c>
      <c r="K1384" t="s">
        <v>32</v>
      </c>
      <c r="Q1384" t="s">
        <v>1116</v>
      </c>
      <c r="R1384" t="s">
        <v>1116</v>
      </c>
      <c r="S1384" s="6">
        <v>5</v>
      </c>
    </row>
    <row r="1385" spans="1:19" x14ac:dyDescent="0.25">
      <c r="A1385" t="s">
        <v>1114</v>
      </c>
      <c r="B1385" t="s">
        <v>1141</v>
      </c>
      <c r="C1385">
        <v>4</v>
      </c>
      <c r="D1385" t="s">
        <v>1118</v>
      </c>
      <c r="E1385" t="s">
        <v>1217</v>
      </c>
      <c r="F1385" s="5" t="s">
        <v>26</v>
      </c>
      <c r="G1385" s="19">
        <v>45</v>
      </c>
      <c r="H1385" s="19">
        <v>55</v>
      </c>
      <c r="I1385" t="b">
        <v>0</v>
      </c>
      <c r="J1385" t="s">
        <v>1119</v>
      </c>
      <c r="K1385" t="s">
        <v>32</v>
      </c>
      <c r="L1385" t="s">
        <v>716</v>
      </c>
      <c r="M1385" t="s">
        <v>1138</v>
      </c>
      <c r="Q1385" t="s">
        <v>1116</v>
      </c>
      <c r="R1385" t="s">
        <v>1116</v>
      </c>
      <c r="S1385" s="83">
        <v>7</v>
      </c>
    </row>
    <row r="1386" spans="1:19" x14ac:dyDescent="0.25">
      <c r="A1386" t="s">
        <v>1114</v>
      </c>
      <c r="B1386" t="s">
        <v>1141</v>
      </c>
      <c r="C1386">
        <v>4</v>
      </c>
      <c r="D1386" t="s">
        <v>29</v>
      </c>
      <c r="E1386" t="s">
        <v>1111</v>
      </c>
      <c r="F1386" s="5" t="s">
        <v>25</v>
      </c>
      <c r="G1386" s="19">
        <v>0</v>
      </c>
      <c r="H1386" s="19">
        <v>1</v>
      </c>
      <c r="I1386" t="b">
        <v>1</v>
      </c>
      <c r="J1386" t="s">
        <v>1121</v>
      </c>
      <c r="K1386" t="s">
        <v>32</v>
      </c>
      <c r="L1386" t="s">
        <v>716</v>
      </c>
      <c r="M1386" t="s">
        <v>1138</v>
      </c>
      <c r="Q1386" t="s">
        <v>1116</v>
      </c>
      <c r="R1386" t="s">
        <v>1116</v>
      </c>
      <c r="S1386" s="6">
        <v>6</v>
      </c>
    </row>
    <row r="1387" spans="1:19" x14ac:dyDescent="0.25">
      <c r="A1387" t="s">
        <v>1114</v>
      </c>
      <c r="B1387" t="s">
        <v>1141</v>
      </c>
      <c r="C1387">
        <v>4</v>
      </c>
      <c r="D1387" t="s">
        <v>1129</v>
      </c>
      <c r="E1387" t="s">
        <v>1215</v>
      </c>
      <c r="F1387" s="5" t="s">
        <v>26</v>
      </c>
      <c r="G1387" s="19">
        <v>20</v>
      </c>
      <c r="H1387" s="19">
        <v>30</v>
      </c>
      <c r="I1387" t="b">
        <v>0</v>
      </c>
      <c r="J1387" t="s">
        <v>1131</v>
      </c>
      <c r="K1387" t="s">
        <v>32</v>
      </c>
      <c r="L1387" t="s">
        <v>716</v>
      </c>
      <c r="M1387" t="s">
        <v>1138</v>
      </c>
      <c r="Q1387" t="s">
        <v>1116</v>
      </c>
      <c r="R1387" t="s">
        <v>1116</v>
      </c>
      <c r="S1387" s="83">
        <v>4</v>
      </c>
    </row>
    <row r="1388" spans="1:19" x14ac:dyDescent="0.25">
      <c r="A1388" t="s">
        <v>1114</v>
      </c>
      <c r="B1388" t="s">
        <v>1141</v>
      </c>
      <c r="C1388">
        <v>4</v>
      </c>
      <c r="D1388" t="s">
        <v>109</v>
      </c>
      <c r="E1388" t="s">
        <v>1211</v>
      </c>
      <c r="F1388" s="5" t="s">
        <v>26</v>
      </c>
      <c r="G1388" s="19">
        <v>30</v>
      </c>
      <c r="H1388" s="19">
        <v>40</v>
      </c>
      <c r="I1388" t="b">
        <v>0</v>
      </c>
      <c r="J1388" t="s">
        <v>1132</v>
      </c>
      <c r="K1388" t="s">
        <v>32</v>
      </c>
      <c r="L1388" t="s">
        <v>716</v>
      </c>
      <c r="M1388" t="s">
        <v>1138</v>
      </c>
      <c r="Q1388" t="s">
        <v>1116</v>
      </c>
      <c r="R1388" t="s">
        <v>1116</v>
      </c>
      <c r="S1388" s="83">
        <v>3</v>
      </c>
    </row>
    <row r="1389" spans="1:19" x14ac:dyDescent="0.25">
      <c r="A1389" t="s">
        <v>1114</v>
      </c>
      <c r="B1389" t="s">
        <v>1141</v>
      </c>
      <c r="C1389">
        <v>5</v>
      </c>
      <c r="D1389" t="s">
        <v>11</v>
      </c>
      <c r="E1389" t="s">
        <v>524</v>
      </c>
      <c r="F1389" s="5" t="s">
        <v>24</v>
      </c>
      <c r="G1389" s="19">
        <v>10</v>
      </c>
      <c r="H1389" s="19">
        <v>20</v>
      </c>
      <c r="I1389" t="b">
        <v>1</v>
      </c>
      <c r="J1389" t="s">
        <v>0</v>
      </c>
      <c r="K1389" t="s">
        <v>32</v>
      </c>
      <c r="L1389" t="s">
        <v>716</v>
      </c>
      <c r="M1389" t="s">
        <v>1138</v>
      </c>
      <c r="Q1389" t="s">
        <v>1116</v>
      </c>
      <c r="R1389" t="s">
        <v>1116</v>
      </c>
      <c r="S1389" s="83">
        <v>1</v>
      </c>
    </row>
    <row r="1390" spans="1:19" x14ac:dyDescent="0.25">
      <c r="A1390" t="s">
        <v>1114</v>
      </c>
      <c r="B1390" t="s">
        <v>1141</v>
      </c>
      <c r="C1390">
        <v>5</v>
      </c>
      <c r="D1390" t="s">
        <v>13</v>
      </c>
      <c r="E1390" t="s">
        <v>1139</v>
      </c>
      <c r="F1390" s="5" t="s">
        <v>25</v>
      </c>
      <c r="G1390" s="19">
        <v>0</v>
      </c>
      <c r="H1390" s="19">
        <v>5</v>
      </c>
      <c r="I1390" t="b">
        <v>1</v>
      </c>
      <c r="J1390" t="s">
        <v>10</v>
      </c>
      <c r="K1390" t="s">
        <v>32</v>
      </c>
      <c r="L1390" t="s">
        <v>716</v>
      </c>
      <c r="M1390" t="s">
        <v>1138</v>
      </c>
      <c r="Q1390" t="s">
        <v>1116</v>
      </c>
      <c r="R1390" t="s">
        <v>1116</v>
      </c>
      <c r="S1390" s="6">
        <v>2</v>
      </c>
    </row>
    <row r="1391" spans="1:19" x14ac:dyDescent="0.25">
      <c r="A1391" t="s">
        <v>1114</v>
      </c>
      <c r="B1391" t="s">
        <v>1141</v>
      </c>
      <c r="C1391">
        <v>5</v>
      </c>
      <c r="D1391" t="s">
        <v>1125</v>
      </c>
      <c r="E1391" t="s">
        <v>1218</v>
      </c>
      <c r="F1391" s="5" t="s">
        <v>26</v>
      </c>
      <c r="G1391" s="19">
        <v>25</v>
      </c>
      <c r="H1391" s="19">
        <v>35</v>
      </c>
      <c r="I1391" t="b">
        <v>0</v>
      </c>
      <c r="J1391" t="s">
        <v>1126</v>
      </c>
      <c r="K1391" t="s">
        <v>32</v>
      </c>
      <c r="L1391" t="s">
        <v>716</v>
      </c>
      <c r="M1391" t="s">
        <v>1138</v>
      </c>
      <c r="Q1391" t="s">
        <v>1116</v>
      </c>
      <c r="R1391" t="s">
        <v>1116</v>
      </c>
      <c r="S1391" s="6">
        <v>5</v>
      </c>
    </row>
    <row r="1392" spans="1:19" x14ac:dyDescent="0.25">
      <c r="A1392" t="s">
        <v>1114</v>
      </c>
      <c r="B1392" t="s">
        <v>1141</v>
      </c>
      <c r="C1392">
        <v>5</v>
      </c>
      <c r="D1392" t="s">
        <v>1129</v>
      </c>
      <c r="E1392" t="s">
        <v>1140</v>
      </c>
      <c r="F1392" s="5" t="s">
        <v>27</v>
      </c>
      <c r="G1392" s="19">
        <v>35</v>
      </c>
      <c r="H1392" s="19">
        <v>40</v>
      </c>
      <c r="I1392" t="b">
        <v>0</v>
      </c>
      <c r="J1392" t="s">
        <v>1131</v>
      </c>
      <c r="K1392" t="s">
        <v>32</v>
      </c>
      <c r="L1392" t="s">
        <v>716</v>
      </c>
      <c r="M1392" t="s">
        <v>1138</v>
      </c>
      <c r="Q1392" t="s">
        <v>1116</v>
      </c>
      <c r="R1392" t="s">
        <v>1116</v>
      </c>
      <c r="S1392" s="83">
        <v>4</v>
      </c>
    </row>
    <row r="1393" spans="1:19" x14ac:dyDescent="0.25">
      <c r="A1393" t="s">
        <v>1114</v>
      </c>
      <c r="B1393" t="s">
        <v>1141</v>
      </c>
      <c r="C1393">
        <v>5</v>
      </c>
      <c r="D1393" t="s">
        <v>109</v>
      </c>
      <c r="E1393" t="s">
        <v>1217</v>
      </c>
      <c r="F1393" s="5" t="s">
        <v>26</v>
      </c>
      <c r="G1393" s="19">
        <v>45</v>
      </c>
      <c r="H1393" s="19">
        <v>55</v>
      </c>
      <c r="I1393" t="b">
        <v>0</v>
      </c>
      <c r="J1393" t="s">
        <v>1132</v>
      </c>
      <c r="K1393" t="s">
        <v>32</v>
      </c>
      <c r="L1393" t="s">
        <v>716</v>
      </c>
      <c r="M1393" t="s">
        <v>1138</v>
      </c>
      <c r="Q1393" t="s">
        <v>1116</v>
      </c>
      <c r="R1393" t="s">
        <v>1116</v>
      </c>
      <c r="S1393" s="83">
        <v>3</v>
      </c>
    </row>
    <row r="1394" spans="1:19" x14ac:dyDescent="0.25">
      <c r="A1394" t="s">
        <v>1114</v>
      </c>
      <c r="B1394" t="s">
        <v>1142</v>
      </c>
      <c r="C1394">
        <v>2</v>
      </c>
      <c r="D1394" t="s">
        <v>11</v>
      </c>
      <c r="E1394" t="s">
        <v>541</v>
      </c>
      <c r="F1394" s="5" t="s">
        <v>24</v>
      </c>
      <c r="G1394" s="19">
        <v>35</v>
      </c>
      <c r="H1394" s="19">
        <v>45</v>
      </c>
      <c r="I1394" t="b">
        <v>1</v>
      </c>
      <c r="J1394" t="s">
        <v>0</v>
      </c>
      <c r="K1394" t="s">
        <v>32</v>
      </c>
      <c r="Q1394" t="s">
        <v>1116</v>
      </c>
      <c r="R1394" t="s">
        <v>1116</v>
      </c>
      <c r="S1394" s="83">
        <v>1</v>
      </c>
    </row>
    <row r="1395" spans="1:19" x14ac:dyDescent="0.25">
      <c r="A1395" t="s">
        <v>1114</v>
      </c>
      <c r="B1395" t="s">
        <v>1142</v>
      </c>
      <c r="C1395">
        <v>2</v>
      </c>
      <c r="D1395" t="s">
        <v>13</v>
      </c>
      <c r="E1395" t="s">
        <v>1117</v>
      </c>
      <c r="F1395" s="5" t="s">
        <v>25</v>
      </c>
      <c r="G1395" s="19">
        <v>16</v>
      </c>
      <c r="H1395" s="19">
        <v>21</v>
      </c>
      <c r="I1395" t="b">
        <v>1</v>
      </c>
      <c r="J1395" t="s">
        <v>10</v>
      </c>
      <c r="K1395" t="s">
        <v>32</v>
      </c>
      <c r="Q1395" t="s">
        <v>1116</v>
      </c>
      <c r="R1395" t="s">
        <v>1116</v>
      </c>
      <c r="S1395" s="6">
        <v>2</v>
      </c>
    </row>
    <row r="1396" spans="1:19" x14ac:dyDescent="0.25">
      <c r="A1396" t="s">
        <v>1114</v>
      </c>
      <c r="B1396" t="s">
        <v>1142</v>
      </c>
      <c r="C1396">
        <v>2</v>
      </c>
      <c r="D1396" t="s">
        <v>1118</v>
      </c>
      <c r="E1396" t="s">
        <v>1211</v>
      </c>
      <c r="F1396" s="5" t="s">
        <v>26</v>
      </c>
      <c r="G1396" s="19">
        <v>30</v>
      </c>
      <c r="H1396" s="19">
        <v>40</v>
      </c>
      <c r="I1396" t="b">
        <v>0</v>
      </c>
      <c r="J1396" t="s">
        <v>1119</v>
      </c>
      <c r="K1396" t="s">
        <v>32</v>
      </c>
      <c r="Q1396" t="s">
        <v>1116</v>
      </c>
      <c r="R1396" t="s">
        <v>1116</v>
      </c>
      <c r="S1396" s="83">
        <v>7</v>
      </c>
    </row>
    <row r="1397" spans="1:19" x14ac:dyDescent="0.25">
      <c r="A1397" t="s">
        <v>1114</v>
      </c>
      <c r="B1397" t="s">
        <v>1142</v>
      </c>
      <c r="C1397">
        <v>2</v>
      </c>
      <c r="D1397" t="s">
        <v>29</v>
      </c>
      <c r="E1397" t="s">
        <v>1120</v>
      </c>
      <c r="F1397" s="5" t="s">
        <v>25</v>
      </c>
      <c r="G1397" s="19">
        <v>4</v>
      </c>
      <c r="H1397" s="19">
        <v>9</v>
      </c>
      <c r="I1397" t="b">
        <v>1</v>
      </c>
      <c r="J1397" t="s">
        <v>1121</v>
      </c>
      <c r="K1397" t="s">
        <v>32</v>
      </c>
      <c r="Q1397" t="s">
        <v>1116</v>
      </c>
      <c r="R1397" t="s">
        <v>1116</v>
      </c>
      <c r="S1397" s="6">
        <v>6</v>
      </c>
    </row>
    <row r="1398" spans="1:19" x14ac:dyDescent="0.25">
      <c r="A1398" t="s">
        <v>1114</v>
      </c>
      <c r="B1398" t="s">
        <v>1142</v>
      </c>
      <c r="C1398">
        <v>2</v>
      </c>
      <c r="D1398" t="s">
        <v>1122</v>
      </c>
      <c r="E1398" t="s">
        <v>1123</v>
      </c>
      <c r="F1398" s="5" t="s">
        <v>25</v>
      </c>
      <c r="G1398" s="19">
        <v>5</v>
      </c>
      <c r="H1398" s="19">
        <v>10</v>
      </c>
      <c r="I1398" t="b">
        <v>1</v>
      </c>
      <c r="J1398" t="s">
        <v>1124</v>
      </c>
      <c r="K1398" t="s">
        <v>32</v>
      </c>
      <c r="Q1398" t="s">
        <v>1116</v>
      </c>
      <c r="R1398" t="s">
        <v>1116</v>
      </c>
      <c r="S1398" s="6">
        <v>8</v>
      </c>
    </row>
    <row r="1399" spans="1:19" x14ac:dyDescent="0.25">
      <c r="A1399" t="s">
        <v>1114</v>
      </c>
      <c r="B1399" t="s">
        <v>1142</v>
      </c>
      <c r="C1399">
        <v>2</v>
      </c>
      <c r="D1399" t="s">
        <v>1125</v>
      </c>
      <c r="E1399" t="s">
        <v>1212</v>
      </c>
      <c r="F1399" s="5" t="s">
        <v>26</v>
      </c>
      <c r="G1399" s="19">
        <v>0</v>
      </c>
      <c r="H1399" s="19">
        <v>4</v>
      </c>
      <c r="I1399" t="b">
        <v>0</v>
      </c>
      <c r="J1399" t="s">
        <v>1126</v>
      </c>
      <c r="K1399" t="s">
        <v>32</v>
      </c>
      <c r="Q1399" t="s">
        <v>1116</v>
      </c>
      <c r="R1399" t="s">
        <v>1116</v>
      </c>
      <c r="S1399" s="6">
        <v>5</v>
      </c>
    </row>
    <row r="1400" spans="1:19" x14ac:dyDescent="0.25">
      <c r="A1400" t="s">
        <v>1114</v>
      </c>
      <c r="B1400" t="s">
        <v>1142</v>
      </c>
      <c r="C1400">
        <v>2</v>
      </c>
      <c r="D1400" t="s">
        <v>144</v>
      </c>
      <c r="E1400" t="s">
        <v>1127</v>
      </c>
      <c r="F1400" s="5" t="s">
        <v>25</v>
      </c>
      <c r="G1400" s="19">
        <v>3</v>
      </c>
      <c r="H1400" s="19">
        <v>6</v>
      </c>
      <c r="I1400" t="b">
        <v>1</v>
      </c>
      <c r="J1400" t="s">
        <v>1128</v>
      </c>
      <c r="K1400" t="s">
        <v>32</v>
      </c>
      <c r="Q1400" t="s">
        <v>1116</v>
      </c>
      <c r="R1400" t="s">
        <v>1116</v>
      </c>
      <c r="S1400" s="83">
        <v>9</v>
      </c>
    </row>
    <row r="1401" spans="1:19" x14ac:dyDescent="0.25">
      <c r="A1401" t="s">
        <v>1114</v>
      </c>
      <c r="B1401" t="s">
        <v>1142</v>
      </c>
      <c r="C1401">
        <v>2</v>
      </c>
      <c r="D1401" t="s">
        <v>1129</v>
      </c>
      <c r="E1401" t="s">
        <v>1130</v>
      </c>
      <c r="F1401" s="5" t="s">
        <v>27</v>
      </c>
      <c r="G1401" s="19">
        <v>5</v>
      </c>
      <c r="H1401" s="19">
        <v>10</v>
      </c>
      <c r="I1401" t="b">
        <v>0</v>
      </c>
      <c r="J1401" t="s">
        <v>1131</v>
      </c>
      <c r="K1401" t="s">
        <v>32</v>
      </c>
      <c r="Q1401" t="s">
        <v>1116</v>
      </c>
      <c r="R1401" t="s">
        <v>1116</v>
      </c>
      <c r="S1401" s="83">
        <v>4</v>
      </c>
    </row>
    <row r="1402" spans="1:19" x14ac:dyDescent="0.25">
      <c r="A1402" t="s">
        <v>1114</v>
      </c>
      <c r="B1402" t="s">
        <v>1142</v>
      </c>
      <c r="C1402">
        <v>2</v>
      </c>
      <c r="D1402" t="s">
        <v>109</v>
      </c>
      <c r="E1402" t="s">
        <v>1213</v>
      </c>
      <c r="F1402" s="5" t="s">
        <v>26</v>
      </c>
      <c r="G1402" s="19">
        <v>10</v>
      </c>
      <c r="H1402" s="19">
        <v>20</v>
      </c>
      <c r="I1402" t="b">
        <v>0</v>
      </c>
      <c r="J1402" t="s">
        <v>1132</v>
      </c>
      <c r="K1402" t="s">
        <v>32</v>
      </c>
      <c r="Q1402" t="s">
        <v>1116</v>
      </c>
      <c r="R1402" t="s">
        <v>1116</v>
      </c>
      <c r="S1402" s="83">
        <v>3</v>
      </c>
    </row>
    <row r="1403" spans="1:19" x14ac:dyDescent="0.25">
      <c r="A1403" t="s">
        <v>1114</v>
      </c>
      <c r="B1403" t="s">
        <v>1142</v>
      </c>
      <c r="C1403">
        <v>3</v>
      </c>
      <c r="D1403" t="s">
        <v>11</v>
      </c>
      <c r="E1403" t="s">
        <v>1133</v>
      </c>
      <c r="F1403" s="5" t="s">
        <v>25</v>
      </c>
      <c r="G1403" s="19">
        <v>30</v>
      </c>
      <c r="H1403" s="19">
        <v>35</v>
      </c>
      <c r="I1403" t="b">
        <v>1</v>
      </c>
      <c r="J1403" t="s">
        <v>0</v>
      </c>
      <c r="K1403" t="s">
        <v>32</v>
      </c>
      <c r="Q1403" t="s">
        <v>1116</v>
      </c>
      <c r="R1403" t="s">
        <v>1116</v>
      </c>
      <c r="S1403" s="83">
        <v>1</v>
      </c>
    </row>
    <row r="1404" spans="1:19" x14ac:dyDescent="0.25">
      <c r="A1404" t="s">
        <v>1114</v>
      </c>
      <c r="B1404" t="s">
        <v>1142</v>
      </c>
      <c r="C1404">
        <v>3</v>
      </c>
      <c r="D1404" t="s">
        <v>13</v>
      </c>
      <c r="E1404" t="s">
        <v>1134</v>
      </c>
      <c r="F1404" s="5" t="s">
        <v>25</v>
      </c>
      <c r="G1404" s="19">
        <v>11</v>
      </c>
      <c r="H1404" s="19">
        <v>16</v>
      </c>
      <c r="I1404" t="b">
        <v>1</v>
      </c>
      <c r="J1404" t="s">
        <v>10</v>
      </c>
      <c r="K1404" t="s">
        <v>32</v>
      </c>
      <c r="Q1404" t="s">
        <v>1116</v>
      </c>
      <c r="R1404" t="s">
        <v>1116</v>
      </c>
      <c r="S1404" s="6">
        <v>2</v>
      </c>
    </row>
    <row r="1405" spans="1:19" x14ac:dyDescent="0.25">
      <c r="A1405" t="s">
        <v>1114</v>
      </c>
      <c r="B1405" t="s">
        <v>1142</v>
      </c>
      <c r="C1405">
        <v>3</v>
      </c>
      <c r="D1405" t="s">
        <v>1118</v>
      </c>
      <c r="E1405" t="s">
        <v>1135</v>
      </c>
      <c r="F1405" s="5" t="s">
        <v>27</v>
      </c>
      <c r="G1405" s="19">
        <v>40</v>
      </c>
      <c r="H1405" s="19">
        <v>45</v>
      </c>
      <c r="I1405" t="b">
        <v>0</v>
      </c>
      <c r="J1405" t="s">
        <v>1119</v>
      </c>
      <c r="K1405" t="s">
        <v>32</v>
      </c>
      <c r="Q1405" t="s">
        <v>1116</v>
      </c>
      <c r="R1405" t="s">
        <v>1116</v>
      </c>
      <c r="S1405" s="83">
        <v>7</v>
      </c>
    </row>
    <row r="1406" spans="1:19" x14ac:dyDescent="0.25">
      <c r="A1406" t="s">
        <v>1114</v>
      </c>
      <c r="B1406" t="s">
        <v>1142</v>
      </c>
      <c r="C1406">
        <v>3</v>
      </c>
      <c r="D1406" t="s">
        <v>29</v>
      </c>
      <c r="E1406" t="s">
        <v>1112</v>
      </c>
      <c r="F1406" s="5" t="s">
        <v>25</v>
      </c>
      <c r="G1406" s="19">
        <v>1</v>
      </c>
      <c r="H1406" s="19">
        <v>4</v>
      </c>
      <c r="I1406" t="b">
        <v>1</v>
      </c>
      <c r="J1406" t="s">
        <v>1121</v>
      </c>
      <c r="K1406" t="s">
        <v>32</v>
      </c>
      <c r="Q1406" t="s">
        <v>1116</v>
      </c>
      <c r="R1406" t="s">
        <v>1116</v>
      </c>
      <c r="S1406" s="6">
        <v>6</v>
      </c>
    </row>
    <row r="1407" spans="1:19" x14ac:dyDescent="0.25">
      <c r="A1407" t="s">
        <v>1114</v>
      </c>
      <c r="B1407" t="s">
        <v>1142</v>
      </c>
      <c r="C1407">
        <v>3</v>
      </c>
      <c r="D1407" t="s">
        <v>1122</v>
      </c>
      <c r="E1407" t="s">
        <v>1113</v>
      </c>
      <c r="F1407" s="5" t="s">
        <v>25</v>
      </c>
      <c r="G1407" s="19">
        <v>0</v>
      </c>
      <c r="H1407" s="19">
        <v>3</v>
      </c>
      <c r="I1407" t="b">
        <v>1</v>
      </c>
      <c r="J1407" t="s">
        <v>1124</v>
      </c>
      <c r="K1407" t="s">
        <v>32</v>
      </c>
      <c r="Q1407" t="s">
        <v>1116</v>
      </c>
      <c r="R1407" t="s">
        <v>1116</v>
      </c>
      <c r="S1407" s="6">
        <v>8</v>
      </c>
    </row>
    <row r="1408" spans="1:19" x14ac:dyDescent="0.25">
      <c r="A1408" t="s">
        <v>1114</v>
      </c>
      <c r="B1408" t="s">
        <v>1142</v>
      </c>
      <c r="C1408">
        <v>3</v>
      </c>
      <c r="D1408" t="s">
        <v>1125</v>
      </c>
      <c r="E1408" t="s">
        <v>1214</v>
      </c>
      <c r="F1408" s="5" t="s">
        <v>26</v>
      </c>
      <c r="G1408" s="19">
        <v>4</v>
      </c>
      <c r="H1408" s="19">
        <v>10</v>
      </c>
      <c r="I1408" t="b">
        <v>0</v>
      </c>
      <c r="J1408" t="s">
        <v>1126</v>
      </c>
      <c r="K1408" t="s">
        <v>32</v>
      </c>
      <c r="Q1408" t="s">
        <v>1116</v>
      </c>
      <c r="R1408" t="s">
        <v>1116</v>
      </c>
      <c r="S1408" s="6">
        <v>5</v>
      </c>
    </row>
    <row r="1409" spans="1:19" x14ac:dyDescent="0.25">
      <c r="A1409" t="s">
        <v>1114</v>
      </c>
      <c r="B1409" t="s">
        <v>1142</v>
      </c>
      <c r="C1409">
        <v>3</v>
      </c>
      <c r="D1409" t="s">
        <v>144</v>
      </c>
      <c r="E1409" t="s">
        <v>1113</v>
      </c>
      <c r="F1409" s="5" t="s">
        <v>25</v>
      </c>
      <c r="G1409" s="19">
        <v>0</v>
      </c>
      <c r="H1409" s="19">
        <v>3</v>
      </c>
      <c r="I1409" t="b">
        <v>1</v>
      </c>
      <c r="J1409" t="s">
        <v>1128</v>
      </c>
      <c r="K1409" t="s">
        <v>32</v>
      </c>
      <c r="Q1409" t="s">
        <v>1116</v>
      </c>
      <c r="R1409" t="s">
        <v>1116</v>
      </c>
      <c r="S1409" s="83">
        <v>9</v>
      </c>
    </row>
    <row r="1410" spans="1:19" x14ac:dyDescent="0.25">
      <c r="A1410" t="s">
        <v>1114</v>
      </c>
      <c r="B1410" t="s">
        <v>1142</v>
      </c>
      <c r="C1410">
        <v>3</v>
      </c>
      <c r="D1410" t="s">
        <v>1129</v>
      </c>
      <c r="E1410" t="s">
        <v>1213</v>
      </c>
      <c r="F1410" s="5" t="s">
        <v>26</v>
      </c>
      <c r="G1410" s="19">
        <v>10</v>
      </c>
      <c r="H1410" s="19">
        <v>20</v>
      </c>
      <c r="I1410" t="b">
        <v>0</v>
      </c>
      <c r="J1410" t="s">
        <v>1131</v>
      </c>
      <c r="K1410" t="s">
        <v>32</v>
      </c>
      <c r="Q1410" t="s">
        <v>1116</v>
      </c>
      <c r="R1410" t="s">
        <v>1116</v>
      </c>
      <c r="S1410" s="83">
        <v>4</v>
      </c>
    </row>
    <row r="1411" spans="1:19" x14ac:dyDescent="0.25">
      <c r="A1411" t="s">
        <v>1114</v>
      </c>
      <c r="B1411" t="s">
        <v>1142</v>
      </c>
      <c r="C1411">
        <v>3</v>
      </c>
      <c r="D1411" t="s">
        <v>109</v>
      </c>
      <c r="E1411" t="s">
        <v>1215</v>
      </c>
      <c r="F1411" s="5" t="s">
        <v>26</v>
      </c>
      <c r="G1411" s="19">
        <v>20</v>
      </c>
      <c r="H1411" s="19">
        <v>30</v>
      </c>
      <c r="I1411" t="b">
        <v>0</v>
      </c>
      <c r="J1411" t="s">
        <v>1132</v>
      </c>
      <c r="K1411" t="s">
        <v>32</v>
      </c>
      <c r="Q1411" t="s">
        <v>1116</v>
      </c>
      <c r="R1411" t="s">
        <v>1116</v>
      </c>
      <c r="S1411" s="83">
        <v>3</v>
      </c>
    </row>
    <row r="1412" spans="1:19" x14ac:dyDescent="0.25">
      <c r="A1412" t="s">
        <v>1114</v>
      </c>
      <c r="B1412" t="s">
        <v>1142</v>
      </c>
      <c r="C1412">
        <v>4</v>
      </c>
      <c r="D1412" t="s">
        <v>11</v>
      </c>
      <c r="E1412" t="s">
        <v>1136</v>
      </c>
      <c r="F1412" s="5" t="s">
        <v>25</v>
      </c>
      <c r="G1412" s="19">
        <v>20</v>
      </c>
      <c r="H1412" s="19">
        <v>25</v>
      </c>
      <c r="I1412" t="b">
        <v>1</v>
      </c>
      <c r="J1412" t="s">
        <v>0</v>
      </c>
      <c r="K1412" t="s">
        <v>32</v>
      </c>
      <c r="Q1412" t="s">
        <v>1116</v>
      </c>
      <c r="R1412" t="s">
        <v>1116</v>
      </c>
      <c r="S1412" s="83">
        <v>1</v>
      </c>
    </row>
    <row r="1413" spans="1:19" x14ac:dyDescent="0.25">
      <c r="A1413" t="s">
        <v>1114</v>
      </c>
      <c r="B1413" t="s">
        <v>1142</v>
      </c>
      <c r="C1413">
        <v>4</v>
      </c>
      <c r="D1413" t="s">
        <v>13</v>
      </c>
      <c r="E1413" t="s">
        <v>1137</v>
      </c>
      <c r="F1413" s="5" t="s">
        <v>25</v>
      </c>
      <c r="G1413" s="19">
        <v>6</v>
      </c>
      <c r="H1413" s="19">
        <v>11</v>
      </c>
      <c r="I1413" t="b">
        <v>1</v>
      </c>
      <c r="J1413" t="s">
        <v>10</v>
      </c>
      <c r="K1413" t="s">
        <v>32</v>
      </c>
      <c r="Q1413" t="s">
        <v>1116</v>
      </c>
      <c r="R1413" t="s">
        <v>1116</v>
      </c>
      <c r="S1413" s="6">
        <v>2</v>
      </c>
    </row>
    <row r="1414" spans="1:19" x14ac:dyDescent="0.25">
      <c r="A1414" t="s">
        <v>1114</v>
      </c>
      <c r="B1414" t="s">
        <v>1142</v>
      </c>
      <c r="C1414">
        <v>4</v>
      </c>
      <c r="D1414" t="s">
        <v>1125</v>
      </c>
      <c r="E1414" t="s">
        <v>1216</v>
      </c>
      <c r="F1414" s="5" t="s">
        <v>26</v>
      </c>
      <c r="G1414" s="19">
        <v>15</v>
      </c>
      <c r="H1414" s="19">
        <v>25</v>
      </c>
      <c r="I1414" t="b">
        <v>0</v>
      </c>
      <c r="J1414" t="s">
        <v>1126</v>
      </c>
      <c r="K1414" t="s">
        <v>32</v>
      </c>
      <c r="Q1414" t="s">
        <v>1116</v>
      </c>
      <c r="R1414" t="s">
        <v>1116</v>
      </c>
      <c r="S1414" s="6">
        <v>5</v>
      </c>
    </row>
    <row r="1415" spans="1:19" x14ac:dyDescent="0.25">
      <c r="A1415" t="s">
        <v>1114</v>
      </c>
      <c r="B1415" t="s">
        <v>1142</v>
      </c>
      <c r="C1415">
        <v>4</v>
      </c>
      <c r="D1415" t="s">
        <v>1118</v>
      </c>
      <c r="E1415" t="s">
        <v>1217</v>
      </c>
      <c r="F1415" s="5" t="s">
        <v>26</v>
      </c>
      <c r="G1415" s="19">
        <v>45</v>
      </c>
      <c r="H1415" s="19">
        <v>55</v>
      </c>
      <c r="I1415" t="b">
        <v>0</v>
      </c>
      <c r="J1415" t="s">
        <v>1119</v>
      </c>
      <c r="K1415" t="s">
        <v>32</v>
      </c>
      <c r="L1415" t="s">
        <v>716</v>
      </c>
      <c r="M1415" t="s">
        <v>1138</v>
      </c>
      <c r="Q1415" t="s">
        <v>1116</v>
      </c>
      <c r="R1415" t="s">
        <v>1116</v>
      </c>
      <c r="S1415" s="83">
        <v>7</v>
      </c>
    </row>
    <row r="1416" spans="1:19" x14ac:dyDescent="0.25">
      <c r="A1416" t="s">
        <v>1114</v>
      </c>
      <c r="B1416" t="s">
        <v>1142</v>
      </c>
      <c r="C1416">
        <v>4</v>
      </c>
      <c r="D1416" t="s">
        <v>29</v>
      </c>
      <c r="E1416" t="s">
        <v>1111</v>
      </c>
      <c r="F1416" s="5" t="s">
        <v>25</v>
      </c>
      <c r="G1416" s="19">
        <v>0</v>
      </c>
      <c r="H1416" s="19">
        <v>1</v>
      </c>
      <c r="I1416" t="b">
        <v>1</v>
      </c>
      <c r="J1416" t="s">
        <v>1121</v>
      </c>
      <c r="K1416" t="s">
        <v>32</v>
      </c>
      <c r="L1416" t="s">
        <v>716</v>
      </c>
      <c r="M1416" t="s">
        <v>1138</v>
      </c>
      <c r="Q1416" t="s">
        <v>1116</v>
      </c>
      <c r="R1416" t="s">
        <v>1116</v>
      </c>
      <c r="S1416" s="6">
        <v>6</v>
      </c>
    </row>
    <row r="1417" spans="1:19" x14ac:dyDescent="0.25">
      <c r="A1417" t="s">
        <v>1114</v>
      </c>
      <c r="B1417" t="s">
        <v>1142</v>
      </c>
      <c r="C1417">
        <v>4</v>
      </c>
      <c r="D1417" t="s">
        <v>1129</v>
      </c>
      <c r="E1417" t="s">
        <v>1215</v>
      </c>
      <c r="F1417" s="5" t="s">
        <v>26</v>
      </c>
      <c r="G1417" s="19">
        <v>20</v>
      </c>
      <c r="H1417" s="19">
        <v>30</v>
      </c>
      <c r="I1417" t="b">
        <v>0</v>
      </c>
      <c r="J1417" t="s">
        <v>1131</v>
      </c>
      <c r="K1417" t="s">
        <v>32</v>
      </c>
      <c r="L1417" t="s">
        <v>716</v>
      </c>
      <c r="M1417" t="s">
        <v>1138</v>
      </c>
      <c r="Q1417" t="s">
        <v>1116</v>
      </c>
      <c r="R1417" t="s">
        <v>1116</v>
      </c>
      <c r="S1417" s="83">
        <v>4</v>
      </c>
    </row>
    <row r="1418" spans="1:19" x14ac:dyDescent="0.25">
      <c r="A1418" t="s">
        <v>1114</v>
      </c>
      <c r="B1418" t="s">
        <v>1142</v>
      </c>
      <c r="C1418">
        <v>4</v>
      </c>
      <c r="D1418" t="s">
        <v>109</v>
      </c>
      <c r="E1418" t="s">
        <v>1211</v>
      </c>
      <c r="F1418" s="5" t="s">
        <v>26</v>
      </c>
      <c r="G1418" s="19">
        <v>30</v>
      </c>
      <c r="H1418" s="19">
        <v>40</v>
      </c>
      <c r="I1418" t="b">
        <v>0</v>
      </c>
      <c r="J1418" t="s">
        <v>1132</v>
      </c>
      <c r="K1418" t="s">
        <v>32</v>
      </c>
      <c r="L1418" t="s">
        <v>716</v>
      </c>
      <c r="M1418" t="s">
        <v>1138</v>
      </c>
      <c r="Q1418" t="s">
        <v>1116</v>
      </c>
      <c r="R1418" t="s">
        <v>1116</v>
      </c>
      <c r="S1418" s="83">
        <v>3</v>
      </c>
    </row>
    <row r="1419" spans="1:19" x14ac:dyDescent="0.25">
      <c r="A1419" t="s">
        <v>1114</v>
      </c>
      <c r="B1419" t="s">
        <v>1142</v>
      </c>
      <c r="C1419">
        <v>5</v>
      </c>
      <c r="D1419" t="s">
        <v>11</v>
      </c>
      <c r="E1419" t="s">
        <v>524</v>
      </c>
      <c r="F1419" s="5" t="s">
        <v>24</v>
      </c>
      <c r="G1419" s="19">
        <v>10</v>
      </c>
      <c r="H1419" s="19">
        <v>20</v>
      </c>
      <c r="I1419" t="b">
        <v>1</v>
      </c>
      <c r="J1419" t="s">
        <v>0</v>
      </c>
      <c r="K1419" t="s">
        <v>32</v>
      </c>
      <c r="L1419" t="s">
        <v>716</v>
      </c>
      <c r="M1419" t="s">
        <v>1138</v>
      </c>
      <c r="Q1419" t="s">
        <v>1116</v>
      </c>
      <c r="R1419" t="s">
        <v>1116</v>
      </c>
      <c r="S1419" s="83">
        <v>1</v>
      </c>
    </row>
    <row r="1420" spans="1:19" x14ac:dyDescent="0.25">
      <c r="A1420" t="s">
        <v>1114</v>
      </c>
      <c r="B1420" t="s">
        <v>1142</v>
      </c>
      <c r="C1420">
        <v>5</v>
      </c>
      <c r="D1420" t="s">
        <v>13</v>
      </c>
      <c r="E1420" t="s">
        <v>1139</v>
      </c>
      <c r="F1420" s="5" t="s">
        <v>25</v>
      </c>
      <c r="G1420" s="19">
        <v>0</v>
      </c>
      <c r="H1420" s="19">
        <v>5</v>
      </c>
      <c r="I1420" t="b">
        <v>1</v>
      </c>
      <c r="J1420" t="s">
        <v>10</v>
      </c>
      <c r="K1420" t="s">
        <v>32</v>
      </c>
      <c r="L1420" t="s">
        <v>716</v>
      </c>
      <c r="M1420" t="s">
        <v>1138</v>
      </c>
      <c r="Q1420" t="s">
        <v>1116</v>
      </c>
      <c r="R1420" t="s">
        <v>1116</v>
      </c>
      <c r="S1420" s="6">
        <v>2</v>
      </c>
    </row>
    <row r="1421" spans="1:19" x14ac:dyDescent="0.25">
      <c r="A1421" t="s">
        <v>1114</v>
      </c>
      <c r="B1421" t="s">
        <v>1142</v>
      </c>
      <c r="C1421">
        <v>5</v>
      </c>
      <c r="D1421" t="s">
        <v>1125</v>
      </c>
      <c r="E1421" t="s">
        <v>1218</v>
      </c>
      <c r="F1421" s="5" t="s">
        <v>26</v>
      </c>
      <c r="G1421" s="19">
        <v>25</v>
      </c>
      <c r="H1421" s="19">
        <v>35</v>
      </c>
      <c r="I1421" t="b">
        <v>0</v>
      </c>
      <c r="J1421" t="s">
        <v>1126</v>
      </c>
      <c r="K1421" t="s">
        <v>32</v>
      </c>
      <c r="L1421" t="s">
        <v>716</v>
      </c>
      <c r="M1421" t="s">
        <v>1138</v>
      </c>
      <c r="Q1421" t="s">
        <v>1116</v>
      </c>
      <c r="R1421" t="s">
        <v>1116</v>
      </c>
      <c r="S1421" s="6">
        <v>5</v>
      </c>
    </row>
    <row r="1422" spans="1:19" x14ac:dyDescent="0.25">
      <c r="A1422" t="s">
        <v>1114</v>
      </c>
      <c r="B1422" t="s">
        <v>1142</v>
      </c>
      <c r="C1422">
        <v>5</v>
      </c>
      <c r="D1422" t="s">
        <v>1129</v>
      </c>
      <c r="E1422" t="s">
        <v>1140</v>
      </c>
      <c r="F1422" s="5" t="s">
        <v>27</v>
      </c>
      <c r="G1422" s="19">
        <v>35</v>
      </c>
      <c r="H1422" s="19">
        <v>40</v>
      </c>
      <c r="I1422" t="b">
        <v>0</v>
      </c>
      <c r="J1422" t="s">
        <v>1131</v>
      </c>
      <c r="K1422" t="s">
        <v>32</v>
      </c>
      <c r="L1422" t="s">
        <v>716</v>
      </c>
      <c r="M1422" t="s">
        <v>1138</v>
      </c>
      <c r="Q1422" t="s">
        <v>1116</v>
      </c>
      <c r="R1422" t="s">
        <v>1116</v>
      </c>
      <c r="S1422" s="83">
        <v>4</v>
      </c>
    </row>
    <row r="1423" spans="1:19" x14ac:dyDescent="0.25">
      <c r="A1423" t="s">
        <v>1114</v>
      </c>
      <c r="B1423" t="s">
        <v>1142</v>
      </c>
      <c r="C1423">
        <v>5</v>
      </c>
      <c r="D1423" t="s">
        <v>109</v>
      </c>
      <c r="E1423" t="s">
        <v>1217</v>
      </c>
      <c r="F1423" s="5" t="s">
        <v>26</v>
      </c>
      <c r="G1423" s="19">
        <v>45</v>
      </c>
      <c r="H1423" s="19">
        <v>55</v>
      </c>
      <c r="I1423" t="b">
        <v>0</v>
      </c>
      <c r="J1423" t="s">
        <v>1132</v>
      </c>
      <c r="K1423" t="s">
        <v>32</v>
      </c>
      <c r="L1423" t="s">
        <v>716</v>
      </c>
      <c r="M1423" t="s">
        <v>1138</v>
      </c>
      <c r="Q1423" t="s">
        <v>1116</v>
      </c>
      <c r="R1423" t="s">
        <v>1116</v>
      </c>
      <c r="S1423" s="83">
        <v>3</v>
      </c>
    </row>
    <row r="1424" spans="1:19" x14ac:dyDescent="0.25">
      <c r="A1424" t="s">
        <v>1114</v>
      </c>
      <c r="B1424" t="s">
        <v>1143</v>
      </c>
      <c r="C1424">
        <v>2</v>
      </c>
      <c r="D1424" t="s">
        <v>11</v>
      </c>
      <c r="E1424" t="s">
        <v>1144</v>
      </c>
      <c r="F1424" s="5" t="s">
        <v>25</v>
      </c>
      <c r="G1424" s="19">
        <v>40</v>
      </c>
      <c r="H1424" s="19">
        <v>45</v>
      </c>
      <c r="I1424" t="b">
        <v>1</v>
      </c>
      <c r="J1424" t="s">
        <v>0</v>
      </c>
      <c r="K1424" t="s">
        <v>32</v>
      </c>
      <c r="Q1424" t="s">
        <v>1145</v>
      </c>
      <c r="R1424" t="s">
        <v>1145</v>
      </c>
      <c r="S1424" s="83">
        <v>1</v>
      </c>
    </row>
    <row r="1425" spans="1:19" x14ac:dyDescent="0.25">
      <c r="A1425" t="s">
        <v>1114</v>
      </c>
      <c r="B1425" t="s">
        <v>1143</v>
      </c>
      <c r="C1425">
        <v>2</v>
      </c>
      <c r="D1425" t="s">
        <v>13</v>
      </c>
      <c r="E1425" t="s">
        <v>1146</v>
      </c>
      <c r="F1425" s="5" t="s">
        <v>25</v>
      </c>
      <c r="G1425" s="19">
        <v>18</v>
      </c>
      <c r="H1425" s="19">
        <v>23</v>
      </c>
      <c r="I1425" t="b">
        <v>1</v>
      </c>
      <c r="J1425" t="s">
        <v>10</v>
      </c>
      <c r="K1425" t="s">
        <v>32</v>
      </c>
      <c r="Q1425" t="s">
        <v>1145</v>
      </c>
      <c r="R1425" t="s">
        <v>1145</v>
      </c>
      <c r="S1425" s="6">
        <v>2</v>
      </c>
    </row>
    <row r="1426" spans="1:19" x14ac:dyDescent="0.25">
      <c r="A1426" t="s">
        <v>1114</v>
      </c>
      <c r="B1426" t="s">
        <v>1143</v>
      </c>
      <c r="C1426">
        <v>2</v>
      </c>
      <c r="D1426" t="s">
        <v>1118</v>
      </c>
      <c r="E1426" t="s">
        <v>1218</v>
      </c>
      <c r="F1426" s="5" t="s">
        <v>26</v>
      </c>
      <c r="G1426" s="19">
        <v>25</v>
      </c>
      <c r="H1426" s="19">
        <v>35</v>
      </c>
      <c r="I1426" t="b">
        <v>0</v>
      </c>
      <c r="J1426" t="s">
        <v>1119</v>
      </c>
      <c r="K1426" t="s">
        <v>32</v>
      </c>
      <c r="Q1426" t="s">
        <v>1145</v>
      </c>
      <c r="R1426" t="s">
        <v>1145</v>
      </c>
      <c r="S1426" s="83">
        <v>7</v>
      </c>
    </row>
    <row r="1427" spans="1:19" x14ac:dyDescent="0.25">
      <c r="A1427" t="s">
        <v>1114</v>
      </c>
      <c r="B1427" t="s">
        <v>1143</v>
      </c>
      <c r="C1427">
        <v>2</v>
      </c>
      <c r="D1427" t="s">
        <v>29</v>
      </c>
      <c r="E1427" t="s">
        <v>1219</v>
      </c>
      <c r="F1427" s="5" t="s">
        <v>24</v>
      </c>
      <c r="G1427" s="19">
        <v>5</v>
      </c>
      <c r="H1427" s="19">
        <v>9</v>
      </c>
      <c r="I1427" t="b">
        <v>1</v>
      </c>
      <c r="J1427" t="s">
        <v>1121</v>
      </c>
      <c r="K1427" t="s">
        <v>32</v>
      </c>
      <c r="Q1427" t="s">
        <v>1145</v>
      </c>
      <c r="R1427" t="s">
        <v>1145</v>
      </c>
      <c r="S1427" s="6">
        <v>6</v>
      </c>
    </row>
    <row r="1428" spans="1:19" x14ac:dyDescent="0.25">
      <c r="A1428" t="s">
        <v>1114</v>
      </c>
      <c r="B1428" t="s">
        <v>1143</v>
      </c>
      <c r="C1428">
        <v>2</v>
      </c>
      <c r="D1428" t="s">
        <v>1122</v>
      </c>
      <c r="E1428" t="s">
        <v>1127</v>
      </c>
      <c r="F1428" s="5" t="s">
        <v>25</v>
      </c>
      <c r="G1428" s="19">
        <v>3</v>
      </c>
      <c r="H1428" s="19">
        <v>6</v>
      </c>
      <c r="I1428" t="b">
        <v>1</v>
      </c>
      <c r="J1428" t="s">
        <v>1124</v>
      </c>
      <c r="K1428" t="s">
        <v>32</v>
      </c>
      <c r="Q1428" t="s">
        <v>1145</v>
      </c>
      <c r="R1428" t="s">
        <v>1145</v>
      </c>
      <c r="S1428" s="6">
        <v>8</v>
      </c>
    </row>
    <row r="1429" spans="1:19" x14ac:dyDescent="0.25">
      <c r="A1429" t="s">
        <v>1114</v>
      </c>
      <c r="B1429" t="s">
        <v>1143</v>
      </c>
      <c r="C1429">
        <v>2</v>
      </c>
      <c r="D1429" t="s">
        <v>1125</v>
      </c>
      <c r="E1429" t="s">
        <v>1212</v>
      </c>
      <c r="F1429" s="5" t="s">
        <v>26</v>
      </c>
      <c r="G1429" s="19">
        <v>0</v>
      </c>
      <c r="H1429" s="19">
        <v>4</v>
      </c>
      <c r="I1429" t="b">
        <v>0</v>
      </c>
      <c r="J1429" t="s">
        <v>1126</v>
      </c>
      <c r="K1429" t="s">
        <v>32</v>
      </c>
      <c r="Q1429" t="s">
        <v>1145</v>
      </c>
      <c r="R1429" t="s">
        <v>1145</v>
      </c>
      <c r="S1429" s="6">
        <v>5</v>
      </c>
    </row>
    <row r="1430" spans="1:19" x14ac:dyDescent="0.25">
      <c r="A1430" t="s">
        <v>1114</v>
      </c>
      <c r="B1430" t="s">
        <v>1143</v>
      </c>
      <c r="C1430">
        <v>2</v>
      </c>
      <c r="D1430" t="s">
        <v>144</v>
      </c>
      <c r="E1430" t="s">
        <v>1112</v>
      </c>
      <c r="F1430" s="5" t="s">
        <v>25</v>
      </c>
      <c r="G1430" s="19">
        <v>1</v>
      </c>
      <c r="H1430" s="19">
        <v>4</v>
      </c>
      <c r="I1430" t="b">
        <v>1</v>
      </c>
      <c r="J1430" t="s">
        <v>1128</v>
      </c>
      <c r="K1430" t="s">
        <v>32</v>
      </c>
      <c r="Q1430" t="s">
        <v>1145</v>
      </c>
      <c r="R1430" t="s">
        <v>1145</v>
      </c>
      <c r="S1430" s="83">
        <v>9</v>
      </c>
    </row>
    <row r="1431" spans="1:19" x14ac:dyDescent="0.25">
      <c r="A1431" t="s">
        <v>1114</v>
      </c>
      <c r="B1431" t="s">
        <v>1143</v>
      </c>
      <c r="C1431">
        <v>2</v>
      </c>
      <c r="D1431" t="s">
        <v>1129</v>
      </c>
      <c r="E1431" t="s">
        <v>1130</v>
      </c>
      <c r="F1431" s="5" t="s">
        <v>27</v>
      </c>
      <c r="G1431" s="19">
        <v>5</v>
      </c>
      <c r="H1431" s="19">
        <v>10</v>
      </c>
      <c r="I1431" t="b">
        <v>0</v>
      </c>
      <c r="J1431" t="s">
        <v>1131</v>
      </c>
      <c r="K1431" t="s">
        <v>32</v>
      </c>
      <c r="Q1431" t="s">
        <v>1145</v>
      </c>
      <c r="R1431" t="s">
        <v>1145</v>
      </c>
      <c r="S1431" s="83">
        <v>4</v>
      </c>
    </row>
    <row r="1432" spans="1:19" x14ac:dyDescent="0.25">
      <c r="A1432" t="s">
        <v>1114</v>
      </c>
      <c r="B1432" t="s">
        <v>1143</v>
      </c>
      <c r="C1432">
        <v>2</v>
      </c>
      <c r="D1432" t="s">
        <v>109</v>
      </c>
      <c r="E1432" t="s">
        <v>1213</v>
      </c>
      <c r="F1432" s="5" t="s">
        <v>26</v>
      </c>
      <c r="G1432" s="19">
        <v>10</v>
      </c>
      <c r="H1432" s="19">
        <v>20</v>
      </c>
      <c r="I1432" t="b">
        <v>0</v>
      </c>
      <c r="J1432" t="s">
        <v>1132</v>
      </c>
      <c r="K1432" t="s">
        <v>32</v>
      </c>
      <c r="Q1432" t="s">
        <v>1145</v>
      </c>
      <c r="R1432" t="s">
        <v>1145</v>
      </c>
      <c r="S1432" s="83">
        <v>3</v>
      </c>
    </row>
    <row r="1433" spans="1:19" x14ac:dyDescent="0.25">
      <c r="A1433" t="s">
        <v>1114</v>
      </c>
      <c r="B1433" t="s">
        <v>1143</v>
      </c>
      <c r="C1433">
        <v>3</v>
      </c>
      <c r="D1433" t="s">
        <v>11</v>
      </c>
      <c r="E1433" t="s">
        <v>551</v>
      </c>
      <c r="F1433" s="5" t="s">
        <v>24</v>
      </c>
      <c r="G1433" s="19">
        <v>30</v>
      </c>
      <c r="H1433" s="19">
        <v>40</v>
      </c>
      <c r="I1433" t="b">
        <v>1</v>
      </c>
      <c r="J1433" t="s">
        <v>0</v>
      </c>
      <c r="K1433" t="s">
        <v>32</v>
      </c>
      <c r="Q1433" t="s">
        <v>1145</v>
      </c>
      <c r="R1433" t="s">
        <v>1145</v>
      </c>
      <c r="S1433" s="83">
        <v>1</v>
      </c>
    </row>
    <row r="1434" spans="1:19" x14ac:dyDescent="0.25">
      <c r="A1434" t="s">
        <v>1114</v>
      </c>
      <c r="B1434" t="s">
        <v>1143</v>
      </c>
      <c r="C1434">
        <v>3</v>
      </c>
      <c r="D1434" t="s">
        <v>13</v>
      </c>
      <c r="E1434" t="s">
        <v>1147</v>
      </c>
      <c r="F1434" s="5" t="s">
        <v>25</v>
      </c>
      <c r="G1434" s="19">
        <v>13</v>
      </c>
      <c r="H1434" s="19">
        <v>18</v>
      </c>
      <c r="I1434" t="b">
        <v>1</v>
      </c>
      <c r="J1434" t="s">
        <v>10</v>
      </c>
      <c r="K1434" t="s">
        <v>32</v>
      </c>
      <c r="Q1434" t="s">
        <v>1145</v>
      </c>
      <c r="R1434" t="s">
        <v>1145</v>
      </c>
      <c r="S1434" s="6">
        <v>2</v>
      </c>
    </row>
    <row r="1435" spans="1:19" x14ac:dyDescent="0.25">
      <c r="A1435" t="s">
        <v>1114</v>
      </c>
      <c r="B1435" t="s">
        <v>1143</v>
      </c>
      <c r="C1435">
        <v>3</v>
      </c>
      <c r="D1435" t="s">
        <v>1118</v>
      </c>
      <c r="E1435" t="s">
        <v>1220</v>
      </c>
      <c r="F1435" s="5" t="s">
        <v>26</v>
      </c>
      <c r="G1435" s="19">
        <v>35</v>
      </c>
      <c r="H1435" s="19">
        <v>45</v>
      </c>
      <c r="I1435" t="b">
        <v>0</v>
      </c>
      <c r="J1435" t="s">
        <v>1119</v>
      </c>
      <c r="K1435" t="s">
        <v>32</v>
      </c>
      <c r="Q1435" t="s">
        <v>1145</v>
      </c>
      <c r="R1435" t="s">
        <v>1145</v>
      </c>
      <c r="S1435" s="83">
        <v>7</v>
      </c>
    </row>
    <row r="1436" spans="1:19" x14ac:dyDescent="0.25">
      <c r="A1436" t="s">
        <v>1114</v>
      </c>
      <c r="B1436" t="s">
        <v>1143</v>
      </c>
      <c r="C1436">
        <v>3</v>
      </c>
      <c r="D1436" t="s">
        <v>29</v>
      </c>
      <c r="E1436" t="s">
        <v>1139</v>
      </c>
      <c r="F1436" s="5" t="s">
        <v>25</v>
      </c>
      <c r="G1436" s="19">
        <v>0</v>
      </c>
      <c r="H1436" s="19">
        <v>5</v>
      </c>
      <c r="I1436" t="b">
        <v>1</v>
      </c>
      <c r="J1436" t="s">
        <v>1121</v>
      </c>
      <c r="K1436" t="s">
        <v>32</v>
      </c>
      <c r="Q1436" t="s">
        <v>1145</v>
      </c>
      <c r="R1436" t="s">
        <v>1145</v>
      </c>
      <c r="S1436" s="6">
        <v>6</v>
      </c>
    </row>
    <row r="1437" spans="1:19" x14ac:dyDescent="0.25">
      <c r="A1437" t="s">
        <v>1114</v>
      </c>
      <c r="B1437" t="s">
        <v>1143</v>
      </c>
      <c r="C1437">
        <v>3</v>
      </c>
      <c r="D1437" t="s">
        <v>1122</v>
      </c>
      <c r="E1437" t="s">
        <v>1113</v>
      </c>
      <c r="F1437" s="5" t="s">
        <v>25</v>
      </c>
      <c r="G1437" s="19">
        <v>0</v>
      </c>
      <c r="H1437" s="19">
        <v>3</v>
      </c>
      <c r="I1437" t="b">
        <v>1</v>
      </c>
      <c r="J1437" t="s">
        <v>1124</v>
      </c>
      <c r="K1437" t="s">
        <v>32</v>
      </c>
      <c r="Q1437" t="s">
        <v>1145</v>
      </c>
      <c r="R1437" t="s">
        <v>1145</v>
      </c>
      <c r="S1437" s="6">
        <v>8</v>
      </c>
    </row>
    <row r="1438" spans="1:19" x14ac:dyDescent="0.25">
      <c r="A1438" t="s">
        <v>1114</v>
      </c>
      <c r="B1438" t="s">
        <v>1143</v>
      </c>
      <c r="C1438">
        <v>3</v>
      </c>
      <c r="D1438" t="s">
        <v>1125</v>
      </c>
      <c r="E1438" t="s">
        <v>1214</v>
      </c>
      <c r="F1438" s="5" t="s">
        <v>26</v>
      </c>
      <c r="G1438" s="19">
        <v>4</v>
      </c>
      <c r="H1438" s="19">
        <v>10</v>
      </c>
      <c r="I1438" t="b">
        <v>0</v>
      </c>
      <c r="J1438" t="s">
        <v>1126</v>
      </c>
      <c r="K1438" t="s">
        <v>32</v>
      </c>
      <c r="Q1438" t="s">
        <v>1145</v>
      </c>
      <c r="R1438" t="s">
        <v>1145</v>
      </c>
      <c r="S1438" s="6">
        <v>5</v>
      </c>
    </row>
    <row r="1439" spans="1:19" x14ac:dyDescent="0.25">
      <c r="A1439" t="s">
        <v>1114</v>
      </c>
      <c r="B1439" t="s">
        <v>1143</v>
      </c>
      <c r="C1439">
        <v>3</v>
      </c>
      <c r="D1439" t="s">
        <v>144</v>
      </c>
      <c r="E1439" t="s">
        <v>1111</v>
      </c>
      <c r="F1439" s="5" t="s">
        <v>25</v>
      </c>
      <c r="G1439" s="19">
        <v>0</v>
      </c>
      <c r="H1439" s="19">
        <v>1</v>
      </c>
      <c r="I1439" t="b">
        <v>1</v>
      </c>
      <c r="J1439" t="s">
        <v>1128</v>
      </c>
      <c r="K1439" t="s">
        <v>32</v>
      </c>
      <c r="Q1439" t="s">
        <v>1145</v>
      </c>
      <c r="R1439" t="s">
        <v>1145</v>
      </c>
      <c r="S1439" s="83">
        <v>9</v>
      </c>
    </row>
    <row r="1440" spans="1:19" x14ac:dyDescent="0.25">
      <c r="A1440" t="s">
        <v>1114</v>
      </c>
      <c r="B1440" t="s">
        <v>1143</v>
      </c>
      <c r="C1440">
        <v>3</v>
      </c>
      <c r="D1440" t="s">
        <v>1129</v>
      </c>
      <c r="E1440" t="s">
        <v>1213</v>
      </c>
      <c r="F1440" s="5" t="s">
        <v>26</v>
      </c>
      <c r="G1440" s="19">
        <v>10</v>
      </c>
      <c r="H1440" s="19">
        <v>20</v>
      </c>
      <c r="I1440" t="b">
        <v>0</v>
      </c>
      <c r="J1440" t="s">
        <v>1131</v>
      </c>
      <c r="K1440" t="s">
        <v>32</v>
      </c>
      <c r="Q1440" t="s">
        <v>1145</v>
      </c>
      <c r="R1440" t="s">
        <v>1145</v>
      </c>
      <c r="S1440" s="83">
        <v>4</v>
      </c>
    </row>
    <row r="1441" spans="1:19" x14ac:dyDescent="0.25">
      <c r="A1441" t="s">
        <v>1114</v>
      </c>
      <c r="B1441" t="s">
        <v>1143</v>
      </c>
      <c r="C1441">
        <v>3</v>
      </c>
      <c r="D1441" t="s">
        <v>109</v>
      </c>
      <c r="E1441" t="s">
        <v>1215</v>
      </c>
      <c r="F1441" s="5" t="s">
        <v>26</v>
      </c>
      <c r="G1441" s="19">
        <v>20</v>
      </c>
      <c r="H1441" s="19">
        <v>30</v>
      </c>
      <c r="I1441" t="b">
        <v>0</v>
      </c>
      <c r="J1441" t="s">
        <v>1132</v>
      </c>
      <c r="K1441" t="s">
        <v>32</v>
      </c>
      <c r="Q1441" t="s">
        <v>1145</v>
      </c>
      <c r="R1441" t="s">
        <v>1145</v>
      </c>
      <c r="S1441" s="83">
        <v>3</v>
      </c>
    </row>
    <row r="1442" spans="1:19" x14ac:dyDescent="0.25">
      <c r="A1442" t="s">
        <v>1114</v>
      </c>
      <c r="B1442" t="s">
        <v>1143</v>
      </c>
      <c r="C1442">
        <v>4</v>
      </c>
      <c r="D1442" t="s">
        <v>11</v>
      </c>
      <c r="E1442" t="s">
        <v>525</v>
      </c>
      <c r="F1442" s="5" t="s">
        <v>24</v>
      </c>
      <c r="G1442" s="19">
        <v>20</v>
      </c>
      <c r="H1442" s="19">
        <v>30</v>
      </c>
      <c r="I1442" t="b">
        <v>1</v>
      </c>
      <c r="J1442" t="s">
        <v>0</v>
      </c>
      <c r="K1442" t="s">
        <v>32</v>
      </c>
      <c r="Q1442" t="s">
        <v>1145</v>
      </c>
      <c r="R1442" t="s">
        <v>1145</v>
      </c>
      <c r="S1442" s="83">
        <v>1</v>
      </c>
    </row>
    <row r="1443" spans="1:19" x14ac:dyDescent="0.25">
      <c r="A1443" t="s">
        <v>1114</v>
      </c>
      <c r="B1443" t="s">
        <v>1143</v>
      </c>
      <c r="C1443">
        <v>4</v>
      </c>
      <c r="D1443" t="s">
        <v>13</v>
      </c>
      <c r="E1443" t="s">
        <v>1148</v>
      </c>
      <c r="F1443" s="5" t="s">
        <v>25</v>
      </c>
      <c r="G1443" s="19">
        <v>6</v>
      </c>
      <c r="H1443" s="19">
        <v>13</v>
      </c>
      <c r="I1443" t="b">
        <v>1</v>
      </c>
      <c r="J1443" t="s">
        <v>10</v>
      </c>
      <c r="K1443" t="s">
        <v>32</v>
      </c>
      <c r="Q1443" t="s">
        <v>1145</v>
      </c>
      <c r="R1443" t="s">
        <v>1145</v>
      </c>
      <c r="S1443" s="6">
        <v>2</v>
      </c>
    </row>
    <row r="1444" spans="1:19" x14ac:dyDescent="0.25">
      <c r="A1444" t="s">
        <v>1114</v>
      </c>
      <c r="B1444" t="s">
        <v>1143</v>
      </c>
      <c r="C1444">
        <v>4</v>
      </c>
      <c r="D1444" t="s">
        <v>1125</v>
      </c>
      <c r="E1444" t="s">
        <v>1216</v>
      </c>
      <c r="F1444" s="5" t="s">
        <v>26</v>
      </c>
      <c r="G1444" s="19">
        <v>15</v>
      </c>
      <c r="H1444" s="19">
        <v>25</v>
      </c>
      <c r="I1444" t="b">
        <v>0</v>
      </c>
      <c r="J1444" t="s">
        <v>1126</v>
      </c>
      <c r="K1444" t="s">
        <v>32</v>
      </c>
      <c r="Q1444" t="s">
        <v>1145</v>
      </c>
      <c r="R1444" t="s">
        <v>1145</v>
      </c>
      <c r="S1444" s="6">
        <v>5</v>
      </c>
    </row>
    <row r="1445" spans="1:19" x14ac:dyDescent="0.25">
      <c r="A1445" t="s">
        <v>1114</v>
      </c>
      <c r="B1445" t="s">
        <v>1143</v>
      </c>
      <c r="C1445">
        <v>4</v>
      </c>
      <c r="D1445" t="s">
        <v>1118</v>
      </c>
      <c r="E1445" t="s">
        <v>1217</v>
      </c>
      <c r="F1445" s="5" t="s">
        <v>26</v>
      </c>
      <c r="G1445" s="19">
        <v>45</v>
      </c>
      <c r="H1445" s="19">
        <v>55</v>
      </c>
      <c r="I1445" t="b">
        <v>0</v>
      </c>
      <c r="J1445" t="s">
        <v>1119</v>
      </c>
      <c r="K1445" t="s">
        <v>32</v>
      </c>
      <c r="L1445" t="s">
        <v>716</v>
      </c>
      <c r="M1445" t="s">
        <v>1138</v>
      </c>
      <c r="Q1445" t="s">
        <v>1145</v>
      </c>
      <c r="R1445" t="s">
        <v>1145</v>
      </c>
      <c r="S1445" s="83">
        <v>7</v>
      </c>
    </row>
    <row r="1446" spans="1:19" x14ac:dyDescent="0.25">
      <c r="A1446" t="s">
        <v>1114</v>
      </c>
      <c r="B1446" t="s">
        <v>1143</v>
      </c>
      <c r="C1446">
        <v>4</v>
      </c>
      <c r="D1446" t="s">
        <v>29</v>
      </c>
      <c r="E1446" t="s">
        <v>1111</v>
      </c>
      <c r="F1446" s="5" t="s">
        <v>25</v>
      </c>
      <c r="G1446" s="19">
        <v>0</v>
      </c>
      <c r="H1446" s="19">
        <v>1</v>
      </c>
      <c r="I1446" t="b">
        <v>1</v>
      </c>
      <c r="J1446" t="s">
        <v>1121</v>
      </c>
      <c r="K1446" t="s">
        <v>32</v>
      </c>
      <c r="L1446" t="s">
        <v>716</v>
      </c>
      <c r="M1446" t="s">
        <v>1138</v>
      </c>
      <c r="Q1446" t="s">
        <v>1145</v>
      </c>
      <c r="R1446" t="s">
        <v>1145</v>
      </c>
      <c r="S1446" s="6">
        <v>6</v>
      </c>
    </row>
    <row r="1447" spans="1:19" x14ac:dyDescent="0.25">
      <c r="A1447" t="s">
        <v>1114</v>
      </c>
      <c r="B1447" t="s">
        <v>1143</v>
      </c>
      <c r="C1447">
        <v>4</v>
      </c>
      <c r="D1447" t="s">
        <v>1129</v>
      </c>
      <c r="E1447" t="s">
        <v>1215</v>
      </c>
      <c r="F1447" s="5" t="s">
        <v>26</v>
      </c>
      <c r="G1447" s="19">
        <v>20</v>
      </c>
      <c r="H1447" s="19">
        <v>30</v>
      </c>
      <c r="I1447" t="b">
        <v>0</v>
      </c>
      <c r="J1447" t="s">
        <v>1131</v>
      </c>
      <c r="K1447" t="s">
        <v>32</v>
      </c>
      <c r="L1447" t="s">
        <v>716</v>
      </c>
      <c r="M1447" t="s">
        <v>1138</v>
      </c>
      <c r="Q1447" t="s">
        <v>1145</v>
      </c>
      <c r="R1447" t="s">
        <v>1145</v>
      </c>
      <c r="S1447" s="83">
        <v>4</v>
      </c>
    </row>
    <row r="1448" spans="1:19" x14ac:dyDescent="0.25">
      <c r="A1448" t="s">
        <v>1114</v>
      </c>
      <c r="B1448" t="s">
        <v>1143</v>
      </c>
      <c r="C1448">
        <v>4</v>
      </c>
      <c r="D1448" t="s">
        <v>109</v>
      </c>
      <c r="E1448" t="s">
        <v>1211</v>
      </c>
      <c r="F1448" s="5" t="s">
        <v>26</v>
      </c>
      <c r="G1448" s="19">
        <v>30</v>
      </c>
      <c r="H1448" s="19">
        <v>40</v>
      </c>
      <c r="I1448" t="b">
        <v>0</v>
      </c>
      <c r="J1448" t="s">
        <v>1132</v>
      </c>
      <c r="K1448" t="s">
        <v>32</v>
      </c>
      <c r="L1448" t="s">
        <v>716</v>
      </c>
      <c r="M1448" t="s">
        <v>1138</v>
      </c>
      <c r="Q1448" t="s">
        <v>1145</v>
      </c>
      <c r="R1448" t="s">
        <v>1145</v>
      </c>
      <c r="S1448" s="83">
        <v>3</v>
      </c>
    </row>
    <row r="1449" spans="1:19" x14ac:dyDescent="0.25">
      <c r="A1449" t="s">
        <v>1114</v>
      </c>
      <c r="B1449" t="s">
        <v>1143</v>
      </c>
      <c r="C1449">
        <v>5</v>
      </c>
      <c r="D1449" t="s">
        <v>11</v>
      </c>
      <c r="E1449" t="s">
        <v>524</v>
      </c>
      <c r="F1449" s="5" t="s">
        <v>24</v>
      </c>
      <c r="G1449" s="19">
        <v>10</v>
      </c>
      <c r="H1449" s="19">
        <v>20</v>
      </c>
      <c r="I1449" t="b">
        <v>1</v>
      </c>
      <c r="J1449" t="s">
        <v>0</v>
      </c>
      <c r="K1449" t="s">
        <v>32</v>
      </c>
      <c r="L1449" t="s">
        <v>716</v>
      </c>
      <c r="M1449" t="s">
        <v>1138</v>
      </c>
      <c r="Q1449" t="s">
        <v>1145</v>
      </c>
      <c r="R1449" t="s">
        <v>1145</v>
      </c>
      <c r="S1449" s="83">
        <v>1</v>
      </c>
    </row>
    <row r="1450" spans="1:19" x14ac:dyDescent="0.25">
      <c r="A1450" t="s">
        <v>1114</v>
      </c>
      <c r="B1450" t="s">
        <v>1143</v>
      </c>
      <c r="C1450">
        <v>5</v>
      </c>
      <c r="D1450" t="s">
        <v>13</v>
      </c>
      <c r="E1450" t="s">
        <v>1112</v>
      </c>
      <c r="F1450" s="5" t="s">
        <v>25</v>
      </c>
      <c r="G1450" s="19">
        <v>1</v>
      </c>
      <c r="H1450" s="19">
        <v>4</v>
      </c>
      <c r="I1450" t="b">
        <v>1</v>
      </c>
      <c r="J1450" t="s">
        <v>10</v>
      </c>
      <c r="K1450" t="s">
        <v>32</v>
      </c>
      <c r="L1450" t="s">
        <v>716</v>
      </c>
      <c r="M1450" t="s">
        <v>1138</v>
      </c>
      <c r="Q1450" t="s">
        <v>1145</v>
      </c>
      <c r="R1450" t="s">
        <v>1145</v>
      </c>
      <c r="S1450" s="6">
        <v>2</v>
      </c>
    </row>
    <row r="1451" spans="1:19" x14ac:dyDescent="0.25">
      <c r="A1451" t="s">
        <v>1114</v>
      </c>
      <c r="B1451" t="s">
        <v>1143</v>
      </c>
      <c r="C1451">
        <v>5</v>
      </c>
      <c r="D1451" t="s">
        <v>1129</v>
      </c>
      <c r="E1451" t="s">
        <v>1135</v>
      </c>
      <c r="F1451" s="5" t="s">
        <v>27</v>
      </c>
      <c r="G1451" s="19">
        <v>40</v>
      </c>
      <c r="H1451" s="19">
        <v>45</v>
      </c>
      <c r="I1451" t="b">
        <v>0</v>
      </c>
      <c r="J1451" t="s">
        <v>1131</v>
      </c>
      <c r="K1451" t="s">
        <v>32</v>
      </c>
      <c r="L1451" t="s">
        <v>716</v>
      </c>
      <c r="M1451" t="s">
        <v>1138</v>
      </c>
      <c r="Q1451" t="s">
        <v>1145</v>
      </c>
      <c r="R1451" t="s">
        <v>1145</v>
      </c>
      <c r="S1451" s="83">
        <v>4</v>
      </c>
    </row>
    <row r="1452" spans="1:19" x14ac:dyDescent="0.25">
      <c r="A1452" t="s">
        <v>1114</v>
      </c>
      <c r="B1452" t="s">
        <v>1143</v>
      </c>
      <c r="C1452">
        <v>5</v>
      </c>
      <c r="D1452" t="s">
        <v>109</v>
      </c>
      <c r="E1452" t="s">
        <v>1217</v>
      </c>
      <c r="F1452" s="5" t="s">
        <v>26</v>
      </c>
      <c r="G1452" s="19">
        <v>45</v>
      </c>
      <c r="H1452" s="19">
        <v>55</v>
      </c>
      <c r="I1452" t="b">
        <v>0</v>
      </c>
      <c r="J1452" t="s">
        <v>1132</v>
      </c>
      <c r="K1452" t="s">
        <v>32</v>
      </c>
      <c r="L1452" t="s">
        <v>716</v>
      </c>
      <c r="M1452" t="s">
        <v>1138</v>
      </c>
      <c r="Q1452" t="s">
        <v>1145</v>
      </c>
      <c r="R1452" t="s">
        <v>1145</v>
      </c>
      <c r="S1452" s="83">
        <v>3</v>
      </c>
    </row>
    <row r="1453" spans="1:19" x14ac:dyDescent="0.25">
      <c r="A1453" t="s">
        <v>1114</v>
      </c>
      <c r="B1453" t="s">
        <v>1149</v>
      </c>
      <c r="C1453">
        <v>2</v>
      </c>
      <c r="D1453" t="s">
        <v>11</v>
      </c>
      <c r="E1453" t="s">
        <v>1144</v>
      </c>
      <c r="F1453" s="5" t="s">
        <v>25</v>
      </c>
      <c r="G1453" s="19">
        <v>40</v>
      </c>
      <c r="H1453" s="19">
        <v>45</v>
      </c>
      <c r="I1453" t="b">
        <v>1</v>
      </c>
      <c r="J1453" t="s">
        <v>0</v>
      </c>
      <c r="K1453" t="s">
        <v>32</v>
      </c>
      <c r="Q1453" t="s">
        <v>1145</v>
      </c>
      <c r="R1453" t="s">
        <v>1145</v>
      </c>
      <c r="S1453" s="83">
        <v>1</v>
      </c>
    </row>
    <row r="1454" spans="1:19" x14ac:dyDescent="0.25">
      <c r="A1454" t="s">
        <v>1114</v>
      </c>
      <c r="B1454" t="s">
        <v>1149</v>
      </c>
      <c r="C1454">
        <v>2</v>
      </c>
      <c r="D1454" t="s">
        <v>13</v>
      </c>
      <c r="E1454" t="s">
        <v>1146</v>
      </c>
      <c r="F1454" s="5" t="s">
        <v>25</v>
      </c>
      <c r="G1454" s="19">
        <v>18</v>
      </c>
      <c r="H1454" s="19">
        <v>23</v>
      </c>
      <c r="I1454" t="b">
        <v>1</v>
      </c>
      <c r="J1454" t="s">
        <v>10</v>
      </c>
      <c r="K1454" t="s">
        <v>32</v>
      </c>
      <c r="Q1454" t="s">
        <v>1145</v>
      </c>
      <c r="R1454" t="s">
        <v>1145</v>
      </c>
      <c r="S1454" s="6">
        <v>2</v>
      </c>
    </row>
    <row r="1455" spans="1:19" x14ac:dyDescent="0.25">
      <c r="A1455" t="s">
        <v>1114</v>
      </c>
      <c r="B1455" t="s">
        <v>1149</v>
      </c>
      <c r="C1455">
        <v>2</v>
      </c>
      <c r="D1455" t="s">
        <v>1118</v>
      </c>
      <c r="E1455" t="s">
        <v>1218</v>
      </c>
      <c r="F1455" s="5" t="s">
        <v>26</v>
      </c>
      <c r="G1455" s="19">
        <v>25</v>
      </c>
      <c r="H1455" s="19">
        <v>35</v>
      </c>
      <c r="I1455" t="b">
        <v>0</v>
      </c>
      <c r="J1455" t="s">
        <v>1119</v>
      </c>
      <c r="K1455" t="s">
        <v>32</v>
      </c>
      <c r="Q1455" t="s">
        <v>1145</v>
      </c>
      <c r="R1455" t="s">
        <v>1145</v>
      </c>
      <c r="S1455" s="83">
        <v>7</v>
      </c>
    </row>
    <row r="1456" spans="1:19" x14ac:dyDescent="0.25">
      <c r="A1456" t="s">
        <v>1114</v>
      </c>
      <c r="B1456" t="s">
        <v>1149</v>
      </c>
      <c r="C1456">
        <v>2</v>
      </c>
      <c r="D1456" t="s">
        <v>29</v>
      </c>
      <c r="E1456" t="s">
        <v>1219</v>
      </c>
      <c r="F1456" s="5" t="s">
        <v>24</v>
      </c>
      <c r="G1456" s="19">
        <v>5</v>
      </c>
      <c r="H1456" s="19">
        <v>9</v>
      </c>
      <c r="I1456" t="b">
        <v>1</v>
      </c>
      <c r="J1456" t="s">
        <v>1121</v>
      </c>
      <c r="K1456" t="s">
        <v>32</v>
      </c>
      <c r="Q1456" t="s">
        <v>1145</v>
      </c>
      <c r="R1456" t="s">
        <v>1145</v>
      </c>
      <c r="S1456" s="6">
        <v>6</v>
      </c>
    </row>
    <row r="1457" spans="1:19" x14ac:dyDescent="0.25">
      <c r="A1457" t="s">
        <v>1114</v>
      </c>
      <c r="B1457" t="s">
        <v>1149</v>
      </c>
      <c r="C1457">
        <v>2</v>
      </c>
      <c r="D1457" t="s">
        <v>1122</v>
      </c>
      <c r="E1457" t="s">
        <v>1127</v>
      </c>
      <c r="F1457" s="5" t="s">
        <v>25</v>
      </c>
      <c r="G1457" s="19">
        <v>3</v>
      </c>
      <c r="H1457" s="19">
        <v>6</v>
      </c>
      <c r="I1457" t="b">
        <v>1</v>
      </c>
      <c r="J1457" t="s">
        <v>1124</v>
      </c>
      <c r="K1457" t="s">
        <v>32</v>
      </c>
      <c r="Q1457" t="s">
        <v>1145</v>
      </c>
      <c r="R1457" t="s">
        <v>1145</v>
      </c>
      <c r="S1457" s="6">
        <v>8</v>
      </c>
    </row>
    <row r="1458" spans="1:19" x14ac:dyDescent="0.25">
      <c r="A1458" t="s">
        <v>1114</v>
      </c>
      <c r="B1458" t="s">
        <v>1149</v>
      </c>
      <c r="C1458">
        <v>2</v>
      </c>
      <c r="D1458" t="s">
        <v>1125</v>
      </c>
      <c r="E1458" t="s">
        <v>1212</v>
      </c>
      <c r="F1458" s="5" t="s">
        <v>26</v>
      </c>
      <c r="G1458" s="19">
        <v>0</v>
      </c>
      <c r="H1458" s="19">
        <v>4</v>
      </c>
      <c r="I1458" t="b">
        <v>0</v>
      </c>
      <c r="J1458" t="s">
        <v>1126</v>
      </c>
      <c r="K1458" t="s">
        <v>32</v>
      </c>
      <c r="Q1458" t="s">
        <v>1145</v>
      </c>
      <c r="R1458" t="s">
        <v>1145</v>
      </c>
      <c r="S1458" s="6">
        <v>5</v>
      </c>
    </row>
    <row r="1459" spans="1:19" x14ac:dyDescent="0.25">
      <c r="A1459" t="s">
        <v>1114</v>
      </c>
      <c r="B1459" t="s">
        <v>1149</v>
      </c>
      <c r="C1459">
        <v>2</v>
      </c>
      <c r="D1459" t="s">
        <v>144</v>
      </c>
      <c r="E1459" t="s">
        <v>1112</v>
      </c>
      <c r="F1459" s="5" t="s">
        <v>25</v>
      </c>
      <c r="G1459" s="19">
        <v>1</v>
      </c>
      <c r="H1459" s="19">
        <v>4</v>
      </c>
      <c r="I1459" t="b">
        <v>1</v>
      </c>
      <c r="J1459" t="s">
        <v>1128</v>
      </c>
      <c r="K1459" t="s">
        <v>32</v>
      </c>
      <c r="Q1459" t="s">
        <v>1145</v>
      </c>
      <c r="R1459" t="s">
        <v>1145</v>
      </c>
      <c r="S1459" s="83">
        <v>9</v>
      </c>
    </row>
    <row r="1460" spans="1:19" x14ac:dyDescent="0.25">
      <c r="A1460" t="s">
        <v>1114</v>
      </c>
      <c r="B1460" t="s">
        <v>1149</v>
      </c>
      <c r="C1460">
        <v>2</v>
      </c>
      <c r="D1460" t="s">
        <v>1129</v>
      </c>
      <c r="E1460" t="s">
        <v>1130</v>
      </c>
      <c r="F1460" s="5" t="s">
        <v>27</v>
      </c>
      <c r="G1460" s="19">
        <v>5</v>
      </c>
      <c r="H1460" s="19">
        <v>10</v>
      </c>
      <c r="I1460" t="b">
        <v>0</v>
      </c>
      <c r="J1460" t="s">
        <v>1131</v>
      </c>
      <c r="K1460" t="s">
        <v>32</v>
      </c>
      <c r="Q1460" t="s">
        <v>1145</v>
      </c>
      <c r="R1460" t="s">
        <v>1145</v>
      </c>
      <c r="S1460" s="83">
        <v>4</v>
      </c>
    </row>
    <row r="1461" spans="1:19" x14ac:dyDescent="0.25">
      <c r="A1461" t="s">
        <v>1114</v>
      </c>
      <c r="B1461" t="s">
        <v>1149</v>
      </c>
      <c r="C1461">
        <v>2</v>
      </c>
      <c r="D1461" t="s">
        <v>109</v>
      </c>
      <c r="E1461" t="s">
        <v>1213</v>
      </c>
      <c r="F1461" s="5" t="s">
        <v>26</v>
      </c>
      <c r="G1461" s="19">
        <v>10</v>
      </c>
      <c r="H1461" s="19">
        <v>20</v>
      </c>
      <c r="I1461" t="b">
        <v>0</v>
      </c>
      <c r="J1461" t="s">
        <v>1132</v>
      </c>
      <c r="K1461" t="s">
        <v>32</v>
      </c>
      <c r="Q1461" t="s">
        <v>1145</v>
      </c>
      <c r="R1461" t="s">
        <v>1145</v>
      </c>
      <c r="S1461" s="83">
        <v>3</v>
      </c>
    </row>
    <row r="1462" spans="1:19" x14ac:dyDescent="0.25">
      <c r="A1462" t="s">
        <v>1114</v>
      </c>
      <c r="B1462" t="s">
        <v>1149</v>
      </c>
      <c r="C1462">
        <v>3</v>
      </c>
      <c r="D1462" t="s">
        <v>11</v>
      </c>
      <c r="E1462" t="s">
        <v>551</v>
      </c>
      <c r="F1462" s="5" t="s">
        <v>24</v>
      </c>
      <c r="G1462" s="19">
        <v>30</v>
      </c>
      <c r="H1462" s="19">
        <v>40</v>
      </c>
      <c r="I1462" t="b">
        <v>1</v>
      </c>
      <c r="J1462" t="s">
        <v>0</v>
      </c>
      <c r="K1462" t="s">
        <v>32</v>
      </c>
      <c r="Q1462" t="s">
        <v>1145</v>
      </c>
      <c r="R1462" t="s">
        <v>1145</v>
      </c>
      <c r="S1462" s="83">
        <v>1</v>
      </c>
    </row>
    <row r="1463" spans="1:19" x14ac:dyDescent="0.25">
      <c r="A1463" t="s">
        <v>1114</v>
      </c>
      <c r="B1463" t="s">
        <v>1149</v>
      </c>
      <c r="C1463">
        <v>3</v>
      </c>
      <c r="D1463" t="s">
        <v>13</v>
      </c>
      <c r="E1463" t="s">
        <v>1147</v>
      </c>
      <c r="F1463" s="5" t="s">
        <v>25</v>
      </c>
      <c r="G1463" s="19">
        <v>13</v>
      </c>
      <c r="H1463" s="19">
        <v>18</v>
      </c>
      <c r="I1463" t="b">
        <v>1</v>
      </c>
      <c r="J1463" t="s">
        <v>10</v>
      </c>
      <c r="K1463" t="s">
        <v>32</v>
      </c>
      <c r="Q1463" t="s">
        <v>1145</v>
      </c>
      <c r="R1463" t="s">
        <v>1145</v>
      </c>
      <c r="S1463" s="6">
        <v>2</v>
      </c>
    </row>
    <row r="1464" spans="1:19" x14ac:dyDescent="0.25">
      <c r="A1464" t="s">
        <v>1114</v>
      </c>
      <c r="B1464" t="s">
        <v>1149</v>
      </c>
      <c r="C1464">
        <v>3</v>
      </c>
      <c r="D1464" t="s">
        <v>1118</v>
      </c>
      <c r="E1464" t="s">
        <v>1220</v>
      </c>
      <c r="F1464" s="5" t="s">
        <v>26</v>
      </c>
      <c r="G1464" s="19">
        <v>35</v>
      </c>
      <c r="H1464" s="19">
        <v>45</v>
      </c>
      <c r="I1464" t="b">
        <v>0</v>
      </c>
      <c r="J1464" t="s">
        <v>1119</v>
      </c>
      <c r="K1464" t="s">
        <v>32</v>
      </c>
      <c r="Q1464" t="s">
        <v>1145</v>
      </c>
      <c r="R1464" t="s">
        <v>1145</v>
      </c>
      <c r="S1464" s="83">
        <v>7</v>
      </c>
    </row>
    <row r="1465" spans="1:19" x14ac:dyDescent="0.25">
      <c r="A1465" t="s">
        <v>1114</v>
      </c>
      <c r="B1465" t="s">
        <v>1149</v>
      </c>
      <c r="C1465">
        <v>3</v>
      </c>
      <c r="D1465" t="s">
        <v>29</v>
      </c>
      <c r="E1465" t="s">
        <v>1139</v>
      </c>
      <c r="F1465" s="5" t="s">
        <v>25</v>
      </c>
      <c r="G1465" s="19">
        <v>0</v>
      </c>
      <c r="H1465" s="19">
        <v>5</v>
      </c>
      <c r="I1465" t="b">
        <v>1</v>
      </c>
      <c r="J1465" t="s">
        <v>1121</v>
      </c>
      <c r="K1465" t="s">
        <v>32</v>
      </c>
      <c r="Q1465" t="s">
        <v>1145</v>
      </c>
      <c r="R1465" t="s">
        <v>1145</v>
      </c>
      <c r="S1465" s="6">
        <v>6</v>
      </c>
    </row>
    <row r="1466" spans="1:19" x14ac:dyDescent="0.25">
      <c r="A1466" t="s">
        <v>1114</v>
      </c>
      <c r="B1466" t="s">
        <v>1149</v>
      </c>
      <c r="C1466">
        <v>3</v>
      </c>
      <c r="D1466" t="s">
        <v>1122</v>
      </c>
      <c r="E1466" t="s">
        <v>1113</v>
      </c>
      <c r="F1466" s="5" t="s">
        <v>25</v>
      </c>
      <c r="G1466" s="19">
        <v>0</v>
      </c>
      <c r="H1466" s="19">
        <v>3</v>
      </c>
      <c r="I1466" t="b">
        <v>1</v>
      </c>
      <c r="J1466" t="s">
        <v>1124</v>
      </c>
      <c r="K1466" t="s">
        <v>32</v>
      </c>
      <c r="Q1466" t="s">
        <v>1145</v>
      </c>
      <c r="R1466" t="s">
        <v>1145</v>
      </c>
      <c r="S1466" s="6">
        <v>8</v>
      </c>
    </row>
    <row r="1467" spans="1:19" x14ac:dyDescent="0.25">
      <c r="A1467" t="s">
        <v>1114</v>
      </c>
      <c r="B1467" t="s">
        <v>1149</v>
      </c>
      <c r="C1467">
        <v>3</v>
      </c>
      <c r="D1467" t="s">
        <v>1125</v>
      </c>
      <c r="E1467" t="s">
        <v>1214</v>
      </c>
      <c r="F1467" s="5" t="s">
        <v>26</v>
      </c>
      <c r="G1467" s="19">
        <v>4</v>
      </c>
      <c r="H1467" s="19">
        <v>10</v>
      </c>
      <c r="I1467" t="b">
        <v>0</v>
      </c>
      <c r="J1467" t="s">
        <v>1126</v>
      </c>
      <c r="K1467" t="s">
        <v>32</v>
      </c>
      <c r="Q1467" t="s">
        <v>1145</v>
      </c>
      <c r="R1467" t="s">
        <v>1145</v>
      </c>
      <c r="S1467" s="6">
        <v>5</v>
      </c>
    </row>
    <row r="1468" spans="1:19" x14ac:dyDescent="0.25">
      <c r="A1468" t="s">
        <v>1114</v>
      </c>
      <c r="B1468" t="s">
        <v>1149</v>
      </c>
      <c r="C1468">
        <v>3</v>
      </c>
      <c r="D1468" t="s">
        <v>144</v>
      </c>
      <c r="E1468" t="s">
        <v>1111</v>
      </c>
      <c r="F1468" s="5" t="s">
        <v>25</v>
      </c>
      <c r="G1468" s="19">
        <v>0</v>
      </c>
      <c r="H1468" s="19">
        <v>1</v>
      </c>
      <c r="I1468" t="b">
        <v>1</v>
      </c>
      <c r="J1468" t="s">
        <v>1128</v>
      </c>
      <c r="K1468" t="s">
        <v>32</v>
      </c>
      <c r="Q1468" t="s">
        <v>1145</v>
      </c>
      <c r="R1468" t="s">
        <v>1145</v>
      </c>
      <c r="S1468" s="83">
        <v>9</v>
      </c>
    </row>
    <row r="1469" spans="1:19" x14ac:dyDescent="0.25">
      <c r="A1469" t="s">
        <v>1114</v>
      </c>
      <c r="B1469" t="s">
        <v>1149</v>
      </c>
      <c r="C1469">
        <v>3</v>
      </c>
      <c r="D1469" t="s">
        <v>1129</v>
      </c>
      <c r="E1469" t="s">
        <v>1213</v>
      </c>
      <c r="F1469" s="5" t="s">
        <v>26</v>
      </c>
      <c r="G1469" s="19">
        <v>10</v>
      </c>
      <c r="H1469" s="19">
        <v>20</v>
      </c>
      <c r="I1469" t="b">
        <v>0</v>
      </c>
      <c r="J1469" t="s">
        <v>1131</v>
      </c>
      <c r="K1469" t="s">
        <v>32</v>
      </c>
      <c r="Q1469" t="s">
        <v>1145</v>
      </c>
      <c r="R1469" t="s">
        <v>1145</v>
      </c>
      <c r="S1469" s="83">
        <v>4</v>
      </c>
    </row>
    <row r="1470" spans="1:19" x14ac:dyDescent="0.25">
      <c r="A1470" t="s">
        <v>1114</v>
      </c>
      <c r="B1470" t="s">
        <v>1149</v>
      </c>
      <c r="C1470">
        <v>3</v>
      </c>
      <c r="D1470" t="s">
        <v>109</v>
      </c>
      <c r="E1470" t="s">
        <v>1215</v>
      </c>
      <c r="F1470" s="5" t="s">
        <v>26</v>
      </c>
      <c r="G1470" s="19">
        <v>20</v>
      </c>
      <c r="H1470" s="19">
        <v>30</v>
      </c>
      <c r="I1470" t="b">
        <v>0</v>
      </c>
      <c r="J1470" t="s">
        <v>1132</v>
      </c>
      <c r="K1470" t="s">
        <v>32</v>
      </c>
      <c r="Q1470" t="s">
        <v>1145</v>
      </c>
      <c r="R1470" t="s">
        <v>1145</v>
      </c>
      <c r="S1470" s="83">
        <v>3</v>
      </c>
    </row>
    <row r="1471" spans="1:19" x14ac:dyDescent="0.25">
      <c r="A1471" t="s">
        <v>1114</v>
      </c>
      <c r="B1471" t="s">
        <v>1149</v>
      </c>
      <c r="C1471">
        <v>4</v>
      </c>
      <c r="D1471" t="s">
        <v>11</v>
      </c>
      <c r="E1471" t="s">
        <v>525</v>
      </c>
      <c r="F1471" s="5" t="s">
        <v>24</v>
      </c>
      <c r="G1471" s="19">
        <v>20</v>
      </c>
      <c r="H1471" s="19">
        <v>30</v>
      </c>
      <c r="I1471" t="b">
        <v>1</v>
      </c>
      <c r="J1471" t="s">
        <v>0</v>
      </c>
      <c r="K1471" t="s">
        <v>32</v>
      </c>
      <c r="Q1471" t="s">
        <v>1145</v>
      </c>
      <c r="R1471" t="s">
        <v>1145</v>
      </c>
      <c r="S1471" s="83">
        <v>1</v>
      </c>
    </row>
    <row r="1472" spans="1:19" x14ac:dyDescent="0.25">
      <c r="A1472" t="s">
        <v>1114</v>
      </c>
      <c r="B1472" t="s">
        <v>1149</v>
      </c>
      <c r="C1472">
        <v>4</v>
      </c>
      <c r="D1472" t="s">
        <v>13</v>
      </c>
      <c r="E1472" t="s">
        <v>1148</v>
      </c>
      <c r="F1472" s="5" t="s">
        <v>25</v>
      </c>
      <c r="G1472" s="19">
        <v>6</v>
      </c>
      <c r="H1472" s="19">
        <v>13</v>
      </c>
      <c r="I1472" t="b">
        <v>1</v>
      </c>
      <c r="J1472" t="s">
        <v>10</v>
      </c>
      <c r="K1472" t="s">
        <v>32</v>
      </c>
      <c r="Q1472" t="s">
        <v>1145</v>
      </c>
      <c r="R1472" t="s">
        <v>1145</v>
      </c>
      <c r="S1472" s="6">
        <v>2</v>
      </c>
    </row>
    <row r="1473" spans="1:19" x14ac:dyDescent="0.25">
      <c r="A1473" t="s">
        <v>1114</v>
      </c>
      <c r="B1473" t="s">
        <v>1149</v>
      </c>
      <c r="C1473">
        <v>4</v>
      </c>
      <c r="D1473" t="s">
        <v>1125</v>
      </c>
      <c r="E1473" t="s">
        <v>1216</v>
      </c>
      <c r="F1473" s="5" t="s">
        <v>26</v>
      </c>
      <c r="G1473" s="19">
        <v>15</v>
      </c>
      <c r="H1473" s="19">
        <v>25</v>
      </c>
      <c r="I1473" t="b">
        <v>0</v>
      </c>
      <c r="J1473" t="s">
        <v>1126</v>
      </c>
      <c r="K1473" t="s">
        <v>32</v>
      </c>
      <c r="Q1473" t="s">
        <v>1145</v>
      </c>
      <c r="R1473" t="s">
        <v>1145</v>
      </c>
      <c r="S1473" s="6">
        <v>5</v>
      </c>
    </row>
    <row r="1474" spans="1:19" x14ac:dyDescent="0.25">
      <c r="A1474" t="s">
        <v>1114</v>
      </c>
      <c r="B1474" t="s">
        <v>1149</v>
      </c>
      <c r="C1474">
        <v>4</v>
      </c>
      <c r="D1474" t="s">
        <v>1118</v>
      </c>
      <c r="E1474" t="s">
        <v>1217</v>
      </c>
      <c r="F1474" s="5" t="s">
        <v>26</v>
      </c>
      <c r="G1474" s="19">
        <v>45</v>
      </c>
      <c r="H1474" s="19">
        <v>55</v>
      </c>
      <c r="I1474" t="b">
        <v>0</v>
      </c>
      <c r="J1474" t="s">
        <v>1119</v>
      </c>
      <c r="K1474" t="s">
        <v>32</v>
      </c>
      <c r="L1474" t="s">
        <v>716</v>
      </c>
      <c r="M1474" t="s">
        <v>1138</v>
      </c>
      <c r="Q1474" t="s">
        <v>1145</v>
      </c>
      <c r="R1474" t="s">
        <v>1145</v>
      </c>
      <c r="S1474" s="83">
        <v>7</v>
      </c>
    </row>
    <row r="1475" spans="1:19" x14ac:dyDescent="0.25">
      <c r="A1475" t="s">
        <v>1114</v>
      </c>
      <c r="B1475" t="s">
        <v>1149</v>
      </c>
      <c r="C1475">
        <v>4</v>
      </c>
      <c r="D1475" t="s">
        <v>29</v>
      </c>
      <c r="E1475" t="s">
        <v>1111</v>
      </c>
      <c r="F1475" s="5" t="s">
        <v>25</v>
      </c>
      <c r="G1475" s="19">
        <v>0</v>
      </c>
      <c r="H1475" s="19">
        <v>1</v>
      </c>
      <c r="I1475" t="b">
        <v>1</v>
      </c>
      <c r="J1475" t="s">
        <v>1121</v>
      </c>
      <c r="K1475" t="s">
        <v>32</v>
      </c>
      <c r="L1475" t="s">
        <v>716</v>
      </c>
      <c r="M1475" t="s">
        <v>1138</v>
      </c>
      <c r="Q1475" t="s">
        <v>1145</v>
      </c>
      <c r="R1475" t="s">
        <v>1145</v>
      </c>
      <c r="S1475" s="6">
        <v>6</v>
      </c>
    </row>
    <row r="1476" spans="1:19" x14ac:dyDescent="0.25">
      <c r="A1476" t="s">
        <v>1114</v>
      </c>
      <c r="B1476" t="s">
        <v>1149</v>
      </c>
      <c r="C1476">
        <v>4</v>
      </c>
      <c r="D1476" t="s">
        <v>1129</v>
      </c>
      <c r="E1476" t="s">
        <v>1215</v>
      </c>
      <c r="F1476" s="5" t="s">
        <v>26</v>
      </c>
      <c r="G1476" s="19">
        <v>20</v>
      </c>
      <c r="H1476" s="19">
        <v>30</v>
      </c>
      <c r="I1476" t="b">
        <v>0</v>
      </c>
      <c r="J1476" t="s">
        <v>1131</v>
      </c>
      <c r="K1476" t="s">
        <v>32</v>
      </c>
      <c r="L1476" t="s">
        <v>716</v>
      </c>
      <c r="M1476" t="s">
        <v>1138</v>
      </c>
      <c r="Q1476" t="s">
        <v>1145</v>
      </c>
      <c r="R1476" t="s">
        <v>1145</v>
      </c>
      <c r="S1476" s="83">
        <v>4</v>
      </c>
    </row>
    <row r="1477" spans="1:19" x14ac:dyDescent="0.25">
      <c r="A1477" t="s">
        <v>1114</v>
      </c>
      <c r="B1477" t="s">
        <v>1149</v>
      </c>
      <c r="C1477">
        <v>4</v>
      </c>
      <c r="D1477" t="s">
        <v>109</v>
      </c>
      <c r="E1477" t="s">
        <v>1211</v>
      </c>
      <c r="F1477" s="5" t="s">
        <v>26</v>
      </c>
      <c r="G1477" s="19">
        <v>30</v>
      </c>
      <c r="H1477" s="19">
        <v>40</v>
      </c>
      <c r="I1477" t="b">
        <v>0</v>
      </c>
      <c r="J1477" t="s">
        <v>1132</v>
      </c>
      <c r="K1477" t="s">
        <v>32</v>
      </c>
      <c r="L1477" t="s">
        <v>716</v>
      </c>
      <c r="M1477" t="s">
        <v>1138</v>
      </c>
      <c r="Q1477" t="s">
        <v>1145</v>
      </c>
      <c r="R1477" t="s">
        <v>1145</v>
      </c>
      <c r="S1477" s="83">
        <v>3</v>
      </c>
    </row>
    <row r="1478" spans="1:19" x14ac:dyDescent="0.25">
      <c r="A1478" t="s">
        <v>1114</v>
      </c>
      <c r="B1478" t="s">
        <v>1149</v>
      </c>
      <c r="C1478">
        <v>5</v>
      </c>
      <c r="D1478" t="s">
        <v>11</v>
      </c>
      <c r="E1478" t="s">
        <v>524</v>
      </c>
      <c r="F1478" s="5" t="s">
        <v>24</v>
      </c>
      <c r="G1478" s="19">
        <v>10</v>
      </c>
      <c r="H1478" s="19">
        <v>20</v>
      </c>
      <c r="I1478" t="b">
        <v>1</v>
      </c>
      <c r="J1478" t="s">
        <v>0</v>
      </c>
      <c r="K1478" t="s">
        <v>32</v>
      </c>
      <c r="L1478" t="s">
        <v>716</v>
      </c>
      <c r="M1478" t="s">
        <v>1138</v>
      </c>
      <c r="Q1478" t="s">
        <v>1145</v>
      </c>
      <c r="R1478" t="s">
        <v>1145</v>
      </c>
      <c r="S1478" s="83">
        <v>1</v>
      </c>
    </row>
    <row r="1479" spans="1:19" x14ac:dyDescent="0.25">
      <c r="A1479" t="s">
        <v>1114</v>
      </c>
      <c r="B1479" t="s">
        <v>1149</v>
      </c>
      <c r="C1479">
        <v>5</v>
      </c>
      <c r="D1479" t="s">
        <v>13</v>
      </c>
      <c r="E1479" t="s">
        <v>1112</v>
      </c>
      <c r="F1479" s="5" t="s">
        <v>25</v>
      </c>
      <c r="G1479" s="19">
        <v>1</v>
      </c>
      <c r="H1479" s="19">
        <v>4</v>
      </c>
      <c r="I1479" t="b">
        <v>1</v>
      </c>
      <c r="J1479" t="s">
        <v>10</v>
      </c>
      <c r="K1479" t="s">
        <v>32</v>
      </c>
      <c r="L1479" t="s">
        <v>716</v>
      </c>
      <c r="M1479" t="s">
        <v>1138</v>
      </c>
      <c r="Q1479" t="s">
        <v>1145</v>
      </c>
      <c r="R1479" t="s">
        <v>1145</v>
      </c>
      <c r="S1479" s="6">
        <v>2</v>
      </c>
    </row>
    <row r="1480" spans="1:19" x14ac:dyDescent="0.25">
      <c r="A1480" t="s">
        <v>1114</v>
      </c>
      <c r="B1480" t="s">
        <v>1149</v>
      </c>
      <c r="C1480">
        <v>5</v>
      </c>
      <c r="D1480" t="s">
        <v>1129</v>
      </c>
      <c r="E1480" t="s">
        <v>1135</v>
      </c>
      <c r="F1480" s="5" t="s">
        <v>27</v>
      </c>
      <c r="G1480" s="19">
        <v>40</v>
      </c>
      <c r="H1480" s="19">
        <v>45</v>
      </c>
      <c r="I1480" t="b">
        <v>0</v>
      </c>
      <c r="J1480" t="s">
        <v>1131</v>
      </c>
      <c r="K1480" t="s">
        <v>32</v>
      </c>
      <c r="L1480" t="s">
        <v>716</v>
      </c>
      <c r="M1480" t="s">
        <v>1138</v>
      </c>
      <c r="Q1480" t="s">
        <v>1145</v>
      </c>
      <c r="R1480" t="s">
        <v>1145</v>
      </c>
      <c r="S1480" s="83">
        <v>4</v>
      </c>
    </row>
    <row r="1481" spans="1:19" x14ac:dyDescent="0.25">
      <c r="A1481" t="s">
        <v>1114</v>
      </c>
      <c r="B1481" t="s">
        <v>1149</v>
      </c>
      <c r="C1481">
        <v>5</v>
      </c>
      <c r="D1481" t="s">
        <v>109</v>
      </c>
      <c r="E1481" t="s">
        <v>1217</v>
      </c>
      <c r="F1481" s="5" t="s">
        <v>26</v>
      </c>
      <c r="G1481" s="19">
        <v>45</v>
      </c>
      <c r="H1481" s="19">
        <v>55</v>
      </c>
      <c r="I1481" t="b">
        <v>0</v>
      </c>
      <c r="J1481" t="s">
        <v>1132</v>
      </c>
      <c r="K1481" t="s">
        <v>32</v>
      </c>
      <c r="L1481" t="s">
        <v>716</v>
      </c>
      <c r="M1481" t="s">
        <v>1138</v>
      </c>
      <c r="Q1481" t="s">
        <v>1145</v>
      </c>
      <c r="R1481" t="s">
        <v>1145</v>
      </c>
      <c r="S1481" s="83">
        <v>3</v>
      </c>
    </row>
    <row r="1482" spans="1:19" x14ac:dyDescent="0.25">
      <c r="A1482" t="s">
        <v>1151</v>
      </c>
      <c r="B1482" t="s">
        <v>1141</v>
      </c>
      <c r="C1482">
        <v>2</v>
      </c>
      <c r="D1482" t="s">
        <v>1152</v>
      </c>
      <c r="E1482" t="s">
        <v>1167</v>
      </c>
      <c r="F1482" s="5" t="s">
        <v>25</v>
      </c>
      <c r="G1482" s="19">
        <v>11</v>
      </c>
      <c r="H1482" s="19">
        <v>14</v>
      </c>
      <c r="I1482" t="b">
        <v>1</v>
      </c>
      <c r="J1482" t="s">
        <v>1154</v>
      </c>
      <c r="K1482" t="s">
        <v>32</v>
      </c>
      <c r="Q1482" t="s">
        <v>1141</v>
      </c>
      <c r="R1482" t="s">
        <v>1141</v>
      </c>
      <c r="S1482" s="6">
        <v>1</v>
      </c>
    </row>
    <row r="1483" spans="1:19" x14ac:dyDescent="0.25">
      <c r="A1483" t="s">
        <v>1151</v>
      </c>
      <c r="B1483" t="s">
        <v>1141</v>
      </c>
      <c r="C1483">
        <v>2</v>
      </c>
      <c r="D1483" t="s">
        <v>885</v>
      </c>
      <c r="E1483" t="s">
        <v>1168</v>
      </c>
      <c r="F1483" s="5" t="s">
        <v>25</v>
      </c>
      <c r="G1483" s="19">
        <v>5</v>
      </c>
      <c r="H1483" s="19">
        <v>8</v>
      </c>
      <c r="I1483" t="b">
        <v>1</v>
      </c>
      <c r="J1483" t="s">
        <v>1169</v>
      </c>
      <c r="K1483" t="s">
        <v>32</v>
      </c>
      <c r="Q1483" t="s">
        <v>1141</v>
      </c>
      <c r="R1483" t="s">
        <v>1141</v>
      </c>
      <c r="S1483" s="83">
        <v>4</v>
      </c>
    </row>
    <row r="1484" spans="1:19" x14ac:dyDescent="0.25">
      <c r="A1484" t="s">
        <v>1151</v>
      </c>
      <c r="B1484" t="s">
        <v>1141</v>
      </c>
      <c r="C1484">
        <v>2</v>
      </c>
      <c r="D1484" t="s">
        <v>392</v>
      </c>
      <c r="E1484" t="s">
        <v>1221</v>
      </c>
      <c r="F1484" s="5" t="s">
        <v>24</v>
      </c>
      <c r="G1484" s="19">
        <v>50</v>
      </c>
      <c r="H1484" s="19">
        <v>60</v>
      </c>
      <c r="I1484" t="b">
        <v>1</v>
      </c>
      <c r="J1484" t="s">
        <v>847</v>
      </c>
      <c r="K1484" t="s">
        <v>32</v>
      </c>
      <c r="Q1484" t="s">
        <v>1141</v>
      </c>
      <c r="R1484" t="s">
        <v>1141</v>
      </c>
      <c r="S1484" s="83">
        <v>3</v>
      </c>
    </row>
    <row r="1485" spans="1:19" x14ac:dyDescent="0.25">
      <c r="A1485" t="s">
        <v>1151</v>
      </c>
      <c r="B1485" t="s">
        <v>1141</v>
      </c>
      <c r="C1485">
        <v>2</v>
      </c>
      <c r="D1485" t="s">
        <v>1162</v>
      </c>
      <c r="E1485" t="s">
        <v>1170</v>
      </c>
      <c r="F1485" s="5" t="s">
        <v>27</v>
      </c>
      <c r="G1485" s="19">
        <v>0</v>
      </c>
      <c r="H1485" s="19">
        <v>0.1</v>
      </c>
      <c r="I1485" t="b">
        <v>0</v>
      </c>
      <c r="J1485" t="s">
        <v>1171</v>
      </c>
      <c r="K1485" t="s">
        <v>32</v>
      </c>
      <c r="Q1485" t="s">
        <v>1141</v>
      </c>
      <c r="R1485" t="s">
        <v>1141</v>
      </c>
      <c r="S1485" s="83">
        <v>2</v>
      </c>
    </row>
    <row r="1486" spans="1:19" x14ac:dyDescent="0.25">
      <c r="A1486" t="s">
        <v>1151</v>
      </c>
      <c r="B1486" t="s">
        <v>1141</v>
      </c>
      <c r="C1486">
        <v>2</v>
      </c>
      <c r="D1486" t="s">
        <v>1156</v>
      </c>
      <c r="E1486" t="s">
        <v>1172</v>
      </c>
      <c r="F1486" s="5" t="s">
        <v>25</v>
      </c>
      <c r="G1486" s="19">
        <v>6</v>
      </c>
      <c r="H1486" s="19">
        <v>9</v>
      </c>
      <c r="I1486" t="b">
        <v>1</v>
      </c>
      <c r="J1486" t="s">
        <v>1173</v>
      </c>
      <c r="K1486" t="s">
        <v>32</v>
      </c>
      <c r="Q1486" t="s">
        <v>1141</v>
      </c>
      <c r="R1486" t="s">
        <v>1141</v>
      </c>
      <c r="S1486" s="83">
        <v>7</v>
      </c>
    </row>
    <row r="1487" spans="1:19" x14ac:dyDescent="0.25">
      <c r="A1487" t="s">
        <v>1151</v>
      </c>
      <c r="B1487" t="s">
        <v>1141</v>
      </c>
      <c r="C1487">
        <v>2</v>
      </c>
      <c r="D1487" t="s">
        <v>1155</v>
      </c>
      <c r="E1487" t="s">
        <v>524</v>
      </c>
      <c r="F1487" s="5" t="s">
        <v>24</v>
      </c>
      <c r="G1487" s="19">
        <v>10</v>
      </c>
      <c r="H1487" s="19">
        <v>20</v>
      </c>
      <c r="I1487" t="b">
        <v>1</v>
      </c>
      <c r="J1487" t="s">
        <v>1174</v>
      </c>
      <c r="K1487" t="s">
        <v>32</v>
      </c>
      <c r="Q1487" t="s">
        <v>1141</v>
      </c>
      <c r="R1487" t="s">
        <v>1141</v>
      </c>
      <c r="S1487" s="83">
        <v>8</v>
      </c>
    </row>
    <row r="1488" spans="1:19" x14ac:dyDescent="0.25">
      <c r="A1488" t="s">
        <v>1151</v>
      </c>
      <c r="B1488" t="s">
        <v>1141</v>
      </c>
      <c r="C1488">
        <v>2</v>
      </c>
      <c r="D1488" t="s">
        <v>1157</v>
      </c>
      <c r="E1488" t="s">
        <v>1175</v>
      </c>
      <c r="F1488" s="5" t="s">
        <v>25</v>
      </c>
      <c r="G1488" s="19">
        <v>3.5</v>
      </c>
      <c r="H1488" s="19">
        <v>5</v>
      </c>
      <c r="I1488" t="b">
        <v>1</v>
      </c>
      <c r="J1488" t="s">
        <v>1176</v>
      </c>
      <c r="K1488" t="s">
        <v>32</v>
      </c>
      <c r="Q1488" t="s">
        <v>1141</v>
      </c>
      <c r="R1488" t="s">
        <v>1141</v>
      </c>
      <c r="S1488" s="83">
        <v>11</v>
      </c>
    </row>
    <row r="1489" spans="1:19" x14ac:dyDescent="0.25">
      <c r="A1489" t="s">
        <v>1151</v>
      </c>
      <c r="B1489" t="s">
        <v>1141</v>
      </c>
      <c r="C1489">
        <v>2</v>
      </c>
      <c r="D1489" t="s">
        <v>1159</v>
      </c>
      <c r="E1489" t="s">
        <v>1111</v>
      </c>
      <c r="F1489" s="5" t="s">
        <v>25</v>
      </c>
      <c r="G1489" s="19">
        <v>0</v>
      </c>
      <c r="H1489" s="19">
        <v>1</v>
      </c>
      <c r="I1489" t="b">
        <v>1</v>
      </c>
      <c r="J1489" t="s">
        <v>1177</v>
      </c>
      <c r="K1489" t="s">
        <v>32</v>
      </c>
      <c r="Q1489" t="s">
        <v>1141</v>
      </c>
      <c r="R1489" t="s">
        <v>1141</v>
      </c>
      <c r="S1489" s="83">
        <v>12</v>
      </c>
    </row>
    <row r="1490" spans="1:19" x14ac:dyDescent="0.25">
      <c r="A1490" t="s">
        <v>1151</v>
      </c>
      <c r="B1490" t="s">
        <v>1141</v>
      </c>
      <c r="C1490">
        <v>2</v>
      </c>
      <c r="D1490" t="s">
        <v>1158</v>
      </c>
      <c r="E1490" t="s">
        <v>1178</v>
      </c>
      <c r="F1490" s="5" t="s">
        <v>25</v>
      </c>
      <c r="G1490" s="19">
        <v>4.5</v>
      </c>
      <c r="H1490" s="19">
        <v>6</v>
      </c>
      <c r="I1490" t="b">
        <v>1</v>
      </c>
      <c r="J1490" t="s">
        <v>1179</v>
      </c>
      <c r="K1490" t="s">
        <v>32</v>
      </c>
      <c r="Q1490" t="s">
        <v>1141</v>
      </c>
      <c r="R1490" t="s">
        <v>1141</v>
      </c>
      <c r="S1490" s="83">
        <v>9</v>
      </c>
    </row>
    <row r="1491" spans="1:19" x14ac:dyDescent="0.25">
      <c r="A1491" t="s">
        <v>1151</v>
      </c>
      <c r="B1491" t="s">
        <v>1141</v>
      </c>
      <c r="C1491">
        <v>2</v>
      </c>
      <c r="D1491" t="s">
        <v>1160</v>
      </c>
      <c r="E1491" t="s">
        <v>1111</v>
      </c>
      <c r="F1491" s="5" t="s">
        <v>25</v>
      </c>
      <c r="G1491" s="19">
        <v>0</v>
      </c>
      <c r="H1491" s="19">
        <v>1</v>
      </c>
      <c r="I1491" t="b">
        <v>1</v>
      </c>
      <c r="J1491" t="s">
        <v>1180</v>
      </c>
      <c r="K1491" t="s">
        <v>32</v>
      </c>
      <c r="Q1491" t="s">
        <v>1141</v>
      </c>
      <c r="R1491" t="s">
        <v>1141</v>
      </c>
      <c r="S1491" s="83">
        <v>10</v>
      </c>
    </row>
    <row r="1492" spans="1:19" x14ac:dyDescent="0.25">
      <c r="A1492" t="s">
        <v>1151</v>
      </c>
      <c r="B1492" t="s">
        <v>1141</v>
      </c>
      <c r="C1492">
        <v>2</v>
      </c>
      <c r="D1492" t="s">
        <v>1181</v>
      </c>
      <c r="E1492" t="s">
        <v>545</v>
      </c>
      <c r="F1492" s="5" t="s">
        <v>24</v>
      </c>
      <c r="G1492" s="19">
        <v>40</v>
      </c>
      <c r="H1492" s="19">
        <v>50</v>
      </c>
      <c r="I1492" t="b">
        <v>1</v>
      </c>
      <c r="J1492" t="s">
        <v>1182</v>
      </c>
      <c r="K1492" t="s">
        <v>32</v>
      </c>
      <c r="Q1492" t="s">
        <v>1141</v>
      </c>
      <c r="R1492" t="s">
        <v>1141</v>
      </c>
      <c r="S1492" s="83">
        <v>15</v>
      </c>
    </row>
    <row r="1493" spans="1:19" x14ac:dyDescent="0.25">
      <c r="A1493" t="s">
        <v>1151</v>
      </c>
      <c r="B1493" t="s">
        <v>1141</v>
      </c>
      <c r="C1493">
        <v>2</v>
      </c>
      <c r="D1493" t="s">
        <v>1183</v>
      </c>
      <c r="E1493" t="s">
        <v>1163</v>
      </c>
      <c r="F1493" s="5" t="s">
        <v>25</v>
      </c>
      <c r="G1493" s="19">
        <v>1</v>
      </c>
      <c r="H1493" s="19">
        <v>2</v>
      </c>
      <c r="I1493" t="b">
        <v>1</v>
      </c>
      <c r="J1493" t="s">
        <v>1184</v>
      </c>
      <c r="K1493" t="s">
        <v>32</v>
      </c>
      <c r="Q1493" t="s">
        <v>1141</v>
      </c>
      <c r="R1493" t="s">
        <v>1141</v>
      </c>
      <c r="S1493" s="83">
        <v>14</v>
      </c>
    </row>
    <row r="1494" spans="1:19" x14ac:dyDescent="0.25">
      <c r="A1494" t="s">
        <v>1151</v>
      </c>
      <c r="B1494" t="s">
        <v>1141</v>
      </c>
      <c r="C1494">
        <v>3</v>
      </c>
      <c r="D1494" t="s">
        <v>1152</v>
      </c>
      <c r="E1494" t="s">
        <v>1153</v>
      </c>
      <c r="F1494" s="5" t="s">
        <v>25</v>
      </c>
      <c r="G1494" s="19">
        <v>7</v>
      </c>
      <c r="H1494" s="19">
        <v>10</v>
      </c>
      <c r="I1494" t="b">
        <v>1</v>
      </c>
      <c r="J1494" t="s">
        <v>1154</v>
      </c>
      <c r="K1494" t="s">
        <v>32</v>
      </c>
      <c r="Q1494" t="s">
        <v>1141</v>
      </c>
      <c r="R1494" t="s">
        <v>1141</v>
      </c>
      <c r="S1494" s="6">
        <v>1</v>
      </c>
    </row>
    <row r="1495" spans="1:19" x14ac:dyDescent="0.25">
      <c r="A1495" t="s">
        <v>1151</v>
      </c>
      <c r="B1495" t="s">
        <v>1141</v>
      </c>
      <c r="C1495">
        <v>3</v>
      </c>
      <c r="D1495" t="s">
        <v>885</v>
      </c>
      <c r="E1495" t="s">
        <v>1164</v>
      </c>
      <c r="F1495" s="5" t="s">
        <v>25</v>
      </c>
      <c r="G1495" s="19">
        <v>2</v>
      </c>
      <c r="H1495" s="19">
        <v>5</v>
      </c>
      <c r="I1495" t="b">
        <v>1</v>
      </c>
      <c r="J1495" t="s">
        <v>1169</v>
      </c>
      <c r="K1495" t="s">
        <v>32</v>
      </c>
      <c r="Q1495" t="s">
        <v>1141</v>
      </c>
      <c r="R1495" t="s">
        <v>1141</v>
      </c>
      <c r="S1495" s="83">
        <v>4</v>
      </c>
    </row>
    <row r="1496" spans="1:19" x14ac:dyDescent="0.25">
      <c r="A1496" t="s">
        <v>1151</v>
      </c>
      <c r="B1496" t="s">
        <v>1141</v>
      </c>
      <c r="C1496">
        <v>3</v>
      </c>
      <c r="D1496" t="s">
        <v>1185</v>
      </c>
      <c r="E1496" t="s">
        <v>1170</v>
      </c>
      <c r="F1496" s="5" t="s">
        <v>27</v>
      </c>
      <c r="G1496" s="19">
        <v>0</v>
      </c>
      <c r="H1496" s="19">
        <v>0.1</v>
      </c>
      <c r="I1496" t="b">
        <v>0</v>
      </c>
      <c r="J1496" t="s">
        <v>1186</v>
      </c>
      <c r="K1496" t="s">
        <v>32</v>
      </c>
      <c r="Q1496" t="s">
        <v>1141</v>
      </c>
      <c r="R1496" t="s">
        <v>1141</v>
      </c>
      <c r="S1496" s="83">
        <v>6</v>
      </c>
    </row>
    <row r="1497" spans="1:19" x14ac:dyDescent="0.25">
      <c r="A1497" t="s">
        <v>1151</v>
      </c>
      <c r="B1497" t="s">
        <v>1141</v>
      </c>
      <c r="C1497">
        <v>3</v>
      </c>
      <c r="D1497" t="s">
        <v>1156</v>
      </c>
      <c r="E1497" t="s">
        <v>1127</v>
      </c>
      <c r="F1497" s="5" t="s">
        <v>25</v>
      </c>
      <c r="G1497" s="19">
        <v>3</v>
      </c>
      <c r="H1497" s="19">
        <v>6</v>
      </c>
      <c r="I1497" t="b">
        <v>1</v>
      </c>
      <c r="J1497" t="s">
        <v>1173</v>
      </c>
      <c r="K1497" t="s">
        <v>32</v>
      </c>
      <c r="Q1497" t="s">
        <v>1141</v>
      </c>
      <c r="R1497" t="s">
        <v>1141</v>
      </c>
      <c r="S1497" s="83">
        <v>7</v>
      </c>
    </row>
    <row r="1498" spans="1:19" x14ac:dyDescent="0.25">
      <c r="A1498" t="s">
        <v>1151</v>
      </c>
      <c r="B1498" t="s">
        <v>1141</v>
      </c>
      <c r="C1498">
        <v>3</v>
      </c>
      <c r="D1498" t="s">
        <v>1157</v>
      </c>
      <c r="E1498" t="s">
        <v>1187</v>
      </c>
      <c r="F1498" s="5" t="s">
        <v>25</v>
      </c>
      <c r="G1498" s="19">
        <v>1.5</v>
      </c>
      <c r="H1498" s="19">
        <v>3.5</v>
      </c>
      <c r="I1498" t="b">
        <v>1</v>
      </c>
      <c r="J1498" t="s">
        <v>1176</v>
      </c>
      <c r="K1498" t="s">
        <v>32</v>
      </c>
      <c r="Q1498" t="s">
        <v>1141</v>
      </c>
      <c r="R1498" t="s">
        <v>1141</v>
      </c>
      <c r="S1498" s="83">
        <v>11</v>
      </c>
    </row>
    <row r="1499" spans="1:19" x14ac:dyDescent="0.25">
      <c r="A1499" t="s">
        <v>1151</v>
      </c>
      <c r="B1499" t="s">
        <v>1141</v>
      </c>
      <c r="C1499">
        <v>3</v>
      </c>
      <c r="D1499" t="s">
        <v>1159</v>
      </c>
      <c r="E1499" t="s">
        <v>1111</v>
      </c>
      <c r="F1499" s="5" t="s">
        <v>25</v>
      </c>
      <c r="G1499" s="19">
        <v>0</v>
      </c>
      <c r="H1499" s="19">
        <v>1</v>
      </c>
      <c r="I1499" t="b">
        <v>1</v>
      </c>
      <c r="J1499" t="s">
        <v>1177</v>
      </c>
      <c r="K1499" t="s">
        <v>32</v>
      </c>
      <c r="Q1499" t="s">
        <v>1141</v>
      </c>
      <c r="R1499" t="s">
        <v>1141</v>
      </c>
      <c r="S1499" s="83">
        <v>12</v>
      </c>
    </row>
    <row r="1500" spans="1:19" x14ac:dyDescent="0.25">
      <c r="A1500" t="s">
        <v>1151</v>
      </c>
      <c r="B1500" t="s">
        <v>1141</v>
      </c>
      <c r="C1500">
        <v>3</v>
      </c>
      <c r="D1500" t="s">
        <v>1158</v>
      </c>
      <c r="E1500" t="s">
        <v>1188</v>
      </c>
      <c r="F1500" s="5" t="s">
        <v>25</v>
      </c>
      <c r="G1500" s="19">
        <v>2.5</v>
      </c>
      <c r="H1500" s="19">
        <v>4</v>
      </c>
      <c r="I1500" t="b">
        <v>1</v>
      </c>
      <c r="J1500" t="s">
        <v>1179</v>
      </c>
      <c r="K1500" t="s">
        <v>32</v>
      </c>
      <c r="Q1500" t="s">
        <v>1141</v>
      </c>
      <c r="R1500" t="s">
        <v>1141</v>
      </c>
      <c r="S1500" s="83">
        <v>9</v>
      </c>
    </row>
    <row r="1501" spans="1:19" x14ac:dyDescent="0.25">
      <c r="A1501" t="s">
        <v>1151</v>
      </c>
      <c r="B1501" t="s">
        <v>1141</v>
      </c>
      <c r="C1501">
        <v>3</v>
      </c>
      <c r="D1501" t="s">
        <v>1160</v>
      </c>
      <c r="E1501" t="s">
        <v>1111</v>
      </c>
      <c r="F1501" s="5" t="s">
        <v>25</v>
      </c>
      <c r="G1501" s="19">
        <v>0</v>
      </c>
      <c r="H1501" s="19">
        <v>1</v>
      </c>
      <c r="I1501" t="b">
        <v>1</v>
      </c>
      <c r="J1501" t="s">
        <v>1180</v>
      </c>
      <c r="K1501" t="s">
        <v>32</v>
      </c>
      <c r="Q1501" t="s">
        <v>1141</v>
      </c>
      <c r="R1501" t="s">
        <v>1141</v>
      </c>
      <c r="S1501" s="83">
        <v>10</v>
      </c>
    </row>
    <row r="1502" spans="1:19" x14ac:dyDescent="0.25">
      <c r="A1502" t="s">
        <v>1151</v>
      </c>
      <c r="B1502" t="s">
        <v>1141</v>
      </c>
      <c r="C1502">
        <v>3</v>
      </c>
      <c r="D1502" t="s">
        <v>1183</v>
      </c>
      <c r="E1502" t="s">
        <v>1189</v>
      </c>
      <c r="F1502" s="5" t="s">
        <v>25</v>
      </c>
      <c r="G1502" s="19">
        <v>0.5</v>
      </c>
      <c r="H1502" s="19">
        <v>2</v>
      </c>
      <c r="I1502" t="b">
        <v>1</v>
      </c>
      <c r="J1502" t="s">
        <v>1184</v>
      </c>
      <c r="K1502" t="s">
        <v>32</v>
      </c>
      <c r="Q1502" t="s">
        <v>1141</v>
      </c>
      <c r="R1502" t="s">
        <v>1141</v>
      </c>
      <c r="S1502" s="83">
        <v>14</v>
      </c>
    </row>
    <row r="1503" spans="1:19" x14ac:dyDescent="0.25">
      <c r="A1503" t="s">
        <v>1151</v>
      </c>
      <c r="B1503" t="s">
        <v>1141</v>
      </c>
      <c r="C1503">
        <v>3</v>
      </c>
      <c r="D1503" t="s">
        <v>392</v>
      </c>
      <c r="E1503" t="s">
        <v>545</v>
      </c>
      <c r="F1503" s="5" t="s">
        <v>24</v>
      </c>
      <c r="G1503" s="19">
        <v>40</v>
      </c>
      <c r="H1503" s="19">
        <v>50</v>
      </c>
      <c r="I1503" t="b">
        <v>1</v>
      </c>
      <c r="J1503" t="s">
        <v>847</v>
      </c>
      <c r="K1503" t="s">
        <v>32</v>
      </c>
      <c r="L1503" t="s">
        <v>716</v>
      </c>
      <c r="M1503" t="s">
        <v>1138</v>
      </c>
      <c r="Q1503" t="s">
        <v>1141</v>
      </c>
      <c r="R1503" t="s">
        <v>1141</v>
      </c>
      <c r="S1503" s="83">
        <v>3</v>
      </c>
    </row>
    <row r="1504" spans="1:19" x14ac:dyDescent="0.25">
      <c r="A1504" t="s">
        <v>1151</v>
      </c>
      <c r="B1504" t="s">
        <v>1141</v>
      </c>
      <c r="C1504">
        <v>3</v>
      </c>
      <c r="D1504" t="s">
        <v>1162</v>
      </c>
      <c r="E1504" t="s">
        <v>1190</v>
      </c>
      <c r="F1504" s="5" t="s">
        <v>27</v>
      </c>
      <c r="G1504" s="19">
        <v>0.1</v>
      </c>
      <c r="H1504" s="19">
        <v>5</v>
      </c>
      <c r="I1504" t="b">
        <v>0</v>
      </c>
      <c r="J1504" t="s">
        <v>1171</v>
      </c>
      <c r="K1504" t="s">
        <v>32</v>
      </c>
      <c r="L1504" t="s">
        <v>716</v>
      </c>
      <c r="M1504" t="s">
        <v>1138</v>
      </c>
      <c r="Q1504" t="s">
        <v>1141</v>
      </c>
      <c r="R1504" t="s">
        <v>1141</v>
      </c>
      <c r="S1504" s="83">
        <v>2</v>
      </c>
    </row>
    <row r="1505" spans="1:19" x14ac:dyDescent="0.25">
      <c r="A1505" t="s">
        <v>1151</v>
      </c>
      <c r="B1505" t="s">
        <v>1141</v>
      </c>
      <c r="C1505">
        <v>3</v>
      </c>
      <c r="D1505" t="s">
        <v>1155</v>
      </c>
      <c r="E1505" t="s">
        <v>1191</v>
      </c>
      <c r="F1505" s="5" t="s">
        <v>25</v>
      </c>
      <c r="G1505" s="19">
        <v>1</v>
      </c>
      <c r="H1505" s="19">
        <v>10</v>
      </c>
      <c r="I1505" t="b">
        <v>1</v>
      </c>
      <c r="J1505" t="s">
        <v>1174</v>
      </c>
      <c r="K1505" t="s">
        <v>32</v>
      </c>
      <c r="L1505" t="s">
        <v>716</v>
      </c>
      <c r="M1505" t="s">
        <v>1138</v>
      </c>
      <c r="Q1505" t="s">
        <v>1141</v>
      </c>
      <c r="R1505" t="s">
        <v>1141</v>
      </c>
      <c r="S1505" s="83">
        <v>8</v>
      </c>
    </row>
    <row r="1506" spans="1:19" x14ac:dyDescent="0.25">
      <c r="A1506" t="s">
        <v>1151</v>
      </c>
      <c r="B1506" t="s">
        <v>1141</v>
      </c>
      <c r="C1506">
        <v>3</v>
      </c>
      <c r="D1506" t="s">
        <v>1181</v>
      </c>
      <c r="E1506" t="s">
        <v>551</v>
      </c>
      <c r="F1506" s="5" t="s">
        <v>24</v>
      </c>
      <c r="G1506" s="19">
        <v>30</v>
      </c>
      <c r="H1506" s="19">
        <v>40</v>
      </c>
      <c r="I1506" t="b">
        <v>1</v>
      </c>
      <c r="J1506" t="s">
        <v>1182</v>
      </c>
      <c r="K1506" t="s">
        <v>32</v>
      </c>
      <c r="L1506" t="s">
        <v>716</v>
      </c>
      <c r="M1506" t="s">
        <v>1138</v>
      </c>
      <c r="Q1506" t="s">
        <v>1141</v>
      </c>
      <c r="R1506" t="s">
        <v>1141</v>
      </c>
      <c r="S1506" s="83">
        <v>15</v>
      </c>
    </row>
    <row r="1507" spans="1:19" x14ac:dyDescent="0.25">
      <c r="A1507" t="s">
        <v>1151</v>
      </c>
      <c r="B1507" t="s">
        <v>1141</v>
      </c>
      <c r="C1507">
        <v>4</v>
      </c>
      <c r="D1507" t="s">
        <v>1152</v>
      </c>
      <c r="E1507" t="s">
        <v>1192</v>
      </c>
      <c r="F1507" s="5" t="s">
        <v>25</v>
      </c>
      <c r="G1507" s="19">
        <v>4</v>
      </c>
      <c r="H1507" s="19">
        <v>7</v>
      </c>
      <c r="I1507" t="b">
        <v>1</v>
      </c>
      <c r="J1507" t="s">
        <v>1154</v>
      </c>
      <c r="K1507" t="s">
        <v>32</v>
      </c>
      <c r="Q1507" t="s">
        <v>1141</v>
      </c>
      <c r="R1507" t="s">
        <v>1141</v>
      </c>
      <c r="S1507" s="6">
        <v>1</v>
      </c>
    </row>
    <row r="1508" spans="1:19" x14ac:dyDescent="0.25">
      <c r="A1508" t="s">
        <v>1151</v>
      </c>
      <c r="B1508" t="s">
        <v>1141</v>
      </c>
      <c r="C1508">
        <v>4</v>
      </c>
      <c r="D1508" t="s">
        <v>885</v>
      </c>
      <c r="E1508" t="s">
        <v>1189</v>
      </c>
      <c r="F1508" s="5" t="s">
        <v>25</v>
      </c>
      <c r="G1508" s="19">
        <v>0.5</v>
      </c>
      <c r="H1508" s="19">
        <v>2</v>
      </c>
      <c r="I1508" t="b">
        <v>1</v>
      </c>
      <c r="J1508" t="s">
        <v>1169</v>
      </c>
      <c r="K1508" t="s">
        <v>32</v>
      </c>
      <c r="Q1508" t="s">
        <v>1141</v>
      </c>
      <c r="R1508" t="s">
        <v>1141</v>
      </c>
      <c r="S1508" s="83">
        <v>4</v>
      </c>
    </row>
    <row r="1509" spans="1:19" x14ac:dyDescent="0.25">
      <c r="A1509" t="s">
        <v>1151</v>
      </c>
      <c r="B1509" t="s">
        <v>1141</v>
      </c>
      <c r="C1509">
        <v>4</v>
      </c>
      <c r="D1509" t="s">
        <v>1156</v>
      </c>
      <c r="E1509" t="s">
        <v>1113</v>
      </c>
      <c r="F1509" s="5" t="s">
        <v>25</v>
      </c>
      <c r="G1509" s="19">
        <v>0</v>
      </c>
      <c r="H1509" s="19">
        <v>3</v>
      </c>
      <c r="I1509" t="b">
        <v>1</v>
      </c>
      <c r="J1509" t="s">
        <v>1173</v>
      </c>
      <c r="K1509" t="s">
        <v>32</v>
      </c>
      <c r="Q1509" t="s">
        <v>1141</v>
      </c>
      <c r="R1509" t="s">
        <v>1141</v>
      </c>
      <c r="S1509" s="83">
        <v>7</v>
      </c>
    </row>
    <row r="1510" spans="1:19" x14ac:dyDescent="0.25">
      <c r="A1510" t="s">
        <v>1151</v>
      </c>
      <c r="B1510" t="s">
        <v>1141</v>
      </c>
      <c r="C1510">
        <v>4</v>
      </c>
      <c r="D1510" t="s">
        <v>1158</v>
      </c>
      <c r="E1510" t="s">
        <v>1189</v>
      </c>
      <c r="F1510" s="5" t="s">
        <v>25</v>
      </c>
      <c r="G1510" s="19">
        <v>0.5</v>
      </c>
      <c r="H1510" s="19">
        <v>2</v>
      </c>
      <c r="I1510" t="b">
        <v>1</v>
      </c>
      <c r="J1510" t="s">
        <v>1179</v>
      </c>
      <c r="K1510" t="s">
        <v>32</v>
      </c>
      <c r="Q1510" t="s">
        <v>1141</v>
      </c>
      <c r="R1510" t="s">
        <v>1141</v>
      </c>
      <c r="S1510" s="83">
        <v>9</v>
      </c>
    </row>
    <row r="1511" spans="1:19" x14ac:dyDescent="0.25">
      <c r="A1511" t="s">
        <v>1151</v>
      </c>
      <c r="B1511" t="s">
        <v>1141</v>
      </c>
      <c r="C1511">
        <v>4</v>
      </c>
      <c r="D1511" t="s">
        <v>392</v>
      </c>
      <c r="E1511" t="s">
        <v>524</v>
      </c>
      <c r="F1511" s="5" t="s">
        <v>24</v>
      </c>
      <c r="G1511" s="19">
        <v>10</v>
      </c>
      <c r="H1511" s="19">
        <v>20</v>
      </c>
      <c r="I1511" t="b">
        <v>1</v>
      </c>
      <c r="J1511" t="s">
        <v>847</v>
      </c>
      <c r="K1511" t="s">
        <v>32</v>
      </c>
      <c r="L1511" t="s">
        <v>716</v>
      </c>
      <c r="M1511" t="s">
        <v>1138</v>
      </c>
      <c r="Q1511" t="s">
        <v>1141</v>
      </c>
      <c r="R1511" t="s">
        <v>1141</v>
      </c>
      <c r="S1511" s="83">
        <v>3</v>
      </c>
    </row>
    <row r="1512" spans="1:19" x14ac:dyDescent="0.25">
      <c r="A1512" t="s">
        <v>1151</v>
      </c>
      <c r="B1512" t="s">
        <v>1141</v>
      </c>
      <c r="C1512">
        <v>4</v>
      </c>
      <c r="D1512" t="s">
        <v>1162</v>
      </c>
      <c r="E1512" t="s">
        <v>1193</v>
      </c>
      <c r="F1512" s="5" t="s">
        <v>27</v>
      </c>
      <c r="G1512" s="19">
        <v>7</v>
      </c>
      <c r="H1512" s="19">
        <v>10</v>
      </c>
      <c r="I1512" t="b">
        <v>0</v>
      </c>
      <c r="J1512" t="s">
        <v>1171</v>
      </c>
      <c r="K1512" t="s">
        <v>32</v>
      </c>
      <c r="L1512" t="s">
        <v>716</v>
      </c>
      <c r="M1512" t="s">
        <v>1138</v>
      </c>
      <c r="Q1512" t="s">
        <v>1141</v>
      </c>
      <c r="R1512" t="s">
        <v>1141</v>
      </c>
      <c r="S1512" s="83">
        <v>2</v>
      </c>
    </row>
    <row r="1513" spans="1:19" x14ac:dyDescent="0.25">
      <c r="A1513" t="s">
        <v>1151</v>
      </c>
      <c r="B1513" t="s">
        <v>1141</v>
      </c>
      <c r="C1513">
        <v>4</v>
      </c>
      <c r="D1513" t="s">
        <v>1155</v>
      </c>
      <c r="E1513" t="s">
        <v>1111</v>
      </c>
      <c r="F1513" s="5" t="s">
        <v>25</v>
      </c>
      <c r="G1513" s="19">
        <v>0</v>
      </c>
      <c r="H1513" s="19">
        <v>1</v>
      </c>
      <c r="I1513" t="b">
        <v>1</v>
      </c>
      <c r="J1513" t="s">
        <v>1174</v>
      </c>
      <c r="K1513" t="s">
        <v>32</v>
      </c>
      <c r="L1513" t="s">
        <v>716</v>
      </c>
      <c r="M1513" t="s">
        <v>1138</v>
      </c>
      <c r="Q1513" t="s">
        <v>1141</v>
      </c>
      <c r="R1513" t="s">
        <v>1141</v>
      </c>
      <c r="S1513" s="83">
        <v>8</v>
      </c>
    </row>
    <row r="1514" spans="1:19" x14ac:dyDescent="0.25">
      <c r="A1514" t="s">
        <v>1151</v>
      </c>
      <c r="B1514" t="s">
        <v>1141</v>
      </c>
      <c r="C1514">
        <v>4</v>
      </c>
      <c r="D1514" t="s">
        <v>1181</v>
      </c>
      <c r="E1514" t="s">
        <v>524</v>
      </c>
      <c r="F1514" s="5" t="s">
        <v>24</v>
      </c>
      <c r="G1514" s="19">
        <v>10</v>
      </c>
      <c r="H1514" s="19">
        <v>20</v>
      </c>
      <c r="I1514" t="b">
        <v>1</v>
      </c>
      <c r="J1514" t="s">
        <v>1182</v>
      </c>
      <c r="K1514" t="s">
        <v>32</v>
      </c>
      <c r="L1514" t="s">
        <v>716</v>
      </c>
      <c r="M1514" t="s">
        <v>1138</v>
      </c>
      <c r="Q1514" t="s">
        <v>1141</v>
      </c>
      <c r="R1514" t="s">
        <v>1141</v>
      </c>
      <c r="S1514" s="83">
        <v>15</v>
      </c>
    </row>
    <row r="1515" spans="1:19" x14ac:dyDescent="0.25">
      <c r="A1515" t="s">
        <v>1151</v>
      </c>
      <c r="B1515" t="s">
        <v>1141</v>
      </c>
      <c r="C1515">
        <v>4</v>
      </c>
      <c r="D1515" t="s">
        <v>1183</v>
      </c>
      <c r="E1515" t="s">
        <v>1111</v>
      </c>
      <c r="F1515" s="5" t="s">
        <v>25</v>
      </c>
      <c r="G1515" s="19">
        <v>0</v>
      </c>
      <c r="H1515" s="19">
        <v>1</v>
      </c>
      <c r="I1515" t="b">
        <v>1</v>
      </c>
      <c r="J1515" t="s">
        <v>1184</v>
      </c>
      <c r="K1515" t="s">
        <v>32</v>
      </c>
      <c r="L1515" t="s">
        <v>716</v>
      </c>
      <c r="M1515" t="s">
        <v>1138</v>
      </c>
      <c r="Q1515" t="s">
        <v>1141</v>
      </c>
      <c r="R1515" t="s">
        <v>1141</v>
      </c>
      <c r="S1515" s="83">
        <v>14</v>
      </c>
    </row>
    <row r="1516" spans="1:19" x14ac:dyDescent="0.25">
      <c r="A1516" t="s">
        <v>1151</v>
      </c>
      <c r="B1516" t="s">
        <v>1141</v>
      </c>
      <c r="C1516">
        <v>5</v>
      </c>
      <c r="D1516" t="s">
        <v>1152</v>
      </c>
      <c r="E1516" t="s">
        <v>1194</v>
      </c>
      <c r="F1516" s="5" t="s">
        <v>25</v>
      </c>
      <c r="G1516" s="19">
        <v>1</v>
      </c>
      <c r="H1516" s="19">
        <v>4</v>
      </c>
      <c r="I1516" t="b">
        <v>1</v>
      </c>
      <c r="J1516" t="s">
        <v>1154</v>
      </c>
      <c r="K1516" t="s">
        <v>32</v>
      </c>
      <c r="Q1516" t="s">
        <v>1141</v>
      </c>
      <c r="R1516" t="s">
        <v>1141</v>
      </c>
      <c r="S1516" s="6">
        <v>1</v>
      </c>
    </row>
    <row r="1517" spans="1:19" x14ac:dyDescent="0.25">
      <c r="A1517" t="s">
        <v>1151</v>
      </c>
      <c r="B1517" t="s">
        <v>1141</v>
      </c>
      <c r="C1517">
        <v>5</v>
      </c>
      <c r="D1517" t="s">
        <v>392</v>
      </c>
      <c r="E1517" t="s">
        <v>1123</v>
      </c>
      <c r="F1517" s="5" t="s">
        <v>25</v>
      </c>
      <c r="G1517" s="19">
        <v>5</v>
      </c>
      <c r="H1517" s="19">
        <v>10</v>
      </c>
      <c r="I1517" t="b">
        <v>1</v>
      </c>
      <c r="J1517" t="s">
        <v>847</v>
      </c>
      <c r="K1517" t="s">
        <v>32</v>
      </c>
      <c r="Q1517" t="s">
        <v>1141</v>
      </c>
      <c r="R1517" t="s">
        <v>1141</v>
      </c>
      <c r="S1517" s="83">
        <v>3</v>
      </c>
    </row>
    <row r="1518" spans="1:19" x14ac:dyDescent="0.25">
      <c r="A1518" t="s">
        <v>1151</v>
      </c>
      <c r="B1518" t="s">
        <v>1141</v>
      </c>
      <c r="C1518">
        <v>5</v>
      </c>
      <c r="D1518" t="s">
        <v>1162</v>
      </c>
      <c r="E1518" t="s">
        <v>1216</v>
      </c>
      <c r="F1518" s="5" t="s">
        <v>26</v>
      </c>
      <c r="G1518" s="19">
        <v>15</v>
      </c>
      <c r="H1518" s="19">
        <v>25</v>
      </c>
      <c r="I1518" t="b">
        <v>0</v>
      </c>
      <c r="J1518" t="s">
        <v>1171</v>
      </c>
      <c r="K1518" t="s">
        <v>32</v>
      </c>
      <c r="Q1518" t="s">
        <v>1141</v>
      </c>
      <c r="R1518" t="s">
        <v>1141</v>
      </c>
      <c r="S1518" s="83">
        <v>2</v>
      </c>
    </row>
    <row r="1519" spans="1:19" x14ac:dyDescent="0.25">
      <c r="A1519" t="s">
        <v>1151</v>
      </c>
      <c r="B1519" t="s">
        <v>1110</v>
      </c>
      <c r="C1519">
        <v>2</v>
      </c>
      <c r="D1519" t="s">
        <v>1152</v>
      </c>
      <c r="E1519" t="s">
        <v>1167</v>
      </c>
      <c r="F1519" s="5" t="s">
        <v>25</v>
      </c>
      <c r="G1519" s="19">
        <v>11</v>
      </c>
      <c r="H1519" s="19">
        <v>14</v>
      </c>
      <c r="I1519" t="b">
        <v>1</v>
      </c>
      <c r="J1519" t="s">
        <v>1154</v>
      </c>
      <c r="K1519" t="s">
        <v>32</v>
      </c>
      <c r="Q1519" t="s">
        <v>1110</v>
      </c>
      <c r="R1519" t="s">
        <v>1110</v>
      </c>
      <c r="S1519" s="6">
        <v>1</v>
      </c>
    </row>
    <row r="1520" spans="1:19" x14ac:dyDescent="0.25">
      <c r="A1520" t="s">
        <v>1151</v>
      </c>
      <c r="B1520" t="s">
        <v>1110</v>
      </c>
      <c r="C1520">
        <v>2</v>
      </c>
      <c r="D1520" t="s">
        <v>885</v>
      </c>
      <c r="E1520" t="s">
        <v>1168</v>
      </c>
      <c r="F1520" s="5" t="s">
        <v>25</v>
      </c>
      <c r="G1520" s="19">
        <v>5</v>
      </c>
      <c r="H1520" s="19">
        <v>8</v>
      </c>
      <c r="I1520" t="b">
        <v>1</v>
      </c>
      <c r="J1520" t="s">
        <v>1169</v>
      </c>
      <c r="K1520" t="s">
        <v>32</v>
      </c>
      <c r="Q1520" t="s">
        <v>1110</v>
      </c>
      <c r="R1520" t="s">
        <v>1110</v>
      </c>
      <c r="S1520" s="83">
        <v>4</v>
      </c>
    </row>
    <row r="1521" spans="1:19" x14ac:dyDescent="0.25">
      <c r="A1521" t="s">
        <v>1151</v>
      </c>
      <c r="B1521" t="s">
        <v>1110</v>
      </c>
      <c r="C1521">
        <v>2</v>
      </c>
      <c r="D1521" t="s">
        <v>392</v>
      </c>
      <c r="E1521" t="s">
        <v>1222</v>
      </c>
      <c r="F1521" s="5" t="s">
        <v>24</v>
      </c>
      <c r="G1521" s="19">
        <v>75</v>
      </c>
      <c r="H1521" s="19">
        <v>85</v>
      </c>
      <c r="I1521" t="b">
        <v>1</v>
      </c>
      <c r="J1521" t="s">
        <v>847</v>
      </c>
      <c r="K1521" t="s">
        <v>32</v>
      </c>
      <c r="Q1521" t="s">
        <v>1110</v>
      </c>
      <c r="R1521" t="s">
        <v>1110</v>
      </c>
      <c r="S1521" s="83">
        <v>3</v>
      </c>
    </row>
    <row r="1522" spans="1:19" x14ac:dyDescent="0.25">
      <c r="A1522" t="s">
        <v>1151</v>
      </c>
      <c r="B1522" t="s">
        <v>1110</v>
      </c>
      <c r="C1522">
        <v>2</v>
      </c>
      <c r="D1522" t="s">
        <v>1162</v>
      </c>
      <c r="E1522" t="s">
        <v>1170</v>
      </c>
      <c r="F1522" s="5" t="s">
        <v>27</v>
      </c>
      <c r="G1522" s="19">
        <v>0</v>
      </c>
      <c r="H1522" s="19">
        <v>0.1</v>
      </c>
      <c r="I1522" t="b">
        <v>0</v>
      </c>
      <c r="J1522" t="s">
        <v>1171</v>
      </c>
      <c r="K1522" t="s">
        <v>32</v>
      </c>
      <c r="Q1522" t="s">
        <v>1110</v>
      </c>
      <c r="R1522" t="s">
        <v>1110</v>
      </c>
      <c r="S1522" s="83">
        <v>2</v>
      </c>
    </row>
    <row r="1523" spans="1:19" x14ac:dyDescent="0.25">
      <c r="A1523" t="s">
        <v>1151</v>
      </c>
      <c r="B1523" t="s">
        <v>1110</v>
      </c>
      <c r="C1523">
        <v>2</v>
      </c>
      <c r="D1523" t="s">
        <v>1156</v>
      </c>
      <c r="E1523" t="s">
        <v>1172</v>
      </c>
      <c r="F1523" s="5" t="s">
        <v>25</v>
      </c>
      <c r="G1523" s="19">
        <v>6</v>
      </c>
      <c r="H1523" s="19">
        <v>9</v>
      </c>
      <c r="I1523" t="b">
        <v>1</v>
      </c>
      <c r="J1523" t="s">
        <v>1173</v>
      </c>
      <c r="K1523" t="s">
        <v>32</v>
      </c>
      <c r="Q1523" t="s">
        <v>1110</v>
      </c>
      <c r="R1523" t="s">
        <v>1110</v>
      </c>
      <c r="S1523" s="83">
        <v>7</v>
      </c>
    </row>
    <row r="1524" spans="1:19" x14ac:dyDescent="0.25">
      <c r="A1524" t="s">
        <v>1151</v>
      </c>
      <c r="B1524" t="s">
        <v>1110</v>
      </c>
      <c r="C1524">
        <v>2</v>
      </c>
      <c r="D1524" t="s">
        <v>1155</v>
      </c>
      <c r="E1524" t="s">
        <v>545</v>
      </c>
      <c r="F1524" s="5" t="s">
        <v>24</v>
      </c>
      <c r="G1524" s="19">
        <v>40</v>
      </c>
      <c r="H1524" s="19">
        <v>50</v>
      </c>
      <c r="I1524" t="b">
        <v>1</v>
      </c>
      <c r="J1524" t="s">
        <v>1174</v>
      </c>
      <c r="K1524" t="s">
        <v>32</v>
      </c>
      <c r="Q1524" t="s">
        <v>1110</v>
      </c>
      <c r="R1524" t="s">
        <v>1110</v>
      </c>
      <c r="S1524" s="83">
        <v>8</v>
      </c>
    </row>
    <row r="1525" spans="1:19" x14ac:dyDescent="0.25">
      <c r="A1525" t="s">
        <v>1151</v>
      </c>
      <c r="B1525" t="s">
        <v>1110</v>
      </c>
      <c r="C1525">
        <v>2</v>
      </c>
      <c r="D1525" t="s">
        <v>1157</v>
      </c>
      <c r="E1525" t="s">
        <v>1175</v>
      </c>
      <c r="F1525" s="5" t="s">
        <v>25</v>
      </c>
      <c r="G1525" s="19">
        <v>3.5</v>
      </c>
      <c r="H1525" s="19">
        <v>5</v>
      </c>
      <c r="I1525" t="b">
        <v>1</v>
      </c>
      <c r="J1525" t="s">
        <v>1176</v>
      </c>
      <c r="K1525" t="s">
        <v>32</v>
      </c>
      <c r="Q1525" t="s">
        <v>1110</v>
      </c>
      <c r="R1525" t="s">
        <v>1110</v>
      </c>
      <c r="S1525" s="83">
        <v>11</v>
      </c>
    </row>
    <row r="1526" spans="1:19" x14ac:dyDescent="0.25">
      <c r="A1526" t="s">
        <v>1151</v>
      </c>
      <c r="B1526" t="s">
        <v>1110</v>
      </c>
      <c r="C1526">
        <v>2</v>
      </c>
      <c r="D1526" t="s">
        <v>1159</v>
      </c>
      <c r="E1526" t="s">
        <v>1111</v>
      </c>
      <c r="F1526" s="5" t="s">
        <v>25</v>
      </c>
      <c r="G1526" s="19">
        <v>0</v>
      </c>
      <c r="H1526" s="19">
        <v>1</v>
      </c>
      <c r="I1526" t="b">
        <v>1</v>
      </c>
      <c r="J1526" t="s">
        <v>1177</v>
      </c>
      <c r="K1526" t="s">
        <v>32</v>
      </c>
      <c r="Q1526" t="s">
        <v>1110</v>
      </c>
      <c r="R1526" t="s">
        <v>1110</v>
      </c>
      <c r="S1526" s="83">
        <v>12</v>
      </c>
    </row>
    <row r="1527" spans="1:19" x14ac:dyDescent="0.25">
      <c r="A1527" t="s">
        <v>1151</v>
      </c>
      <c r="B1527" t="s">
        <v>1110</v>
      </c>
      <c r="C1527">
        <v>2</v>
      </c>
      <c r="D1527" t="s">
        <v>1158</v>
      </c>
      <c r="E1527" t="s">
        <v>1178</v>
      </c>
      <c r="F1527" s="5" t="s">
        <v>25</v>
      </c>
      <c r="G1527" s="19">
        <v>4.5</v>
      </c>
      <c r="H1527" s="19">
        <v>6</v>
      </c>
      <c r="I1527" t="b">
        <v>1</v>
      </c>
      <c r="J1527" t="s">
        <v>1179</v>
      </c>
      <c r="K1527" t="s">
        <v>32</v>
      </c>
      <c r="Q1527" t="s">
        <v>1110</v>
      </c>
      <c r="R1527" t="s">
        <v>1110</v>
      </c>
      <c r="S1527" s="83">
        <v>9</v>
      </c>
    </row>
    <row r="1528" spans="1:19" x14ac:dyDescent="0.25">
      <c r="A1528" t="s">
        <v>1151</v>
      </c>
      <c r="B1528" t="s">
        <v>1110</v>
      </c>
      <c r="C1528">
        <v>2</v>
      </c>
      <c r="D1528" t="s">
        <v>1160</v>
      </c>
      <c r="E1528" t="s">
        <v>1111</v>
      </c>
      <c r="F1528" s="5" t="s">
        <v>25</v>
      </c>
      <c r="G1528" s="19">
        <v>0</v>
      </c>
      <c r="H1528" s="19">
        <v>1</v>
      </c>
      <c r="I1528" t="b">
        <v>1</v>
      </c>
      <c r="J1528" t="s">
        <v>1180</v>
      </c>
      <c r="K1528" t="s">
        <v>32</v>
      </c>
      <c r="Q1528" t="s">
        <v>1110</v>
      </c>
      <c r="R1528" t="s">
        <v>1110</v>
      </c>
      <c r="S1528" s="83">
        <v>10</v>
      </c>
    </row>
    <row r="1529" spans="1:19" x14ac:dyDescent="0.25">
      <c r="A1529" t="s">
        <v>1151</v>
      </c>
      <c r="B1529" t="s">
        <v>1110</v>
      </c>
      <c r="C1529">
        <v>2</v>
      </c>
      <c r="D1529" t="s">
        <v>1181</v>
      </c>
      <c r="E1529" t="s">
        <v>535</v>
      </c>
      <c r="F1529" s="5" t="s">
        <v>24</v>
      </c>
      <c r="G1529" s="19">
        <v>45</v>
      </c>
      <c r="H1529" s="19">
        <v>55</v>
      </c>
      <c r="I1529" t="b">
        <v>1</v>
      </c>
      <c r="J1529" t="s">
        <v>1182</v>
      </c>
      <c r="K1529" t="s">
        <v>32</v>
      </c>
      <c r="Q1529" t="s">
        <v>1110</v>
      </c>
      <c r="R1529" t="s">
        <v>1110</v>
      </c>
      <c r="S1529" s="83">
        <v>15</v>
      </c>
    </row>
    <row r="1530" spans="1:19" x14ac:dyDescent="0.25">
      <c r="A1530" t="s">
        <v>1151</v>
      </c>
      <c r="B1530" t="s">
        <v>1110</v>
      </c>
      <c r="C1530">
        <v>2</v>
      </c>
      <c r="D1530" t="s">
        <v>1183</v>
      </c>
      <c r="E1530" t="s">
        <v>1163</v>
      </c>
      <c r="F1530" s="5" t="s">
        <v>25</v>
      </c>
      <c r="G1530" s="19">
        <v>1</v>
      </c>
      <c r="H1530" s="19">
        <v>2</v>
      </c>
      <c r="I1530" t="b">
        <v>1</v>
      </c>
      <c r="J1530" t="s">
        <v>1184</v>
      </c>
      <c r="K1530" t="s">
        <v>32</v>
      </c>
      <c r="Q1530" t="s">
        <v>1110</v>
      </c>
      <c r="R1530" t="s">
        <v>1110</v>
      </c>
      <c r="S1530" s="83">
        <v>14</v>
      </c>
    </row>
    <row r="1531" spans="1:19" x14ac:dyDescent="0.25">
      <c r="A1531" t="s">
        <v>1151</v>
      </c>
      <c r="B1531" t="s">
        <v>1110</v>
      </c>
      <c r="C1531">
        <v>3</v>
      </c>
      <c r="D1531" t="s">
        <v>1152</v>
      </c>
      <c r="E1531" t="s">
        <v>1168</v>
      </c>
      <c r="F1531" s="5" t="s">
        <v>25</v>
      </c>
      <c r="G1531" s="19">
        <v>5</v>
      </c>
      <c r="H1531" s="19">
        <v>8</v>
      </c>
      <c r="I1531" t="b">
        <v>1</v>
      </c>
      <c r="J1531" t="s">
        <v>1154</v>
      </c>
      <c r="K1531" t="s">
        <v>32</v>
      </c>
      <c r="Q1531" t="s">
        <v>1110</v>
      </c>
      <c r="R1531" t="s">
        <v>1110</v>
      </c>
      <c r="S1531" s="6">
        <v>1</v>
      </c>
    </row>
    <row r="1532" spans="1:19" x14ac:dyDescent="0.25">
      <c r="A1532" t="s">
        <v>1151</v>
      </c>
      <c r="B1532" t="s">
        <v>1110</v>
      </c>
      <c r="C1532">
        <v>3</v>
      </c>
      <c r="D1532" t="s">
        <v>885</v>
      </c>
      <c r="E1532" t="s">
        <v>1164</v>
      </c>
      <c r="F1532" s="5" t="s">
        <v>25</v>
      </c>
      <c r="G1532" s="19">
        <v>2</v>
      </c>
      <c r="H1532" s="19">
        <v>5</v>
      </c>
      <c r="I1532" t="b">
        <v>1</v>
      </c>
      <c r="J1532" t="s">
        <v>1169</v>
      </c>
      <c r="K1532" t="s">
        <v>32</v>
      </c>
      <c r="Q1532" t="s">
        <v>1110</v>
      </c>
      <c r="R1532" t="s">
        <v>1110</v>
      </c>
      <c r="S1532" s="83">
        <v>4</v>
      </c>
    </row>
    <row r="1533" spans="1:19" x14ac:dyDescent="0.25">
      <c r="A1533" t="s">
        <v>1151</v>
      </c>
      <c r="B1533" t="s">
        <v>1110</v>
      </c>
      <c r="C1533">
        <v>3</v>
      </c>
      <c r="D1533" t="s">
        <v>392</v>
      </c>
      <c r="E1533" t="s">
        <v>1223</v>
      </c>
      <c r="F1533" s="5" t="s">
        <v>24</v>
      </c>
      <c r="G1533" s="19">
        <v>65</v>
      </c>
      <c r="H1533" s="19">
        <v>75</v>
      </c>
      <c r="I1533" t="b">
        <v>1</v>
      </c>
      <c r="J1533" t="s">
        <v>847</v>
      </c>
      <c r="K1533" t="s">
        <v>32</v>
      </c>
      <c r="Q1533" t="s">
        <v>1110</v>
      </c>
      <c r="R1533" t="s">
        <v>1110</v>
      </c>
      <c r="S1533" s="83">
        <v>3</v>
      </c>
    </row>
    <row r="1534" spans="1:19" x14ac:dyDescent="0.25">
      <c r="A1534" t="s">
        <v>1151</v>
      </c>
      <c r="B1534" t="s">
        <v>1110</v>
      </c>
      <c r="C1534">
        <v>3</v>
      </c>
      <c r="D1534" t="s">
        <v>1162</v>
      </c>
      <c r="E1534" t="s">
        <v>1224</v>
      </c>
      <c r="F1534" s="5" t="s">
        <v>26</v>
      </c>
      <c r="G1534" s="19">
        <v>1</v>
      </c>
      <c r="H1534" s="19">
        <v>5</v>
      </c>
      <c r="I1534" t="b">
        <v>0</v>
      </c>
      <c r="J1534" t="s">
        <v>1171</v>
      </c>
      <c r="K1534" t="s">
        <v>32</v>
      </c>
      <c r="Q1534" t="s">
        <v>1110</v>
      </c>
      <c r="R1534" t="s">
        <v>1110</v>
      </c>
      <c r="S1534" s="83">
        <v>2</v>
      </c>
    </row>
    <row r="1535" spans="1:19" x14ac:dyDescent="0.25">
      <c r="A1535" t="s">
        <v>1151</v>
      </c>
      <c r="B1535" t="s">
        <v>1110</v>
      </c>
      <c r="C1535">
        <v>3</v>
      </c>
      <c r="D1535" t="s">
        <v>1156</v>
      </c>
      <c r="E1535" t="s">
        <v>1127</v>
      </c>
      <c r="F1535" s="5" t="s">
        <v>25</v>
      </c>
      <c r="G1535" s="19">
        <v>3</v>
      </c>
      <c r="H1535" s="19">
        <v>6</v>
      </c>
      <c r="I1535" t="b">
        <v>1</v>
      </c>
      <c r="J1535" t="s">
        <v>1173</v>
      </c>
      <c r="K1535" t="s">
        <v>32</v>
      </c>
      <c r="Q1535" t="s">
        <v>1110</v>
      </c>
      <c r="R1535" t="s">
        <v>1110</v>
      </c>
      <c r="S1535" s="83">
        <v>7</v>
      </c>
    </row>
    <row r="1536" spans="1:19" x14ac:dyDescent="0.25">
      <c r="A1536" t="s">
        <v>1151</v>
      </c>
      <c r="B1536" t="s">
        <v>1110</v>
      </c>
      <c r="C1536">
        <v>3</v>
      </c>
      <c r="D1536" t="s">
        <v>1155</v>
      </c>
      <c r="E1536" t="s">
        <v>551</v>
      </c>
      <c r="F1536" s="5" t="s">
        <v>24</v>
      </c>
      <c r="G1536" s="19">
        <v>30</v>
      </c>
      <c r="H1536" s="19">
        <v>40</v>
      </c>
      <c r="I1536" t="b">
        <v>1</v>
      </c>
      <c r="J1536" t="s">
        <v>1174</v>
      </c>
      <c r="K1536" t="s">
        <v>32</v>
      </c>
      <c r="Q1536" t="s">
        <v>1110</v>
      </c>
      <c r="R1536" t="s">
        <v>1110</v>
      </c>
      <c r="S1536" s="83">
        <v>8</v>
      </c>
    </row>
    <row r="1537" spans="1:19" x14ac:dyDescent="0.25">
      <c r="A1537" t="s">
        <v>1151</v>
      </c>
      <c r="B1537" t="s">
        <v>1110</v>
      </c>
      <c r="C1537">
        <v>3</v>
      </c>
      <c r="D1537" t="s">
        <v>1157</v>
      </c>
      <c r="E1537" t="s">
        <v>1195</v>
      </c>
      <c r="F1537" s="5" t="s">
        <v>25</v>
      </c>
      <c r="G1537" s="19">
        <v>2</v>
      </c>
      <c r="H1537" s="19">
        <v>3.5</v>
      </c>
      <c r="I1537" t="b">
        <v>1</v>
      </c>
      <c r="J1537" t="s">
        <v>1176</v>
      </c>
      <c r="K1537" t="s">
        <v>32</v>
      </c>
      <c r="Q1537" t="s">
        <v>1110</v>
      </c>
      <c r="R1537" t="s">
        <v>1110</v>
      </c>
      <c r="S1537" s="83">
        <v>11</v>
      </c>
    </row>
    <row r="1538" spans="1:19" x14ac:dyDescent="0.25">
      <c r="A1538" t="s">
        <v>1151</v>
      </c>
      <c r="B1538" t="s">
        <v>1110</v>
      </c>
      <c r="C1538">
        <v>3</v>
      </c>
      <c r="D1538" t="s">
        <v>1159</v>
      </c>
      <c r="E1538" t="s">
        <v>1111</v>
      </c>
      <c r="F1538" s="5" t="s">
        <v>25</v>
      </c>
      <c r="G1538" s="19">
        <v>0</v>
      </c>
      <c r="H1538" s="19">
        <v>1</v>
      </c>
      <c r="I1538" t="b">
        <v>1</v>
      </c>
      <c r="J1538" t="s">
        <v>1177</v>
      </c>
      <c r="K1538" t="s">
        <v>32</v>
      </c>
      <c r="Q1538" t="s">
        <v>1110</v>
      </c>
      <c r="R1538" t="s">
        <v>1110</v>
      </c>
      <c r="S1538" s="83">
        <v>12</v>
      </c>
    </row>
    <row r="1539" spans="1:19" x14ac:dyDescent="0.25">
      <c r="A1539" t="s">
        <v>1151</v>
      </c>
      <c r="B1539" t="s">
        <v>1110</v>
      </c>
      <c r="C1539">
        <v>3</v>
      </c>
      <c r="D1539" t="s">
        <v>1158</v>
      </c>
      <c r="E1539" t="s">
        <v>1196</v>
      </c>
      <c r="F1539" s="5" t="s">
        <v>25</v>
      </c>
      <c r="G1539" s="19">
        <v>2.5</v>
      </c>
      <c r="H1539" s="19">
        <v>4.5</v>
      </c>
      <c r="I1539" t="b">
        <v>1</v>
      </c>
      <c r="J1539" t="s">
        <v>1179</v>
      </c>
      <c r="K1539" t="s">
        <v>32</v>
      </c>
      <c r="Q1539" t="s">
        <v>1110</v>
      </c>
      <c r="R1539" t="s">
        <v>1110</v>
      </c>
      <c r="S1539" s="83">
        <v>9</v>
      </c>
    </row>
    <row r="1540" spans="1:19" x14ac:dyDescent="0.25">
      <c r="A1540" t="s">
        <v>1151</v>
      </c>
      <c r="B1540" t="s">
        <v>1110</v>
      </c>
      <c r="C1540">
        <v>3</v>
      </c>
      <c r="D1540" t="s">
        <v>1160</v>
      </c>
      <c r="E1540" t="s">
        <v>1111</v>
      </c>
      <c r="F1540" s="5" t="s">
        <v>25</v>
      </c>
      <c r="G1540" s="19">
        <v>0</v>
      </c>
      <c r="H1540" s="19">
        <v>1</v>
      </c>
      <c r="I1540" t="b">
        <v>1</v>
      </c>
      <c r="J1540" t="s">
        <v>1180</v>
      </c>
      <c r="K1540" t="s">
        <v>32</v>
      </c>
      <c r="Q1540" t="s">
        <v>1110</v>
      </c>
      <c r="R1540" t="s">
        <v>1110</v>
      </c>
      <c r="S1540" s="83">
        <v>10</v>
      </c>
    </row>
    <row r="1541" spans="1:19" x14ac:dyDescent="0.25">
      <c r="A1541" t="s">
        <v>1151</v>
      </c>
      <c r="B1541" t="s">
        <v>1110</v>
      </c>
      <c r="C1541">
        <v>3</v>
      </c>
      <c r="D1541" t="s">
        <v>1181</v>
      </c>
      <c r="E1541" t="s">
        <v>541</v>
      </c>
      <c r="F1541" s="5" t="s">
        <v>24</v>
      </c>
      <c r="G1541" s="19">
        <v>35</v>
      </c>
      <c r="H1541" s="19">
        <v>45</v>
      </c>
      <c r="I1541" t="b">
        <v>1</v>
      </c>
      <c r="J1541" t="s">
        <v>1182</v>
      </c>
      <c r="K1541" t="s">
        <v>32</v>
      </c>
      <c r="Q1541" t="s">
        <v>1110</v>
      </c>
      <c r="R1541" t="s">
        <v>1110</v>
      </c>
      <c r="S1541" s="83">
        <v>15</v>
      </c>
    </row>
    <row r="1542" spans="1:19" x14ac:dyDescent="0.25">
      <c r="A1542" t="s">
        <v>1151</v>
      </c>
      <c r="B1542" t="s">
        <v>1110</v>
      </c>
      <c r="C1542">
        <v>3</v>
      </c>
      <c r="D1542" t="s">
        <v>1183</v>
      </c>
      <c r="E1542" t="s">
        <v>1189</v>
      </c>
      <c r="F1542" s="5" t="s">
        <v>25</v>
      </c>
      <c r="G1542" s="19">
        <v>0.5</v>
      </c>
      <c r="H1542" s="19">
        <v>2</v>
      </c>
      <c r="I1542" t="b">
        <v>1</v>
      </c>
      <c r="J1542" t="s">
        <v>1184</v>
      </c>
      <c r="K1542" t="s">
        <v>32</v>
      </c>
      <c r="Q1542" t="s">
        <v>1110</v>
      </c>
      <c r="R1542" t="s">
        <v>1110</v>
      </c>
      <c r="S1542" s="83">
        <v>14</v>
      </c>
    </row>
    <row r="1543" spans="1:19" x14ac:dyDescent="0.25">
      <c r="A1543" t="s">
        <v>1151</v>
      </c>
      <c r="B1543" t="s">
        <v>1110</v>
      </c>
      <c r="C1543">
        <v>4</v>
      </c>
      <c r="D1543" t="s">
        <v>1152</v>
      </c>
      <c r="E1543" t="s">
        <v>1164</v>
      </c>
      <c r="F1543" s="5" t="s">
        <v>25</v>
      </c>
      <c r="G1543" s="19">
        <v>2</v>
      </c>
      <c r="H1543" s="19">
        <v>5</v>
      </c>
      <c r="I1543" t="b">
        <v>1</v>
      </c>
      <c r="J1543" t="s">
        <v>1154</v>
      </c>
      <c r="K1543" t="s">
        <v>32</v>
      </c>
      <c r="Q1543" t="s">
        <v>1110</v>
      </c>
      <c r="R1543" t="s">
        <v>1110</v>
      </c>
      <c r="S1543" s="6">
        <v>1</v>
      </c>
    </row>
    <row r="1544" spans="1:19" x14ac:dyDescent="0.25">
      <c r="A1544" t="s">
        <v>1151</v>
      </c>
      <c r="B1544" t="s">
        <v>1110</v>
      </c>
      <c r="C1544">
        <v>4</v>
      </c>
      <c r="D1544" t="s">
        <v>885</v>
      </c>
      <c r="E1544" t="s">
        <v>1189</v>
      </c>
      <c r="F1544" s="5" t="s">
        <v>25</v>
      </c>
      <c r="G1544" s="19">
        <v>0.5</v>
      </c>
      <c r="H1544" s="19">
        <v>2</v>
      </c>
      <c r="I1544" t="b">
        <v>1</v>
      </c>
      <c r="J1544" t="s">
        <v>1169</v>
      </c>
      <c r="K1544" t="s">
        <v>32</v>
      </c>
      <c r="Q1544" t="s">
        <v>1110</v>
      </c>
      <c r="R1544" t="s">
        <v>1110</v>
      </c>
      <c r="S1544" s="83">
        <v>4</v>
      </c>
    </row>
    <row r="1545" spans="1:19" x14ac:dyDescent="0.25">
      <c r="A1545" t="s">
        <v>1151</v>
      </c>
      <c r="B1545" t="s">
        <v>1110</v>
      </c>
      <c r="C1545">
        <v>4</v>
      </c>
      <c r="D1545" t="s">
        <v>392</v>
      </c>
      <c r="E1545" t="s">
        <v>521</v>
      </c>
      <c r="F1545" s="5" t="s">
        <v>24</v>
      </c>
      <c r="G1545" s="19">
        <v>25</v>
      </c>
      <c r="H1545" s="19">
        <v>35</v>
      </c>
      <c r="I1545" t="b">
        <v>1</v>
      </c>
      <c r="J1545" t="s">
        <v>847</v>
      </c>
      <c r="K1545" t="s">
        <v>32</v>
      </c>
      <c r="Q1545" t="s">
        <v>1110</v>
      </c>
      <c r="R1545" t="s">
        <v>1110</v>
      </c>
      <c r="S1545" s="83">
        <v>3</v>
      </c>
    </row>
    <row r="1546" spans="1:19" x14ac:dyDescent="0.25">
      <c r="A1546" t="s">
        <v>1151</v>
      </c>
      <c r="B1546" t="s">
        <v>1110</v>
      </c>
      <c r="C1546">
        <v>4</v>
      </c>
      <c r="D1546" t="s">
        <v>1156</v>
      </c>
      <c r="E1546" t="s">
        <v>1113</v>
      </c>
      <c r="F1546" s="5" t="s">
        <v>25</v>
      </c>
      <c r="G1546" s="19">
        <v>0</v>
      </c>
      <c r="H1546" s="19">
        <v>3</v>
      </c>
      <c r="I1546" t="b">
        <v>1</v>
      </c>
      <c r="J1546" t="s">
        <v>1173</v>
      </c>
      <c r="K1546" t="s">
        <v>32</v>
      </c>
      <c r="Q1546" t="s">
        <v>1110</v>
      </c>
      <c r="R1546" t="s">
        <v>1110</v>
      </c>
      <c r="S1546" s="83">
        <v>7</v>
      </c>
    </row>
    <row r="1547" spans="1:19" x14ac:dyDescent="0.25">
      <c r="A1547" t="s">
        <v>1151</v>
      </c>
      <c r="B1547" t="s">
        <v>1110</v>
      </c>
      <c r="C1547">
        <v>4</v>
      </c>
      <c r="D1547" t="s">
        <v>1157</v>
      </c>
      <c r="E1547" t="s">
        <v>1189</v>
      </c>
      <c r="F1547" s="5" t="s">
        <v>25</v>
      </c>
      <c r="G1547" s="19">
        <v>0.5</v>
      </c>
      <c r="H1547" s="19">
        <v>2</v>
      </c>
      <c r="I1547" t="b">
        <v>1</v>
      </c>
      <c r="J1547" t="s">
        <v>1176</v>
      </c>
      <c r="K1547" t="s">
        <v>32</v>
      </c>
      <c r="Q1547" t="s">
        <v>1110</v>
      </c>
      <c r="R1547" t="s">
        <v>1110</v>
      </c>
      <c r="S1547" s="83">
        <v>11</v>
      </c>
    </row>
    <row r="1548" spans="1:19" x14ac:dyDescent="0.25">
      <c r="A1548" t="s">
        <v>1151</v>
      </c>
      <c r="B1548" t="s">
        <v>1110</v>
      </c>
      <c r="C1548">
        <v>4</v>
      </c>
      <c r="D1548" t="s">
        <v>1158</v>
      </c>
      <c r="E1548" t="s">
        <v>1189</v>
      </c>
      <c r="F1548" s="5" t="s">
        <v>25</v>
      </c>
      <c r="G1548" s="19">
        <v>0.5</v>
      </c>
      <c r="H1548" s="19">
        <v>2</v>
      </c>
      <c r="I1548" t="b">
        <v>1</v>
      </c>
      <c r="J1548" t="s">
        <v>1179</v>
      </c>
      <c r="K1548" t="s">
        <v>32</v>
      </c>
      <c r="Q1548" t="s">
        <v>1110</v>
      </c>
      <c r="R1548" t="s">
        <v>1110</v>
      </c>
      <c r="S1548" s="83">
        <v>9</v>
      </c>
    </row>
    <row r="1549" spans="1:19" x14ac:dyDescent="0.25">
      <c r="A1549" t="s">
        <v>1151</v>
      </c>
      <c r="B1549" t="s">
        <v>1110</v>
      </c>
      <c r="C1549">
        <v>4</v>
      </c>
      <c r="D1549" t="s">
        <v>1162</v>
      </c>
      <c r="E1549" t="s">
        <v>1225</v>
      </c>
      <c r="F1549" s="5" t="s">
        <v>26</v>
      </c>
      <c r="G1549" s="19">
        <v>5</v>
      </c>
      <c r="H1549" s="19">
        <v>15</v>
      </c>
      <c r="I1549" t="b">
        <v>0</v>
      </c>
      <c r="J1549" t="s">
        <v>1171</v>
      </c>
      <c r="K1549" t="s">
        <v>32</v>
      </c>
      <c r="L1549" t="s">
        <v>716</v>
      </c>
      <c r="M1549" t="s">
        <v>1138</v>
      </c>
      <c r="Q1549" t="s">
        <v>1110</v>
      </c>
      <c r="R1549" t="s">
        <v>1110</v>
      </c>
      <c r="S1549" s="83">
        <v>2</v>
      </c>
    </row>
    <row r="1550" spans="1:19" x14ac:dyDescent="0.25">
      <c r="A1550" t="s">
        <v>1151</v>
      </c>
      <c r="B1550" t="s">
        <v>1110</v>
      </c>
      <c r="C1550">
        <v>4</v>
      </c>
      <c r="D1550" t="s">
        <v>1155</v>
      </c>
      <c r="E1550" t="s">
        <v>524</v>
      </c>
      <c r="F1550" s="5" t="s">
        <v>24</v>
      </c>
      <c r="G1550" s="19">
        <v>10</v>
      </c>
      <c r="H1550" s="19">
        <v>20</v>
      </c>
      <c r="I1550" t="b">
        <v>1</v>
      </c>
      <c r="J1550" t="s">
        <v>1174</v>
      </c>
      <c r="K1550" t="s">
        <v>32</v>
      </c>
      <c r="L1550" t="s">
        <v>716</v>
      </c>
      <c r="M1550" t="s">
        <v>1138</v>
      </c>
      <c r="Q1550" t="s">
        <v>1110</v>
      </c>
      <c r="R1550" t="s">
        <v>1110</v>
      </c>
      <c r="S1550" s="83">
        <v>8</v>
      </c>
    </row>
    <row r="1551" spans="1:19" x14ac:dyDescent="0.25">
      <c r="A1551" t="s">
        <v>1151</v>
      </c>
      <c r="B1551" t="s">
        <v>1110</v>
      </c>
      <c r="C1551">
        <v>4</v>
      </c>
      <c r="D1551" t="s">
        <v>1181</v>
      </c>
      <c r="E1551" t="s">
        <v>525</v>
      </c>
      <c r="F1551" s="5" t="s">
        <v>24</v>
      </c>
      <c r="G1551" s="19">
        <v>20</v>
      </c>
      <c r="H1551" s="19">
        <v>30</v>
      </c>
      <c r="I1551" t="b">
        <v>1</v>
      </c>
      <c r="J1551" t="s">
        <v>1182</v>
      </c>
      <c r="K1551" t="s">
        <v>32</v>
      </c>
      <c r="L1551" t="s">
        <v>716</v>
      </c>
      <c r="M1551" t="s">
        <v>1138</v>
      </c>
      <c r="Q1551" t="s">
        <v>1110</v>
      </c>
      <c r="R1551" t="s">
        <v>1110</v>
      </c>
      <c r="S1551" s="83">
        <v>15</v>
      </c>
    </row>
    <row r="1552" spans="1:19" x14ac:dyDescent="0.25">
      <c r="A1552" t="s">
        <v>1151</v>
      </c>
      <c r="B1552" t="s">
        <v>1110</v>
      </c>
      <c r="C1552">
        <v>5</v>
      </c>
      <c r="D1552" t="s">
        <v>1152</v>
      </c>
      <c r="E1552" t="s">
        <v>1111</v>
      </c>
      <c r="F1552" s="5" t="s">
        <v>25</v>
      </c>
      <c r="G1552" s="19">
        <v>0</v>
      </c>
      <c r="H1552" s="19">
        <v>1</v>
      </c>
      <c r="I1552" t="b">
        <v>1</v>
      </c>
      <c r="J1552" t="s">
        <v>1154</v>
      </c>
      <c r="K1552" t="s">
        <v>32</v>
      </c>
      <c r="Q1552" t="s">
        <v>1110</v>
      </c>
      <c r="R1552" t="s">
        <v>1110</v>
      </c>
      <c r="S1552" s="6">
        <v>1</v>
      </c>
    </row>
    <row r="1553" spans="1:19" x14ac:dyDescent="0.25">
      <c r="A1553" t="s">
        <v>1151</v>
      </c>
      <c r="B1553" t="s">
        <v>1110</v>
      </c>
      <c r="C1553">
        <v>5</v>
      </c>
      <c r="D1553" t="s">
        <v>392</v>
      </c>
      <c r="E1553" t="s">
        <v>529</v>
      </c>
      <c r="F1553" s="5" t="s">
        <v>24</v>
      </c>
      <c r="G1553" s="19">
        <v>15</v>
      </c>
      <c r="H1553" s="19">
        <v>25</v>
      </c>
      <c r="I1553" t="b">
        <v>1</v>
      </c>
      <c r="J1553" t="s">
        <v>847</v>
      </c>
      <c r="K1553" t="s">
        <v>32</v>
      </c>
      <c r="Q1553" t="s">
        <v>1110</v>
      </c>
      <c r="R1553" t="s">
        <v>1110</v>
      </c>
      <c r="S1553" s="83">
        <v>3</v>
      </c>
    </row>
    <row r="1554" spans="1:19" x14ac:dyDescent="0.25">
      <c r="A1554" t="s">
        <v>1151</v>
      </c>
      <c r="B1554" t="s">
        <v>1110</v>
      </c>
      <c r="C1554">
        <v>5</v>
      </c>
      <c r="D1554" t="s">
        <v>1162</v>
      </c>
      <c r="E1554" t="s">
        <v>1216</v>
      </c>
      <c r="F1554" s="5" t="s">
        <v>26</v>
      </c>
      <c r="G1554" s="19">
        <v>15</v>
      </c>
      <c r="H1554" s="19">
        <v>25</v>
      </c>
      <c r="I1554" t="b">
        <v>0</v>
      </c>
      <c r="J1554" t="s">
        <v>1171</v>
      </c>
      <c r="K1554" t="s">
        <v>32</v>
      </c>
      <c r="Q1554" t="s">
        <v>1110</v>
      </c>
      <c r="R1554" t="s">
        <v>1110</v>
      </c>
      <c r="S1554" s="83">
        <v>2</v>
      </c>
    </row>
    <row r="1555" spans="1:19" x14ac:dyDescent="0.25">
      <c r="A1555" t="s">
        <v>1151</v>
      </c>
      <c r="B1555" t="s">
        <v>1115</v>
      </c>
      <c r="C1555">
        <v>2</v>
      </c>
      <c r="D1555" t="s">
        <v>1152</v>
      </c>
      <c r="E1555" t="s">
        <v>1167</v>
      </c>
      <c r="F1555" s="5" t="s">
        <v>25</v>
      </c>
      <c r="G1555" s="19">
        <v>11</v>
      </c>
      <c r="H1555" s="19">
        <v>14</v>
      </c>
      <c r="I1555" t="b">
        <v>1</v>
      </c>
      <c r="J1555" t="s">
        <v>1154</v>
      </c>
      <c r="K1555" t="s">
        <v>32</v>
      </c>
      <c r="Q1555" t="s">
        <v>1115</v>
      </c>
      <c r="R1555" t="s">
        <v>1115</v>
      </c>
      <c r="S1555" s="6">
        <v>1</v>
      </c>
    </row>
    <row r="1556" spans="1:19" x14ac:dyDescent="0.25">
      <c r="A1556" t="s">
        <v>1151</v>
      </c>
      <c r="B1556" t="s">
        <v>1115</v>
      </c>
      <c r="C1556">
        <v>2</v>
      </c>
      <c r="D1556" t="s">
        <v>885</v>
      </c>
      <c r="E1556" t="s">
        <v>1168</v>
      </c>
      <c r="F1556" s="5" t="s">
        <v>25</v>
      </c>
      <c r="G1556" s="19">
        <v>5</v>
      </c>
      <c r="H1556" s="19">
        <v>8</v>
      </c>
      <c r="I1556" t="b">
        <v>1</v>
      </c>
      <c r="J1556" t="s">
        <v>1169</v>
      </c>
      <c r="K1556" t="s">
        <v>32</v>
      </c>
      <c r="Q1556" t="s">
        <v>1115</v>
      </c>
      <c r="R1556" t="s">
        <v>1115</v>
      </c>
      <c r="S1556" s="83">
        <v>4</v>
      </c>
    </row>
    <row r="1557" spans="1:19" x14ac:dyDescent="0.25">
      <c r="A1557" t="s">
        <v>1151</v>
      </c>
      <c r="B1557" t="s">
        <v>1115</v>
      </c>
      <c r="C1557">
        <v>2</v>
      </c>
      <c r="D1557" t="s">
        <v>392</v>
      </c>
      <c r="E1557" t="s">
        <v>1222</v>
      </c>
      <c r="F1557" s="5" t="s">
        <v>24</v>
      </c>
      <c r="G1557" s="19">
        <v>75</v>
      </c>
      <c r="H1557" s="19">
        <v>85</v>
      </c>
      <c r="I1557" t="b">
        <v>1</v>
      </c>
      <c r="J1557" t="s">
        <v>847</v>
      </c>
      <c r="K1557" t="s">
        <v>32</v>
      </c>
      <c r="Q1557" t="s">
        <v>1115</v>
      </c>
      <c r="R1557" t="s">
        <v>1115</v>
      </c>
      <c r="S1557" s="83">
        <v>3</v>
      </c>
    </row>
    <row r="1558" spans="1:19" x14ac:dyDescent="0.25">
      <c r="A1558" t="s">
        <v>1151</v>
      </c>
      <c r="B1558" t="s">
        <v>1115</v>
      </c>
      <c r="C1558">
        <v>2</v>
      </c>
      <c r="D1558" t="s">
        <v>1162</v>
      </c>
      <c r="E1558" t="s">
        <v>1170</v>
      </c>
      <c r="F1558" s="5" t="s">
        <v>27</v>
      </c>
      <c r="G1558" s="19">
        <v>0</v>
      </c>
      <c r="H1558" s="19">
        <v>0.1</v>
      </c>
      <c r="I1558" t="b">
        <v>0</v>
      </c>
      <c r="J1558" t="s">
        <v>1171</v>
      </c>
      <c r="K1558" t="s">
        <v>32</v>
      </c>
      <c r="Q1558" t="s">
        <v>1115</v>
      </c>
      <c r="R1558" t="s">
        <v>1115</v>
      </c>
      <c r="S1558" s="83">
        <v>2</v>
      </c>
    </row>
    <row r="1559" spans="1:19" x14ac:dyDescent="0.25">
      <c r="A1559" t="s">
        <v>1151</v>
      </c>
      <c r="B1559" t="s">
        <v>1115</v>
      </c>
      <c r="C1559">
        <v>2</v>
      </c>
      <c r="D1559" t="s">
        <v>1156</v>
      </c>
      <c r="E1559" t="s">
        <v>1172</v>
      </c>
      <c r="F1559" s="5" t="s">
        <v>25</v>
      </c>
      <c r="G1559" s="19">
        <v>6</v>
      </c>
      <c r="H1559" s="19">
        <v>9</v>
      </c>
      <c r="I1559" t="b">
        <v>1</v>
      </c>
      <c r="J1559" t="s">
        <v>1173</v>
      </c>
      <c r="K1559" t="s">
        <v>32</v>
      </c>
      <c r="Q1559" t="s">
        <v>1115</v>
      </c>
      <c r="R1559" t="s">
        <v>1115</v>
      </c>
      <c r="S1559" s="83">
        <v>7</v>
      </c>
    </row>
    <row r="1560" spans="1:19" x14ac:dyDescent="0.25">
      <c r="A1560" t="s">
        <v>1151</v>
      </c>
      <c r="B1560" t="s">
        <v>1115</v>
      </c>
      <c r="C1560">
        <v>2</v>
      </c>
      <c r="D1560" t="s">
        <v>1155</v>
      </c>
      <c r="E1560" t="s">
        <v>545</v>
      </c>
      <c r="F1560" s="5" t="s">
        <v>24</v>
      </c>
      <c r="G1560" s="19">
        <v>40</v>
      </c>
      <c r="H1560" s="19">
        <v>50</v>
      </c>
      <c r="I1560" t="b">
        <v>1</v>
      </c>
      <c r="J1560" t="s">
        <v>1174</v>
      </c>
      <c r="K1560" t="s">
        <v>32</v>
      </c>
      <c r="Q1560" t="s">
        <v>1115</v>
      </c>
      <c r="R1560" t="s">
        <v>1115</v>
      </c>
      <c r="S1560" s="83">
        <v>8</v>
      </c>
    </row>
    <row r="1561" spans="1:19" x14ac:dyDescent="0.25">
      <c r="A1561" t="s">
        <v>1151</v>
      </c>
      <c r="B1561" t="s">
        <v>1115</v>
      </c>
      <c r="C1561">
        <v>2</v>
      </c>
      <c r="D1561" t="s">
        <v>1157</v>
      </c>
      <c r="E1561" t="s">
        <v>1175</v>
      </c>
      <c r="F1561" s="5" t="s">
        <v>25</v>
      </c>
      <c r="G1561" s="19">
        <v>3.5</v>
      </c>
      <c r="H1561" s="19">
        <v>5</v>
      </c>
      <c r="I1561" t="b">
        <v>1</v>
      </c>
      <c r="J1561" t="s">
        <v>1176</v>
      </c>
      <c r="K1561" t="s">
        <v>32</v>
      </c>
      <c r="Q1561" t="s">
        <v>1115</v>
      </c>
      <c r="R1561" t="s">
        <v>1115</v>
      </c>
      <c r="S1561" s="83">
        <v>11</v>
      </c>
    </row>
    <row r="1562" spans="1:19" x14ac:dyDescent="0.25">
      <c r="A1562" t="s">
        <v>1151</v>
      </c>
      <c r="B1562" t="s">
        <v>1115</v>
      </c>
      <c r="C1562">
        <v>2</v>
      </c>
      <c r="D1562" t="s">
        <v>1159</v>
      </c>
      <c r="E1562" t="s">
        <v>1111</v>
      </c>
      <c r="F1562" s="5" t="s">
        <v>25</v>
      </c>
      <c r="G1562" s="19">
        <v>0</v>
      </c>
      <c r="H1562" s="19">
        <v>1</v>
      </c>
      <c r="I1562" t="b">
        <v>1</v>
      </c>
      <c r="J1562" t="s">
        <v>1177</v>
      </c>
      <c r="K1562" t="s">
        <v>32</v>
      </c>
      <c r="Q1562" t="s">
        <v>1115</v>
      </c>
      <c r="R1562" t="s">
        <v>1115</v>
      </c>
      <c r="S1562" s="83">
        <v>12</v>
      </c>
    </row>
    <row r="1563" spans="1:19" x14ac:dyDescent="0.25">
      <c r="A1563" t="s">
        <v>1151</v>
      </c>
      <c r="B1563" t="s">
        <v>1115</v>
      </c>
      <c r="C1563">
        <v>2</v>
      </c>
      <c r="D1563" t="s">
        <v>1158</v>
      </c>
      <c r="E1563" t="s">
        <v>1178</v>
      </c>
      <c r="F1563" s="5" t="s">
        <v>25</v>
      </c>
      <c r="G1563" s="19">
        <v>4.5</v>
      </c>
      <c r="H1563" s="19">
        <v>6</v>
      </c>
      <c r="I1563" t="b">
        <v>1</v>
      </c>
      <c r="J1563" t="s">
        <v>1179</v>
      </c>
      <c r="K1563" t="s">
        <v>32</v>
      </c>
      <c r="Q1563" t="s">
        <v>1115</v>
      </c>
      <c r="R1563" t="s">
        <v>1115</v>
      </c>
      <c r="S1563" s="83">
        <v>9</v>
      </c>
    </row>
    <row r="1564" spans="1:19" x14ac:dyDescent="0.25">
      <c r="A1564" t="s">
        <v>1151</v>
      </c>
      <c r="B1564" t="s">
        <v>1115</v>
      </c>
      <c r="C1564">
        <v>2</v>
      </c>
      <c r="D1564" t="s">
        <v>1160</v>
      </c>
      <c r="E1564" t="s">
        <v>1111</v>
      </c>
      <c r="F1564" s="5" t="s">
        <v>25</v>
      </c>
      <c r="G1564" s="19">
        <v>0</v>
      </c>
      <c r="H1564" s="19">
        <v>1</v>
      </c>
      <c r="I1564" t="b">
        <v>1</v>
      </c>
      <c r="J1564" t="s">
        <v>1180</v>
      </c>
      <c r="K1564" t="s">
        <v>32</v>
      </c>
      <c r="Q1564" t="s">
        <v>1115</v>
      </c>
      <c r="R1564" t="s">
        <v>1115</v>
      </c>
      <c r="S1564" s="83">
        <v>10</v>
      </c>
    </row>
    <row r="1565" spans="1:19" x14ac:dyDescent="0.25">
      <c r="A1565" t="s">
        <v>1151</v>
      </c>
      <c r="B1565" t="s">
        <v>1115</v>
      </c>
      <c r="C1565">
        <v>2</v>
      </c>
      <c r="D1565" t="s">
        <v>1181</v>
      </c>
      <c r="E1565" t="s">
        <v>535</v>
      </c>
      <c r="F1565" s="5" t="s">
        <v>24</v>
      </c>
      <c r="G1565" s="19">
        <v>45</v>
      </c>
      <c r="H1565" s="19">
        <v>55</v>
      </c>
      <c r="I1565" t="b">
        <v>1</v>
      </c>
      <c r="J1565" t="s">
        <v>1182</v>
      </c>
      <c r="K1565" t="s">
        <v>32</v>
      </c>
      <c r="Q1565" t="s">
        <v>1115</v>
      </c>
      <c r="R1565" t="s">
        <v>1115</v>
      </c>
      <c r="S1565" s="83">
        <v>15</v>
      </c>
    </row>
    <row r="1566" spans="1:19" x14ac:dyDescent="0.25">
      <c r="A1566" t="s">
        <v>1151</v>
      </c>
      <c r="B1566" t="s">
        <v>1115</v>
      </c>
      <c r="C1566">
        <v>2</v>
      </c>
      <c r="D1566" t="s">
        <v>1183</v>
      </c>
      <c r="E1566" t="s">
        <v>1163</v>
      </c>
      <c r="F1566" s="5" t="s">
        <v>25</v>
      </c>
      <c r="G1566" s="19">
        <v>1</v>
      </c>
      <c r="H1566" s="19">
        <v>2</v>
      </c>
      <c r="I1566" t="b">
        <v>1</v>
      </c>
      <c r="J1566" t="s">
        <v>1184</v>
      </c>
      <c r="K1566" t="s">
        <v>32</v>
      </c>
      <c r="Q1566" t="s">
        <v>1115</v>
      </c>
      <c r="R1566" t="s">
        <v>1115</v>
      </c>
      <c r="S1566" s="83">
        <v>14</v>
      </c>
    </row>
    <row r="1567" spans="1:19" x14ac:dyDescent="0.25">
      <c r="A1567" t="s">
        <v>1151</v>
      </c>
      <c r="B1567" t="s">
        <v>1115</v>
      </c>
      <c r="C1567">
        <v>3</v>
      </c>
      <c r="D1567" t="s">
        <v>1152</v>
      </c>
      <c r="E1567" t="s">
        <v>1168</v>
      </c>
      <c r="F1567" s="5" t="s">
        <v>25</v>
      </c>
      <c r="G1567" s="19">
        <v>5</v>
      </c>
      <c r="H1567" s="19">
        <v>8</v>
      </c>
      <c r="I1567" t="b">
        <v>1</v>
      </c>
      <c r="J1567" t="s">
        <v>1154</v>
      </c>
      <c r="K1567" t="s">
        <v>32</v>
      </c>
      <c r="Q1567" t="s">
        <v>1115</v>
      </c>
      <c r="R1567" t="s">
        <v>1115</v>
      </c>
      <c r="S1567" s="6">
        <v>1</v>
      </c>
    </row>
    <row r="1568" spans="1:19" x14ac:dyDescent="0.25">
      <c r="A1568" t="s">
        <v>1151</v>
      </c>
      <c r="B1568" t="s">
        <v>1115</v>
      </c>
      <c r="C1568">
        <v>3</v>
      </c>
      <c r="D1568" t="s">
        <v>885</v>
      </c>
      <c r="E1568" t="s">
        <v>1164</v>
      </c>
      <c r="F1568" s="5" t="s">
        <v>25</v>
      </c>
      <c r="G1568" s="19">
        <v>2</v>
      </c>
      <c r="H1568" s="19">
        <v>5</v>
      </c>
      <c r="I1568" t="b">
        <v>1</v>
      </c>
      <c r="J1568" t="s">
        <v>1169</v>
      </c>
      <c r="K1568" t="s">
        <v>32</v>
      </c>
      <c r="Q1568" t="s">
        <v>1115</v>
      </c>
      <c r="R1568" t="s">
        <v>1115</v>
      </c>
      <c r="S1568" s="83">
        <v>4</v>
      </c>
    </row>
    <row r="1569" spans="1:19" x14ac:dyDescent="0.25">
      <c r="A1569" t="s">
        <v>1151</v>
      </c>
      <c r="B1569" t="s">
        <v>1115</v>
      </c>
      <c r="C1569">
        <v>3</v>
      </c>
      <c r="D1569" t="s">
        <v>392</v>
      </c>
      <c r="E1569" t="s">
        <v>1223</v>
      </c>
      <c r="F1569" s="5" t="s">
        <v>24</v>
      </c>
      <c r="G1569" s="19">
        <v>65</v>
      </c>
      <c r="H1569" s="19">
        <v>75</v>
      </c>
      <c r="I1569" t="b">
        <v>1</v>
      </c>
      <c r="J1569" t="s">
        <v>847</v>
      </c>
      <c r="K1569" t="s">
        <v>32</v>
      </c>
      <c r="Q1569" t="s">
        <v>1115</v>
      </c>
      <c r="R1569" t="s">
        <v>1115</v>
      </c>
      <c r="S1569" s="83">
        <v>3</v>
      </c>
    </row>
    <row r="1570" spans="1:19" x14ac:dyDescent="0.25">
      <c r="A1570" t="s">
        <v>1151</v>
      </c>
      <c r="B1570" t="s">
        <v>1115</v>
      </c>
      <c r="C1570">
        <v>3</v>
      </c>
      <c r="D1570" t="s">
        <v>1162</v>
      </c>
      <c r="E1570" t="s">
        <v>1224</v>
      </c>
      <c r="F1570" s="5" t="s">
        <v>26</v>
      </c>
      <c r="G1570" s="19">
        <v>1</v>
      </c>
      <c r="H1570" s="19">
        <v>5</v>
      </c>
      <c r="I1570" t="b">
        <v>0</v>
      </c>
      <c r="J1570" t="s">
        <v>1171</v>
      </c>
      <c r="K1570" t="s">
        <v>32</v>
      </c>
      <c r="Q1570" t="s">
        <v>1115</v>
      </c>
      <c r="R1570" t="s">
        <v>1115</v>
      </c>
      <c r="S1570" s="83">
        <v>2</v>
      </c>
    </row>
    <row r="1571" spans="1:19" x14ac:dyDescent="0.25">
      <c r="A1571" t="s">
        <v>1151</v>
      </c>
      <c r="B1571" t="s">
        <v>1115</v>
      </c>
      <c r="C1571">
        <v>3</v>
      </c>
      <c r="D1571" t="s">
        <v>1156</v>
      </c>
      <c r="E1571" t="s">
        <v>1127</v>
      </c>
      <c r="F1571" s="5" t="s">
        <v>25</v>
      </c>
      <c r="G1571" s="19">
        <v>3</v>
      </c>
      <c r="H1571" s="19">
        <v>6</v>
      </c>
      <c r="I1571" t="b">
        <v>1</v>
      </c>
      <c r="J1571" t="s">
        <v>1173</v>
      </c>
      <c r="K1571" t="s">
        <v>32</v>
      </c>
      <c r="Q1571" t="s">
        <v>1115</v>
      </c>
      <c r="R1571" t="s">
        <v>1115</v>
      </c>
      <c r="S1571" s="83">
        <v>7</v>
      </c>
    </row>
    <row r="1572" spans="1:19" x14ac:dyDescent="0.25">
      <c r="A1572" t="s">
        <v>1151</v>
      </c>
      <c r="B1572" t="s">
        <v>1115</v>
      </c>
      <c r="C1572">
        <v>3</v>
      </c>
      <c r="D1572" t="s">
        <v>1155</v>
      </c>
      <c r="E1572" t="s">
        <v>551</v>
      </c>
      <c r="F1572" s="5" t="s">
        <v>24</v>
      </c>
      <c r="G1572" s="19">
        <v>30</v>
      </c>
      <c r="H1572" s="19">
        <v>40</v>
      </c>
      <c r="I1572" t="b">
        <v>1</v>
      </c>
      <c r="J1572" t="s">
        <v>1174</v>
      </c>
      <c r="K1572" t="s">
        <v>32</v>
      </c>
      <c r="Q1572" t="s">
        <v>1115</v>
      </c>
      <c r="R1572" t="s">
        <v>1115</v>
      </c>
      <c r="S1572" s="83">
        <v>8</v>
      </c>
    </row>
    <row r="1573" spans="1:19" x14ac:dyDescent="0.25">
      <c r="A1573" t="s">
        <v>1151</v>
      </c>
      <c r="B1573" t="s">
        <v>1115</v>
      </c>
      <c r="C1573">
        <v>3</v>
      </c>
      <c r="D1573" t="s">
        <v>1157</v>
      </c>
      <c r="E1573" t="s">
        <v>1195</v>
      </c>
      <c r="F1573" s="5" t="s">
        <v>25</v>
      </c>
      <c r="G1573" s="19">
        <v>2</v>
      </c>
      <c r="H1573" s="19">
        <v>3.5</v>
      </c>
      <c r="I1573" t="b">
        <v>1</v>
      </c>
      <c r="J1573" t="s">
        <v>1176</v>
      </c>
      <c r="K1573" t="s">
        <v>32</v>
      </c>
      <c r="Q1573" t="s">
        <v>1115</v>
      </c>
      <c r="R1573" t="s">
        <v>1115</v>
      </c>
      <c r="S1573" s="83">
        <v>11</v>
      </c>
    </row>
    <row r="1574" spans="1:19" x14ac:dyDescent="0.25">
      <c r="A1574" t="s">
        <v>1151</v>
      </c>
      <c r="B1574" t="s">
        <v>1115</v>
      </c>
      <c r="C1574">
        <v>3</v>
      </c>
      <c r="D1574" t="s">
        <v>1159</v>
      </c>
      <c r="E1574" t="s">
        <v>1111</v>
      </c>
      <c r="F1574" s="5" t="s">
        <v>25</v>
      </c>
      <c r="G1574" s="19">
        <v>0</v>
      </c>
      <c r="H1574" s="19">
        <v>1</v>
      </c>
      <c r="I1574" t="b">
        <v>1</v>
      </c>
      <c r="J1574" t="s">
        <v>1177</v>
      </c>
      <c r="K1574" t="s">
        <v>32</v>
      </c>
      <c r="Q1574" t="s">
        <v>1115</v>
      </c>
      <c r="R1574" t="s">
        <v>1115</v>
      </c>
      <c r="S1574" s="83">
        <v>12</v>
      </c>
    </row>
    <row r="1575" spans="1:19" x14ac:dyDescent="0.25">
      <c r="A1575" t="s">
        <v>1151</v>
      </c>
      <c r="B1575" t="s">
        <v>1115</v>
      </c>
      <c r="C1575">
        <v>3</v>
      </c>
      <c r="D1575" t="s">
        <v>1158</v>
      </c>
      <c r="E1575" t="s">
        <v>1196</v>
      </c>
      <c r="F1575" s="5" t="s">
        <v>25</v>
      </c>
      <c r="G1575" s="19">
        <v>2.5</v>
      </c>
      <c r="H1575" s="19">
        <v>4.5</v>
      </c>
      <c r="I1575" t="b">
        <v>1</v>
      </c>
      <c r="J1575" t="s">
        <v>1179</v>
      </c>
      <c r="K1575" t="s">
        <v>32</v>
      </c>
      <c r="Q1575" t="s">
        <v>1115</v>
      </c>
      <c r="R1575" t="s">
        <v>1115</v>
      </c>
      <c r="S1575" s="83">
        <v>9</v>
      </c>
    </row>
    <row r="1576" spans="1:19" x14ac:dyDescent="0.25">
      <c r="A1576" t="s">
        <v>1151</v>
      </c>
      <c r="B1576" t="s">
        <v>1115</v>
      </c>
      <c r="C1576">
        <v>3</v>
      </c>
      <c r="D1576" t="s">
        <v>1160</v>
      </c>
      <c r="E1576" t="s">
        <v>1111</v>
      </c>
      <c r="F1576" s="5" t="s">
        <v>25</v>
      </c>
      <c r="G1576" s="19">
        <v>0</v>
      </c>
      <c r="H1576" s="19">
        <v>1</v>
      </c>
      <c r="I1576" t="b">
        <v>1</v>
      </c>
      <c r="J1576" t="s">
        <v>1180</v>
      </c>
      <c r="K1576" t="s">
        <v>32</v>
      </c>
      <c r="Q1576" t="s">
        <v>1115</v>
      </c>
      <c r="R1576" t="s">
        <v>1115</v>
      </c>
      <c r="S1576" s="83">
        <v>10</v>
      </c>
    </row>
    <row r="1577" spans="1:19" x14ac:dyDescent="0.25">
      <c r="A1577" t="s">
        <v>1151</v>
      </c>
      <c r="B1577" t="s">
        <v>1115</v>
      </c>
      <c r="C1577">
        <v>3</v>
      </c>
      <c r="D1577" t="s">
        <v>1181</v>
      </c>
      <c r="E1577" t="s">
        <v>541</v>
      </c>
      <c r="F1577" s="5" t="s">
        <v>24</v>
      </c>
      <c r="G1577" s="19">
        <v>35</v>
      </c>
      <c r="H1577" s="19">
        <v>45</v>
      </c>
      <c r="I1577" t="b">
        <v>1</v>
      </c>
      <c r="J1577" t="s">
        <v>1182</v>
      </c>
      <c r="K1577" t="s">
        <v>32</v>
      </c>
      <c r="Q1577" t="s">
        <v>1115</v>
      </c>
      <c r="R1577" t="s">
        <v>1115</v>
      </c>
      <c r="S1577" s="83">
        <v>15</v>
      </c>
    </row>
    <row r="1578" spans="1:19" x14ac:dyDescent="0.25">
      <c r="A1578" t="s">
        <v>1151</v>
      </c>
      <c r="B1578" t="s">
        <v>1115</v>
      </c>
      <c r="C1578">
        <v>3</v>
      </c>
      <c r="D1578" t="s">
        <v>1183</v>
      </c>
      <c r="E1578" t="s">
        <v>1189</v>
      </c>
      <c r="F1578" s="5" t="s">
        <v>25</v>
      </c>
      <c r="G1578" s="19">
        <v>0.5</v>
      </c>
      <c r="H1578" s="19">
        <v>2</v>
      </c>
      <c r="I1578" t="b">
        <v>1</v>
      </c>
      <c r="J1578" t="s">
        <v>1184</v>
      </c>
      <c r="K1578" t="s">
        <v>32</v>
      </c>
      <c r="Q1578" t="s">
        <v>1115</v>
      </c>
      <c r="R1578" t="s">
        <v>1115</v>
      </c>
      <c r="S1578" s="83">
        <v>14</v>
      </c>
    </row>
    <row r="1579" spans="1:19" x14ac:dyDescent="0.25">
      <c r="A1579" t="s">
        <v>1151</v>
      </c>
      <c r="B1579" t="s">
        <v>1115</v>
      </c>
      <c r="C1579">
        <v>4</v>
      </c>
      <c r="D1579" t="s">
        <v>1152</v>
      </c>
      <c r="E1579" t="s">
        <v>1164</v>
      </c>
      <c r="F1579" s="5" t="s">
        <v>25</v>
      </c>
      <c r="G1579" s="19">
        <v>2</v>
      </c>
      <c r="H1579" s="19">
        <v>5</v>
      </c>
      <c r="I1579" t="b">
        <v>1</v>
      </c>
      <c r="J1579" t="s">
        <v>1154</v>
      </c>
      <c r="K1579" t="s">
        <v>32</v>
      </c>
      <c r="Q1579" t="s">
        <v>1115</v>
      </c>
      <c r="R1579" t="s">
        <v>1115</v>
      </c>
      <c r="S1579" s="6">
        <v>1</v>
      </c>
    </row>
    <row r="1580" spans="1:19" x14ac:dyDescent="0.25">
      <c r="A1580" t="s">
        <v>1151</v>
      </c>
      <c r="B1580" t="s">
        <v>1115</v>
      </c>
      <c r="C1580">
        <v>4</v>
      </c>
      <c r="D1580" t="s">
        <v>885</v>
      </c>
      <c r="E1580" t="s">
        <v>1189</v>
      </c>
      <c r="F1580" s="5" t="s">
        <v>25</v>
      </c>
      <c r="G1580" s="19">
        <v>0.5</v>
      </c>
      <c r="H1580" s="19">
        <v>2</v>
      </c>
      <c r="I1580" t="b">
        <v>1</v>
      </c>
      <c r="J1580" t="s">
        <v>1169</v>
      </c>
      <c r="K1580" t="s">
        <v>32</v>
      </c>
      <c r="Q1580" t="s">
        <v>1115</v>
      </c>
      <c r="R1580" t="s">
        <v>1115</v>
      </c>
      <c r="S1580" s="83">
        <v>4</v>
      </c>
    </row>
    <row r="1581" spans="1:19" x14ac:dyDescent="0.25">
      <c r="A1581" t="s">
        <v>1151</v>
      </c>
      <c r="B1581" t="s">
        <v>1115</v>
      </c>
      <c r="C1581">
        <v>4</v>
      </c>
      <c r="D1581" t="s">
        <v>392</v>
      </c>
      <c r="E1581" t="s">
        <v>521</v>
      </c>
      <c r="F1581" s="5" t="s">
        <v>24</v>
      </c>
      <c r="G1581" s="19">
        <v>25</v>
      </c>
      <c r="H1581" s="19">
        <v>35</v>
      </c>
      <c r="I1581" t="b">
        <v>1</v>
      </c>
      <c r="J1581" t="s">
        <v>847</v>
      </c>
      <c r="K1581" t="s">
        <v>32</v>
      </c>
      <c r="Q1581" t="s">
        <v>1115</v>
      </c>
      <c r="R1581" t="s">
        <v>1115</v>
      </c>
      <c r="S1581" s="83">
        <v>3</v>
      </c>
    </row>
    <row r="1582" spans="1:19" x14ac:dyDescent="0.25">
      <c r="A1582" t="s">
        <v>1151</v>
      </c>
      <c r="B1582" t="s">
        <v>1115</v>
      </c>
      <c r="C1582">
        <v>4</v>
      </c>
      <c r="D1582" t="s">
        <v>1156</v>
      </c>
      <c r="E1582" t="s">
        <v>1113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1173</v>
      </c>
      <c r="K1582" t="s">
        <v>32</v>
      </c>
      <c r="Q1582" t="s">
        <v>1115</v>
      </c>
      <c r="R1582" t="s">
        <v>1115</v>
      </c>
      <c r="S1582" s="83">
        <v>7</v>
      </c>
    </row>
    <row r="1583" spans="1:19" x14ac:dyDescent="0.25">
      <c r="A1583" t="s">
        <v>1151</v>
      </c>
      <c r="B1583" t="s">
        <v>1115</v>
      </c>
      <c r="C1583">
        <v>4</v>
      </c>
      <c r="D1583" t="s">
        <v>1157</v>
      </c>
      <c r="E1583" t="s">
        <v>1189</v>
      </c>
      <c r="F1583" s="5" t="s">
        <v>25</v>
      </c>
      <c r="G1583" s="19">
        <v>0.5</v>
      </c>
      <c r="H1583" s="19">
        <v>2</v>
      </c>
      <c r="I1583" t="b">
        <v>1</v>
      </c>
      <c r="J1583" t="s">
        <v>1176</v>
      </c>
      <c r="K1583" t="s">
        <v>32</v>
      </c>
      <c r="Q1583" t="s">
        <v>1115</v>
      </c>
      <c r="R1583" t="s">
        <v>1115</v>
      </c>
      <c r="S1583" s="83">
        <v>11</v>
      </c>
    </row>
    <row r="1584" spans="1:19" x14ac:dyDescent="0.25">
      <c r="A1584" t="s">
        <v>1151</v>
      </c>
      <c r="B1584" t="s">
        <v>1115</v>
      </c>
      <c r="C1584">
        <v>4</v>
      </c>
      <c r="D1584" t="s">
        <v>1158</v>
      </c>
      <c r="E1584" t="s">
        <v>1189</v>
      </c>
      <c r="F1584" s="5" t="s">
        <v>25</v>
      </c>
      <c r="G1584" s="19">
        <v>0.5</v>
      </c>
      <c r="H1584" s="19">
        <v>2</v>
      </c>
      <c r="I1584" t="b">
        <v>1</v>
      </c>
      <c r="J1584" t="s">
        <v>1179</v>
      </c>
      <c r="K1584" t="s">
        <v>32</v>
      </c>
      <c r="Q1584" t="s">
        <v>1115</v>
      </c>
      <c r="R1584" t="s">
        <v>1115</v>
      </c>
      <c r="S1584" s="83">
        <v>9</v>
      </c>
    </row>
    <row r="1585" spans="1:19" x14ac:dyDescent="0.25">
      <c r="A1585" t="s">
        <v>1151</v>
      </c>
      <c r="B1585" t="s">
        <v>1115</v>
      </c>
      <c r="C1585">
        <v>4</v>
      </c>
      <c r="D1585" t="s">
        <v>1162</v>
      </c>
      <c r="E1585" t="s">
        <v>1225</v>
      </c>
      <c r="F1585" s="5" t="s">
        <v>26</v>
      </c>
      <c r="G1585" s="19">
        <v>5</v>
      </c>
      <c r="H1585" s="19">
        <v>15</v>
      </c>
      <c r="I1585" t="b">
        <v>0</v>
      </c>
      <c r="J1585" t="s">
        <v>1171</v>
      </c>
      <c r="K1585" t="s">
        <v>32</v>
      </c>
      <c r="L1585" t="s">
        <v>716</v>
      </c>
      <c r="M1585" t="s">
        <v>1138</v>
      </c>
      <c r="Q1585" t="s">
        <v>1115</v>
      </c>
      <c r="R1585" t="s">
        <v>1115</v>
      </c>
      <c r="S1585" s="83">
        <v>2</v>
      </c>
    </row>
    <row r="1586" spans="1:19" x14ac:dyDescent="0.25">
      <c r="A1586" t="s">
        <v>1151</v>
      </c>
      <c r="B1586" t="s">
        <v>1115</v>
      </c>
      <c r="C1586">
        <v>4</v>
      </c>
      <c r="D1586" t="s">
        <v>1155</v>
      </c>
      <c r="E1586" t="s">
        <v>524</v>
      </c>
      <c r="F1586" s="5" t="s">
        <v>24</v>
      </c>
      <c r="G1586" s="19">
        <v>10</v>
      </c>
      <c r="H1586" s="19">
        <v>20</v>
      </c>
      <c r="I1586" t="b">
        <v>1</v>
      </c>
      <c r="J1586" t="s">
        <v>1174</v>
      </c>
      <c r="K1586" t="s">
        <v>32</v>
      </c>
      <c r="L1586" t="s">
        <v>716</v>
      </c>
      <c r="M1586" t="s">
        <v>1138</v>
      </c>
      <c r="Q1586" t="s">
        <v>1115</v>
      </c>
      <c r="R1586" t="s">
        <v>1115</v>
      </c>
      <c r="S1586" s="83">
        <v>8</v>
      </c>
    </row>
    <row r="1587" spans="1:19" x14ac:dyDescent="0.25">
      <c r="A1587" t="s">
        <v>1151</v>
      </c>
      <c r="B1587" t="s">
        <v>1115</v>
      </c>
      <c r="C1587">
        <v>4</v>
      </c>
      <c r="D1587" t="s">
        <v>1181</v>
      </c>
      <c r="E1587" t="s">
        <v>525</v>
      </c>
      <c r="F1587" s="5" t="s">
        <v>24</v>
      </c>
      <c r="G1587" s="19">
        <v>20</v>
      </c>
      <c r="H1587" s="19">
        <v>30</v>
      </c>
      <c r="I1587" t="b">
        <v>1</v>
      </c>
      <c r="J1587" t="s">
        <v>1182</v>
      </c>
      <c r="K1587" t="s">
        <v>32</v>
      </c>
      <c r="L1587" t="s">
        <v>716</v>
      </c>
      <c r="M1587" t="s">
        <v>1138</v>
      </c>
      <c r="Q1587" t="s">
        <v>1115</v>
      </c>
      <c r="R1587" t="s">
        <v>1115</v>
      </c>
      <c r="S1587" s="83">
        <v>15</v>
      </c>
    </row>
    <row r="1588" spans="1:19" x14ac:dyDescent="0.25">
      <c r="A1588" t="s">
        <v>1151</v>
      </c>
      <c r="B1588" t="s">
        <v>1115</v>
      </c>
      <c r="C1588">
        <v>5</v>
      </c>
      <c r="D1588" t="s">
        <v>1152</v>
      </c>
      <c r="E1588" t="s">
        <v>1111</v>
      </c>
      <c r="F1588" s="5" t="s">
        <v>25</v>
      </c>
      <c r="G1588" s="19">
        <v>0</v>
      </c>
      <c r="H1588" s="19">
        <v>1</v>
      </c>
      <c r="I1588" t="b">
        <v>1</v>
      </c>
      <c r="J1588" t="s">
        <v>1154</v>
      </c>
      <c r="K1588" t="s">
        <v>32</v>
      </c>
      <c r="Q1588" t="s">
        <v>1115</v>
      </c>
      <c r="R1588" t="s">
        <v>1115</v>
      </c>
      <c r="S1588" s="6">
        <v>1</v>
      </c>
    </row>
    <row r="1589" spans="1:19" x14ac:dyDescent="0.25">
      <c r="A1589" t="s">
        <v>1151</v>
      </c>
      <c r="B1589" t="s">
        <v>1115</v>
      </c>
      <c r="C1589">
        <v>5</v>
      </c>
      <c r="D1589" t="s">
        <v>392</v>
      </c>
      <c r="E1589" t="s">
        <v>529</v>
      </c>
      <c r="F1589" s="5" t="s">
        <v>24</v>
      </c>
      <c r="G1589" s="19">
        <v>15</v>
      </c>
      <c r="H1589" s="19">
        <v>25</v>
      </c>
      <c r="I1589" t="b">
        <v>1</v>
      </c>
      <c r="J1589" t="s">
        <v>847</v>
      </c>
      <c r="K1589" t="s">
        <v>32</v>
      </c>
      <c r="Q1589" t="s">
        <v>1115</v>
      </c>
      <c r="R1589" t="s">
        <v>1115</v>
      </c>
      <c r="S1589" s="83">
        <v>3</v>
      </c>
    </row>
    <row r="1590" spans="1:19" x14ac:dyDescent="0.25">
      <c r="A1590" t="s">
        <v>1151</v>
      </c>
      <c r="B1590" t="s">
        <v>1115</v>
      </c>
      <c r="C1590">
        <v>5</v>
      </c>
      <c r="D1590" t="s">
        <v>1162</v>
      </c>
      <c r="E1590" t="s">
        <v>1216</v>
      </c>
      <c r="F1590" s="5" t="s">
        <v>26</v>
      </c>
      <c r="G1590" s="19">
        <v>15</v>
      </c>
      <c r="H1590" s="19">
        <v>25</v>
      </c>
      <c r="I1590" t="b">
        <v>0</v>
      </c>
      <c r="J1590" t="s">
        <v>1171</v>
      </c>
      <c r="K1590" t="s">
        <v>32</v>
      </c>
      <c r="Q1590" t="s">
        <v>1115</v>
      </c>
      <c r="R1590" t="s">
        <v>1115</v>
      </c>
      <c r="S1590" s="83">
        <v>2</v>
      </c>
    </row>
    <row r="1591" spans="1:19" x14ac:dyDescent="0.25">
      <c r="A1591" t="s">
        <v>1151</v>
      </c>
      <c r="B1591" t="s">
        <v>1149</v>
      </c>
      <c r="C1591">
        <v>2</v>
      </c>
      <c r="D1591" t="s">
        <v>11</v>
      </c>
      <c r="E1591" t="s">
        <v>1167</v>
      </c>
      <c r="F1591" s="5" t="s">
        <v>25</v>
      </c>
      <c r="G1591" s="19">
        <v>11</v>
      </c>
      <c r="H1591" s="19">
        <v>14</v>
      </c>
      <c r="I1591" t="b">
        <v>1</v>
      </c>
      <c r="J1591" t="s">
        <v>1381</v>
      </c>
      <c r="K1591" t="s">
        <v>32</v>
      </c>
      <c r="Q1591" t="s">
        <v>1149</v>
      </c>
      <c r="R1591" t="s">
        <v>1149</v>
      </c>
      <c r="S1591" s="83">
        <v>16</v>
      </c>
    </row>
    <row r="1592" spans="1:19" x14ac:dyDescent="0.25">
      <c r="A1592" t="s">
        <v>1151</v>
      </c>
      <c r="B1592" t="s">
        <v>1149</v>
      </c>
      <c r="C1592">
        <v>2</v>
      </c>
      <c r="D1592" t="s">
        <v>1162</v>
      </c>
      <c r="E1592" t="s">
        <v>1197</v>
      </c>
      <c r="F1592" s="5" t="s">
        <v>27</v>
      </c>
      <c r="G1592" s="19">
        <v>0</v>
      </c>
      <c r="H1592" s="19">
        <v>0.1</v>
      </c>
      <c r="I1592" t="b">
        <v>0</v>
      </c>
      <c r="J1592" t="s">
        <v>1171</v>
      </c>
      <c r="K1592" t="s">
        <v>32</v>
      </c>
      <c r="Q1592" t="s">
        <v>1149</v>
      </c>
      <c r="R1592" t="s">
        <v>1149</v>
      </c>
      <c r="S1592" s="83">
        <v>2</v>
      </c>
    </row>
    <row r="1593" spans="1:19" x14ac:dyDescent="0.25">
      <c r="A1593" t="s">
        <v>1151</v>
      </c>
      <c r="B1593" t="s">
        <v>1149</v>
      </c>
      <c r="C1593">
        <v>2</v>
      </c>
      <c r="D1593" t="s">
        <v>885</v>
      </c>
      <c r="E1593" t="s">
        <v>1168</v>
      </c>
      <c r="F1593" s="5" t="s">
        <v>25</v>
      </c>
      <c r="G1593" s="19">
        <v>5</v>
      </c>
      <c r="H1593" s="19">
        <v>8</v>
      </c>
      <c r="I1593" t="b">
        <v>1</v>
      </c>
      <c r="J1593" t="s">
        <v>1169</v>
      </c>
      <c r="K1593" t="s">
        <v>32</v>
      </c>
      <c r="Q1593" t="s">
        <v>1149</v>
      </c>
      <c r="R1593" t="s">
        <v>1149</v>
      </c>
      <c r="S1593" s="83">
        <v>4</v>
      </c>
    </row>
    <row r="1594" spans="1:19" x14ac:dyDescent="0.25">
      <c r="A1594" t="s">
        <v>1151</v>
      </c>
      <c r="B1594" t="s">
        <v>1149</v>
      </c>
      <c r="C1594">
        <v>2</v>
      </c>
      <c r="D1594" t="s">
        <v>392</v>
      </c>
      <c r="E1594" t="s">
        <v>551</v>
      </c>
      <c r="F1594" s="5" t="s">
        <v>24</v>
      </c>
      <c r="G1594" s="19">
        <v>30</v>
      </c>
      <c r="H1594" s="19">
        <v>40</v>
      </c>
      <c r="I1594" t="b">
        <v>1</v>
      </c>
      <c r="J1594" t="s">
        <v>847</v>
      </c>
      <c r="K1594" t="s">
        <v>32</v>
      </c>
      <c r="Q1594" t="s">
        <v>1149</v>
      </c>
      <c r="R1594" t="s">
        <v>1149</v>
      </c>
      <c r="S1594" s="83">
        <v>3</v>
      </c>
    </row>
    <row r="1595" spans="1:19" x14ac:dyDescent="0.25">
      <c r="A1595" t="s">
        <v>1151</v>
      </c>
      <c r="B1595" t="s">
        <v>1149</v>
      </c>
      <c r="C1595">
        <v>2</v>
      </c>
      <c r="D1595" t="s">
        <v>1156</v>
      </c>
      <c r="E1595" t="s">
        <v>1168</v>
      </c>
      <c r="F1595" s="5" t="s">
        <v>25</v>
      </c>
      <c r="G1595" s="19">
        <v>5</v>
      </c>
      <c r="H1595" s="19">
        <v>8</v>
      </c>
      <c r="I1595" t="b">
        <v>1</v>
      </c>
      <c r="J1595" t="s">
        <v>1173</v>
      </c>
      <c r="K1595" t="s">
        <v>32</v>
      </c>
      <c r="Q1595" t="s">
        <v>1149</v>
      </c>
      <c r="R1595" t="s">
        <v>1149</v>
      </c>
      <c r="S1595" s="83">
        <v>7</v>
      </c>
    </row>
    <row r="1596" spans="1:19" x14ac:dyDescent="0.25">
      <c r="A1596" t="s">
        <v>1151</v>
      </c>
      <c r="B1596" t="s">
        <v>1149</v>
      </c>
      <c r="C1596">
        <v>2</v>
      </c>
      <c r="D1596" t="s">
        <v>1198</v>
      </c>
      <c r="E1596" t="s">
        <v>1172</v>
      </c>
      <c r="F1596" s="5" t="s">
        <v>25</v>
      </c>
      <c r="G1596" s="19">
        <v>6</v>
      </c>
      <c r="H1596" s="19">
        <v>9</v>
      </c>
      <c r="I1596" t="b">
        <v>1</v>
      </c>
      <c r="J1596" t="s">
        <v>1199</v>
      </c>
      <c r="K1596" t="s">
        <v>32</v>
      </c>
      <c r="Q1596" t="s">
        <v>1149</v>
      </c>
      <c r="R1596" t="s">
        <v>1149</v>
      </c>
      <c r="S1596" s="83">
        <v>13</v>
      </c>
    </row>
    <row r="1597" spans="1:19" x14ac:dyDescent="0.25">
      <c r="A1597" t="s">
        <v>1151</v>
      </c>
      <c r="B1597" t="s">
        <v>1149</v>
      </c>
      <c r="C1597">
        <v>2</v>
      </c>
      <c r="D1597" t="s">
        <v>1158</v>
      </c>
      <c r="E1597" t="s">
        <v>1163</v>
      </c>
      <c r="F1597" s="5" t="s">
        <v>25</v>
      </c>
      <c r="G1597" s="19">
        <v>1</v>
      </c>
      <c r="H1597" s="19">
        <v>2</v>
      </c>
      <c r="I1597" t="b">
        <v>1</v>
      </c>
      <c r="J1597" t="s">
        <v>1179</v>
      </c>
      <c r="K1597" t="s">
        <v>32</v>
      </c>
      <c r="Q1597" t="s">
        <v>1149</v>
      </c>
      <c r="R1597" t="s">
        <v>1149</v>
      </c>
      <c r="S1597" s="83">
        <v>9</v>
      </c>
    </row>
    <row r="1598" spans="1:19" x14ac:dyDescent="0.25">
      <c r="A1598" t="s">
        <v>1151</v>
      </c>
      <c r="B1598" t="s">
        <v>1149</v>
      </c>
      <c r="C1598">
        <v>3</v>
      </c>
      <c r="D1598" t="s">
        <v>11</v>
      </c>
      <c r="E1598" t="s">
        <v>1382</v>
      </c>
      <c r="F1598" s="5" t="s">
        <v>25</v>
      </c>
      <c r="G1598" s="19">
        <v>8</v>
      </c>
      <c r="H1598" s="19">
        <v>11</v>
      </c>
      <c r="I1598" t="b">
        <v>1</v>
      </c>
      <c r="J1598" t="s">
        <v>1381</v>
      </c>
      <c r="K1598" t="s">
        <v>32</v>
      </c>
      <c r="Q1598" t="s">
        <v>1149</v>
      </c>
      <c r="R1598" t="s">
        <v>1149</v>
      </c>
      <c r="S1598" s="83">
        <v>16</v>
      </c>
    </row>
    <row r="1599" spans="1:19" x14ac:dyDescent="0.25">
      <c r="A1599" t="s">
        <v>1151</v>
      </c>
      <c r="B1599" t="s">
        <v>1149</v>
      </c>
      <c r="C1599">
        <v>3</v>
      </c>
      <c r="D1599" t="s">
        <v>1152</v>
      </c>
      <c r="E1599" t="s">
        <v>1172</v>
      </c>
      <c r="F1599" s="5" t="s">
        <v>25</v>
      </c>
      <c r="G1599" s="19">
        <v>6</v>
      </c>
      <c r="H1599" s="19">
        <v>9</v>
      </c>
      <c r="I1599" t="b">
        <v>1</v>
      </c>
      <c r="J1599" t="s">
        <v>1154</v>
      </c>
      <c r="K1599" t="s">
        <v>32</v>
      </c>
      <c r="Q1599" t="s">
        <v>1149</v>
      </c>
      <c r="R1599" t="s">
        <v>1149</v>
      </c>
      <c r="S1599" s="83">
        <v>1</v>
      </c>
    </row>
    <row r="1600" spans="1:19" x14ac:dyDescent="0.25">
      <c r="A1600" t="s">
        <v>1151</v>
      </c>
      <c r="B1600" t="s">
        <v>1149</v>
      </c>
      <c r="C1600">
        <v>3</v>
      </c>
      <c r="D1600" t="s">
        <v>1162</v>
      </c>
      <c r="E1600" t="s">
        <v>1225</v>
      </c>
      <c r="F1600" s="5" t="s">
        <v>26</v>
      </c>
      <c r="G1600" s="19">
        <v>5</v>
      </c>
      <c r="H1600" s="19">
        <v>15</v>
      </c>
      <c r="I1600" t="b">
        <v>0</v>
      </c>
      <c r="J1600" t="s">
        <v>1171</v>
      </c>
      <c r="K1600" t="s">
        <v>32</v>
      </c>
      <c r="Q1600" t="s">
        <v>1149</v>
      </c>
      <c r="R1600" t="s">
        <v>1149</v>
      </c>
      <c r="S1600" s="83">
        <v>2</v>
      </c>
    </row>
    <row r="1601" spans="1:19" x14ac:dyDescent="0.25">
      <c r="A1601" t="s">
        <v>1151</v>
      </c>
      <c r="B1601" t="s">
        <v>1149</v>
      </c>
      <c r="C1601">
        <v>3</v>
      </c>
      <c r="D1601" t="s">
        <v>1161</v>
      </c>
      <c r="E1601" t="s">
        <v>1383</v>
      </c>
      <c r="F1601" s="5" t="s">
        <v>27</v>
      </c>
      <c r="G1601" s="19">
        <v>0</v>
      </c>
      <c r="H1601" s="19">
        <v>1</v>
      </c>
      <c r="I1601" t="b">
        <v>0</v>
      </c>
      <c r="J1601" t="s">
        <v>1201</v>
      </c>
      <c r="K1601" t="s">
        <v>32</v>
      </c>
      <c r="Q1601" t="s">
        <v>1149</v>
      </c>
      <c r="R1601" t="s">
        <v>1149</v>
      </c>
      <c r="S1601" s="83">
        <v>5</v>
      </c>
    </row>
    <row r="1602" spans="1:19" x14ac:dyDescent="0.25">
      <c r="A1602" t="s">
        <v>1151</v>
      </c>
      <c r="B1602" t="s">
        <v>1149</v>
      </c>
      <c r="C1602">
        <v>3</v>
      </c>
      <c r="D1602" t="s">
        <v>885</v>
      </c>
      <c r="E1602" t="s">
        <v>1164</v>
      </c>
      <c r="F1602" s="5" t="s">
        <v>25</v>
      </c>
      <c r="G1602" s="19">
        <v>2</v>
      </c>
      <c r="H1602" s="19">
        <v>5</v>
      </c>
      <c r="I1602" t="b">
        <v>1</v>
      </c>
      <c r="J1602" t="s">
        <v>1169</v>
      </c>
      <c r="K1602" t="s">
        <v>32</v>
      </c>
      <c r="Q1602" t="s">
        <v>1149</v>
      </c>
      <c r="R1602" t="s">
        <v>1149</v>
      </c>
      <c r="S1602" s="83">
        <v>4</v>
      </c>
    </row>
    <row r="1603" spans="1:19" x14ac:dyDescent="0.25">
      <c r="A1603" t="s">
        <v>1151</v>
      </c>
      <c r="B1603" t="s">
        <v>1149</v>
      </c>
      <c r="C1603">
        <v>3</v>
      </c>
      <c r="D1603" t="s">
        <v>392</v>
      </c>
      <c r="E1603" t="s">
        <v>525</v>
      </c>
      <c r="F1603" s="5" t="s">
        <v>24</v>
      </c>
      <c r="G1603" s="19">
        <v>20</v>
      </c>
      <c r="H1603" s="19">
        <v>30</v>
      </c>
      <c r="I1603" t="b">
        <v>1</v>
      </c>
      <c r="J1603" t="s">
        <v>847</v>
      </c>
      <c r="K1603" t="s">
        <v>32</v>
      </c>
      <c r="Q1603" t="s">
        <v>1149</v>
      </c>
      <c r="R1603" t="s">
        <v>1149</v>
      </c>
      <c r="S1603" s="83">
        <v>3</v>
      </c>
    </row>
    <row r="1604" spans="1:19" x14ac:dyDescent="0.25">
      <c r="A1604" t="s">
        <v>1151</v>
      </c>
      <c r="B1604" t="s">
        <v>1149</v>
      </c>
      <c r="C1604">
        <v>3</v>
      </c>
      <c r="D1604" t="s">
        <v>1156</v>
      </c>
      <c r="E1604" t="s">
        <v>1164</v>
      </c>
      <c r="F1604" s="5" t="s">
        <v>25</v>
      </c>
      <c r="G1604" s="19">
        <v>2</v>
      </c>
      <c r="H1604" s="19">
        <v>5</v>
      </c>
      <c r="I1604" t="b">
        <v>1</v>
      </c>
      <c r="J1604" t="s">
        <v>1173</v>
      </c>
      <c r="K1604" t="s">
        <v>32</v>
      </c>
      <c r="Q1604" t="s">
        <v>1149</v>
      </c>
      <c r="R1604" t="s">
        <v>1149</v>
      </c>
      <c r="S1604" s="83">
        <v>7</v>
      </c>
    </row>
    <row r="1605" spans="1:19" x14ac:dyDescent="0.25">
      <c r="A1605" t="s">
        <v>1151</v>
      </c>
      <c r="B1605" t="s">
        <v>1149</v>
      </c>
      <c r="C1605">
        <v>3</v>
      </c>
      <c r="D1605" t="s">
        <v>1198</v>
      </c>
      <c r="E1605" t="s">
        <v>1127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1199</v>
      </c>
      <c r="K1605" t="s">
        <v>32</v>
      </c>
      <c r="Q1605" t="s">
        <v>1149</v>
      </c>
      <c r="R1605" t="s">
        <v>1149</v>
      </c>
      <c r="S1605" s="83">
        <v>13</v>
      </c>
    </row>
    <row r="1606" spans="1:19" x14ac:dyDescent="0.25">
      <c r="A1606" t="s">
        <v>1151</v>
      </c>
      <c r="B1606" t="s">
        <v>1149</v>
      </c>
      <c r="C1606">
        <v>3</v>
      </c>
      <c r="D1606" t="s">
        <v>1158</v>
      </c>
      <c r="E1606" t="s">
        <v>1111</v>
      </c>
      <c r="F1606" s="5" t="s">
        <v>25</v>
      </c>
      <c r="G1606" s="19">
        <v>0</v>
      </c>
      <c r="H1606" s="19">
        <v>1</v>
      </c>
      <c r="I1606" t="b">
        <v>1</v>
      </c>
      <c r="J1606" t="s">
        <v>1179</v>
      </c>
      <c r="K1606" t="s">
        <v>32</v>
      </c>
      <c r="Q1606" t="s">
        <v>1149</v>
      </c>
      <c r="R1606" t="s">
        <v>1149</v>
      </c>
      <c r="S1606" s="83">
        <v>9</v>
      </c>
    </row>
    <row r="1607" spans="1:19" x14ac:dyDescent="0.25">
      <c r="A1607" t="s">
        <v>1151</v>
      </c>
      <c r="B1607" t="s">
        <v>1149</v>
      </c>
      <c r="C1607">
        <v>4</v>
      </c>
      <c r="D1607" t="s">
        <v>11</v>
      </c>
      <c r="E1607" t="s">
        <v>1168</v>
      </c>
      <c r="F1607" s="5" t="s">
        <v>25</v>
      </c>
      <c r="G1607" s="19">
        <v>5</v>
      </c>
      <c r="H1607" s="19">
        <v>8</v>
      </c>
      <c r="I1607" t="b">
        <v>1</v>
      </c>
      <c r="J1607" t="s">
        <v>1381</v>
      </c>
      <c r="K1607" t="s">
        <v>32</v>
      </c>
      <c r="Q1607" t="s">
        <v>1149</v>
      </c>
      <c r="R1607" t="s">
        <v>1149</v>
      </c>
      <c r="S1607" s="83">
        <v>16</v>
      </c>
    </row>
    <row r="1608" spans="1:19" x14ac:dyDescent="0.25">
      <c r="A1608" t="s">
        <v>1151</v>
      </c>
      <c r="B1608" t="s">
        <v>1149</v>
      </c>
      <c r="C1608">
        <v>4</v>
      </c>
      <c r="D1608" t="s">
        <v>1152</v>
      </c>
      <c r="E1608" t="s">
        <v>1127</v>
      </c>
      <c r="F1608" s="5" t="s">
        <v>25</v>
      </c>
      <c r="G1608" s="19">
        <v>3</v>
      </c>
      <c r="H1608" s="19">
        <v>6</v>
      </c>
      <c r="I1608" t="b">
        <v>1</v>
      </c>
      <c r="J1608" t="s">
        <v>1154</v>
      </c>
      <c r="K1608" t="s">
        <v>32</v>
      </c>
      <c r="Q1608" t="s">
        <v>1149</v>
      </c>
      <c r="R1608" t="s">
        <v>1149</v>
      </c>
      <c r="S1608" s="83">
        <v>1</v>
      </c>
    </row>
    <row r="1609" spans="1:19" x14ac:dyDescent="0.25">
      <c r="A1609" t="s">
        <v>1151</v>
      </c>
      <c r="B1609" t="s">
        <v>1149</v>
      </c>
      <c r="C1609">
        <v>4</v>
      </c>
      <c r="D1609" t="s">
        <v>1162</v>
      </c>
      <c r="E1609" t="s">
        <v>1211</v>
      </c>
      <c r="F1609" s="5" t="s">
        <v>26</v>
      </c>
      <c r="G1609" s="19">
        <v>30</v>
      </c>
      <c r="H1609" s="19">
        <v>40</v>
      </c>
      <c r="I1609" t="b">
        <v>0</v>
      </c>
      <c r="J1609" t="s">
        <v>1171</v>
      </c>
      <c r="K1609" t="s">
        <v>32</v>
      </c>
      <c r="Q1609" t="s">
        <v>1149</v>
      </c>
      <c r="R1609" t="s">
        <v>1149</v>
      </c>
      <c r="S1609" s="83">
        <v>2</v>
      </c>
    </row>
    <row r="1610" spans="1:19" x14ac:dyDescent="0.25">
      <c r="A1610" t="s">
        <v>1151</v>
      </c>
      <c r="B1610" t="s">
        <v>1149</v>
      </c>
      <c r="C1610">
        <v>4</v>
      </c>
      <c r="D1610" t="s">
        <v>1161</v>
      </c>
      <c r="E1610" t="s">
        <v>1384</v>
      </c>
      <c r="F1610" s="5" t="s">
        <v>26</v>
      </c>
      <c r="G1610" s="19">
        <v>1</v>
      </c>
      <c r="H1610" s="19">
        <v>3</v>
      </c>
      <c r="I1610" t="b">
        <v>0</v>
      </c>
      <c r="J1610" t="s">
        <v>1201</v>
      </c>
      <c r="K1610" t="s">
        <v>32</v>
      </c>
      <c r="Q1610" t="s">
        <v>1149</v>
      </c>
      <c r="R1610" t="s">
        <v>1149</v>
      </c>
      <c r="S1610" s="83">
        <v>5</v>
      </c>
    </row>
    <row r="1611" spans="1:19" x14ac:dyDescent="0.25">
      <c r="A1611" t="s">
        <v>1151</v>
      </c>
      <c r="B1611" t="s">
        <v>1149</v>
      </c>
      <c r="C1611">
        <v>4</v>
      </c>
      <c r="D1611" t="s">
        <v>885</v>
      </c>
      <c r="E1611" t="s">
        <v>1189</v>
      </c>
      <c r="F1611" s="5" t="s">
        <v>25</v>
      </c>
      <c r="G1611" s="19">
        <v>0.5</v>
      </c>
      <c r="H1611" s="19">
        <v>2</v>
      </c>
      <c r="I1611" t="b">
        <v>1</v>
      </c>
      <c r="J1611" t="s">
        <v>1169</v>
      </c>
      <c r="K1611" t="s">
        <v>32</v>
      </c>
      <c r="Q1611" t="s">
        <v>1149</v>
      </c>
      <c r="R1611" t="s">
        <v>1149</v>
      </c>
      <c r="S1611" s="83">
        <v>4</v>
      </c>
    </row>
    <row r="1612" spans="1:19" x14ac:dyDescent="0.25">
      <c r="A1612" t="s">
        <v>1151</v>
      </c>
      <c r="B1612" t="s">
        <v>1149</v>
      </c>
      <c r="C1612">
        <v>4</v>
      </c>
      <c r="D1612" t="s">
        <v>392</v>
      </c>
      <c r="E1612" t="s">
        <v>524</v>
      </c>
      <c r="F1612" s="5" t="s">
        <v>24</v>
      </c>
      <c r="G1612" s="19">
        <v>10</v>
      </c>
      <c r="H1612" s="19">
        <v>20</v>
      </c>
      <c r="I1612" t="b">
        <v>1</v>
      </c>
      <c r="J1612" t="s">
        <v>847</v>
      </c>
      <c r="K1612" t="s">
        <v>32</v>
      </c>
      <c r="Q1612" t="s">
        <v>1149</v>
      </c>
      <c r="R1612" t="s">
        <v>1149</v>
      </c>
      <c r="S1612" s="83">
        <v>3</v>
      </c>
    </row>
    <row r="1613" spans="1:19" x14ac:dyDescent="0.25">
      <c r="A1613" t="s">
        <v>1151</v>
      </c>
      <c r="B1613" t="s">
        <v>1149</v>
      </c>
      <c r="C1613">
        <v>4</v>
      </c>
      <c r="D1613" t="s">
        <v>1156</v>
      </c>
      <c r="E1613" t="s">
        <v>1163</v>
      </c>
      <c r="F1613" s="5" t="s">
        <v>25</v>
      </c>
      <c r="G1613" s="19">
        <v>1</v>
      </c>
      <c r="H1613" s="19">
        <v>2</v>
      </c>
      <c r="I1613" t="b">
        <v>1</v>
      </c>
      <c r="J1613" t="s">
        <v>1173</v>
      </c>
      <c r="K1613" t="s">
        <v>32</v>
      </c>
      <c r="Q1613" t="s">
        <v>1149</v>
      </c>
      <c r="R1613" t="s">
        <v>1149</v>
      </c>
      <c r="S1613" s="83">
        <v>7</v>
      </c>
    </row>
    <row r="1614" spans="1:19" x14ac:dyDescent="0.25">
      <c r="A1614" t="s">
        <v>1151</v>
      </c>
      <c r="B1614" t="s">
        <v>1149</v>
      </c>
      <c r="C1614">
        <v>4</v>
      </c>
      <c r="D1614" t="s">
        <v>1198</v>
      </c>
      <c r="E1614" t="s">
        <v>1113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1199</v>
      </c>
      <c r="K1614" t="s">
        <v>32</v>
      </c>
      <c r="Q1614" t="s">
        <v>1149</v>
      </c>
      <c r="R1614" t="s">
        <v>1149</v>
      </c>
      <c r="S1614" s="6">
        <v>13</v>
      </c>
    </row>
    <row r="1615" spans="1:19" x14ac:dyDescent="0.25">
      <c r="A1615" t="s">
        <v>1151</v>
      </c>
      <c r="B1615" t="s">
        <v>1149</v>
      </c>
      <c r="C1615">
        <v>5</v>
      </c>
      <c r="D1615" t="s">
        <v>11</v>
      </c>
      <c r="E1615" t="s">
        <v>1139</v>
      </c>
      <c r="F1615" s="5" t="s">
        <v>25</v>
      </c>
      <c r="G1615" s="19">
        <v>0</v>
      </c>
      <c r="H1615" s="19">
        <v>5</v>
      </c>
      <c r="I1615" t="b">
        <v>1</v>
      </c>
      <c r="J1615" t="s">
        <v>1381</v>
      </c>
      <c r="K1615" t="s">
        <v>32</v>
      </c>
      <c r="Q1615" t="s">
        <v>1149</v>
      </c>
      <c r="R1615" t="s">
        <v>1149</v>
      </c>
      <c r="S1615" s="83">
        <v>16</v>
      </c>
    </row>
    <row r="1616" spans="1:19" x14ac:dyDescent="0.25">
      <c r="A1616" t="s">
        <v>1151</v>
      </c>
      <c r="B1616" t="s">
        <v>1149</v>
      </c>
      <c r="C1616">
        <v>5</v>
      </c>
      <c r="D1616" t="s">
        <v>1152</v>
      </c>
      <c r="E1616" t="s">
        <v>1385</v>
      </c>
      <c r="F1616" s="5" t="s">
        <v>25</v>
      </c>
      <c r="G1616" s="19">
        <v>0</v>
      </c>
      <c r="H1616" s="19">
        <v>2</v>
      </c>
      <c r="I1616" t="b">
        <v>1</v>
      </c>
      <c r="J1616" t="s">
        <v>1154</v>
      </c>
      <c r="K1616" t="s">
        <v>32</v>
      </c>
      <c r="Q1616" t="s">
        <v>1149</v>
      </c>
      <c r="R1616" t="s">
        <v>1149</v>
      </c>
      <c r="S1616" s="83">
        <v>1</v>
      </c>
    </row>
    <row r="1617" spans="1:19" x14ac:dyDescent="0.25">
      <c r="A1617" t="s">
        <v>1151</v>
      </c>
      <c r="B1617" t="s">
        <v>1149</v>
      </c>
      <c r="C1617">
        <v>5</v>
      </c>
      <c r="D1617" t="s">
        <v>1161</v>
      </c>
      <c r="E1617" t="s">
        <v>1207</v>
      </c>
      <c r="F1617" s="5" t="s">
        <v>27</v>
      </c>
      <c r="G1617" s="19">
        <v>3</v>
      </c>
      <c r="H1617" s="19">
        <v>6</v>
      </c>
      <c r="I1617" t="b">
        <v>0</v>
      </c>
      <c r="J1617" t="s">
        <v>1201</v>
      </c>
      <c r="K1617" t="s">
        <v>32</v>
      </c>
      <c r="Q1617" t="s">
        <v>1149</v>
      </c>
      <c r="R1617" t="s">
        <v>1149</v>
      </c>
      <c r="S1617" s="83">
        <v>5</v>
      </c>
    </row>
    <row r="1618" spans="1:19" x14ac:dyDescent="0.25">
      <c r="A1618" t="s">
        <v>1151</v>
      </c>
      <c r="B1618" t="s">
        <v>1149</v>
      </c>
      <c r="C1618">
        <v>5</v>
      </c>
      <c r="D1618" t="s">
        <v>392</v>
      </c>
      <c r="E1618" t="s">
        <v>1386</v>
      </c>
      <c r="F1618" s="5" t="s">
        <v>25</v>
      </c>
      <c r="G1618" s="19">
        <v>-1</v>
      </c>
      <c r="H1618" s="19">
        <v>4</v>
      </c>
      <c r="I1618" t="b">
        <v>1</v>
      </c>
      <c r="J1618" t="s">
        <v>847</v>
      </c>
      <c r="K1618" t="s">
        <v>32</v>
      </c>
      <c r="Q1618" t="s">
        <v>1149</v>
      </c>
      <c r="R1618" t="s">
        <v>1149</v>
      </c>
      <c r="S1618" s="83">
        <v>3</v>
      </c>
    </row>
    <row r="1619" spans="1:19" x14ac:dyDescent="0.25">
      <c r="A1619" t="s">
        <v>1151</v>
      </c>
      <c r="B1619" t="s">
        <v>1143</v>
      </c>
      <c r="C1619">
        <v>2</v>
      </c>
      <c r="D1619" t="s">
        <v>1152</v>
      </c>
      <c r="E1619" t="s">
        <v>1167</v>
      </c>
      <c r="F1619" s="5" t="s">
        <v>25</v>
      </c>
      <c r="G1619" s="19">
        <v>11</v>
      </c>
      <c r="H1619" s="19">
        <v>14</v>
      </c>
      <c r="I1619" t="b">
        <v>1</v>
      </c>
      <c r="J1619" t="s">
        <v>1154</v>
      </c>
      <c r="K1619" t="s">
        <v>32</v>
      </c>
      <c r="Q1619" t="s">
        <v>1143</v>
      </c>
      <c r="R1619" t="s">
        <v>1143</v>
      </c>
      <c r="S1619" s="6">
        <v>1</v>
      </c>
    </row>
    <row r="1620" spans="1:19" x14ac:dyDescent="0.25">
      <c r="A1620" t="s">
        <v>1151</v>
      </c>
      <c r="B1620" t="s">
        <v>1143</v>
      </c>
      <c r="C1620">
        <v>2</v>
      </c>
      <c r="D1620" t="s">
        <v>1162</v>
      </c>
      <c r="E1620" t="s">
        <v>1170</v>
      </c>
      <c r="F1620" s="5" t="s">
        <v>27</v>
      </c>
      <c r="G1620" s="19">
        <v>0</v>
      </c>
      <c r="H1620" s="19">
        <v>0.1</v>
      </c>
      <c r="I1620" t="b">
        <v>0</v>
      </c>
      <c r="J1620" t="s">
        <v>1171</v>
      </c>
      <c r="K1620" t="s">
        <v>32</v>
      </c>
      <c r="Q1620" t="s">
        <v>1143</v>
      </c>
      <c r="R1620" t="s">
        <v>1143</v>
      </c>
      <c r="S1620" s="83">
        <v>2</v>
      </c>
    </row>
    <row r="1621" spans="1:19" x14ac:dyDescent="0.25">
      <c r="A1621" t="s">
        <v>1151</v>
      </c>
      <c r="B1621" t="s">
        <v>1143</v>
      </c>
      <c r="C1621">
        <v>2</v>
      </c>
      <c r="D1621" t="s">
        <v>885</v>
      </c>
      <c r="E1621" t="s">
        <v>1168</v>
      </c>
      <c r="F1621" s="5" t="s">
        <v>25</v>
      </c>
      <c r="G1621" s="19">
        <v>5</v>
      </c>
      <c r="H1621" s="19">
        <v>8</v>
      </c>
      <c r="I1621" t="b">
        <v>1</v>
      </c>
      <c r="J1621" t="s">
        <v>1169</v>
      </c>
      <c r="K1621" t="s">
        <v>32</v>
      </c>
      <c r="Q1621" t="s">
        <v>1143</v>
      </c>
      <c r="R1621" t="s">
        <v>1143</v>
      </c>
      <c r="S1621" s="83">
        <v>4</v>
      </c>
    </row>
    <row r="1622" spans="1:19" x14ac:dyDescent="0.25">
      <c r="A1622" t="s">
        <v>1151</v>
      </c>
      <c r="B1622" t="s">
        <v>1143</v>
      </c>
      <c r="C1622">
        <v>2</v>
      </c>
      <c r="D1622" t="s">
        <v>392</v>
      </c>
      <c r="E1622" t="s">
        <v>551</v>
      </c>
      <c r="F1622" s="5" t="s">
        <v>24</v>
      </c>
      <c r="G1622" s="19">
        <v>30</v>
      </c>
      <c r="H1622" s="19">
        <v>40</v>
      </c>
      <c r="I1622" t="b">
        <v>1</v>
      </c>
      <c r="J1622" t="s">
        <v>847</v>
      </c>
      <c r="K1622" t="s">
        <v>32</v>
      </c>
      <c r="Q1622" t="s">
        <v>1143</v>
      </c>
      <c r="R1622" t="s">
        <v>1143</v>
      </c>
      <c r="S1622" s="83">
        <v>3</v>
      </c>
    </row>
    <row r="1623" spans="1:19" x14ac:dyDescent="0.25">
      <c r="A1623" t="s">
        <v>1151</v>
      </c>
      <c r="B1623" t="s">
        <v>1143</v>
      </c>
      <c r="C1623">
        <v>2</v>
      </c>
      <c r="D1623" t="s">
        <v>1156</v>
      </c>
      <c r="E1623" t="s">
        <v>1168</v>
      </c>
      <c r="F1623" s="5" t="s">
        <v>25</v>
      </c>
      <c r="G1623" s="19">
        <v>5</v>
      </c>
      <c r="H1623" s="19">
        <v>8</v>
      </c>
      <c r="I1623" t="b">
        <v>1</v>
      </c>
      <c r="J1623" t="s">
        <v>1173</v>
      </c>
      <c r="K1623" t="s">
        <v>32</v>
      </c>
      <c r="Q1623" t="s">
        <v>1143</v>
      </c>
      <c r="R1623" t="s">
        <v>1143</v>
      </c>
      <c r="S1623" s="83">
        <v>7</v>
      </c>
    </row>
    <row r="1624" spans="1:19" x14ac:dyDescent="0.25">
      <c r="A1624" t="s">
        <v>1151</v>
      </c>
      <c r="B1624" t="s">
        <v>1143</v>
      </c>
      <c r="C1624">
        <v>2</v>
      </c>
      <c r="D1624" t="s">
        <v>1198</v>
      </c>
      <c r="E1624" t="s">
        <v>1172</v>
      </c>
      <c r="F1624" s="5" t="s">
        <v>25</v>
      </c>
      <c r="G1624" s="19">
        <v>6</v>
      </c>
      <c r="H1624" s="19">
        <v>9</v>
      </c>
      <c r="I1624" t="b">
        <v>1</v>
      </c>
      <c r="J1624" t="s">
        <v>1199</v>
      </c>
      <c r="K1624" t="s">
        <v>32</v>
      </c>
      <c r="Q1624" t="s">
        <v>1143</v>
      </c>
      <c r="R1624" t="s">
        <v>1143</v>
      </c>
      <c r="S1624" s="83">
        <v>13</v>
      </c>
    </row>
    <row r="1625" spans="1:19" x14ac:dyDescent="0.25">
      <c r="A1625" t="s">
        <v>1151</v>
      </c>
      <c r="B1625" t="s">
        <v>1143</v>
      </c>
      <c r="C1625">
        <v>2</v>
      </c>
      <c r="D1625" t="s">
        <v>1158</v>
      </c>
      <c r="E1625" t="s">
        <v>1188</v>
      </c>
      <c r="F1625" s="5" t="s">
        <v>25</v>
      </c>
      <c r="G1625" s="19">
        <v>2.5</v>
      </c>
      <c r="H1625" s="19">
        <v>4</v>
      </c>
      <c r="I1625" t="b">
        <v>1</v>
      </c>
      <c r="J1625" t="s">
        <v>1179</v>
      </c>
      <c r="K1625" t="s">
        <v>32</v>
      </c>
      <c r="Q1625" t="s">
        <v>1143</v>
      </c>
      <c r="R1625" t="s">
        <v>1143</v>
      </c>
      <c r="S1625" s="83">
        <v>9</v>
      </c>
    </row>
    <row r="1626" spans="1:19" x14ac:dyDescent="0.25">
      <c r="A1626" t="s">
        <v>1151</v>
      </c>
      <c r="B1626" t="s">
        <v>1143</v>
      </c>
      <c r="C1626">
        <v>3</v>
      </c>
      <c r="D1626" t="s">
        <v>1152</v>
      </c>
      <c r="E1626" t="s">
        <v>1153</v>
      </c>
      <c r="F1626" s="5" t="s">
        <v>25</v>
      </c>
      <c r="G1626" s="19">
        <v>7</v>
      </c>
      <c r="H1626" s="19">
        <v>10</v>
      </c>
      <c r="I1626" t="b">
        <v>1</v>
      </c>
      <c r="J1626" t="s">
        <v>1154</v>
      </c>
      <c r="K1626" t="s">
        <v>32</v>
      </c>
      <c r="Q1626" t="s">
        <v>1143</v>
      </c>
      <c r="R1626" t="s">
        <v>1143</v>
      </c>
      <c r="S1626" s="6">
        <v>1</v>
      </c>
    </row>
    <row r="1627" spans="1:19" x14ac:dyDescent="0.25">
      <c r="A1627" t="s">
        <v>1151</v>
      </c>
      <c r="B1627" t="s">
        <v>1143</v>
      </c>
      <c r="C1627">
        <v>3</v>
      </c>
      <c r="D1627" t="s">
        <v>1162</v>
      </c>
      <c r="E1627" t="s">
        <v>1200</v>
      </c>
      <c r="F1627" s="5" t="s">
        <v>27</v>
      </c>
      <c r="G1627" s="19">
        <v>0</v>
      </c>
      <c r="H1627" s="19">
        <v>5</v>
      </c>
      <c r="I1627" t="b">
        <v>0</v>
      </c>
      <c r="J1627" t="s">
        <v>1171</v>
      </c>
      <c r="K1627" t="s">
        <v>32</v>
      </c>
      <c r="Q1627" t="s">
        <v>1143</v>
      </c>
      <c r="R1627" t="s">
        <v>1143</v>
      </c>
      <c r="S1627" s="83">
        <v>2</v>
      </c>
    </row>
    <row r="1628" spans="1:19" x14ac:dyDescent="0.25">
      <c r="A1628" t="s">
        <v>1151</v>
      </c>
      <c r="B1628" t="s">
        <v>1143</v>
      </c>
      <c r="C1628">
        <v>3</v>
      </c>
      <c r="D1628" t="s">
        <v>1161</v>
      </c>
      <c r="E1628" t="s">
        <v>1170</v>
      </c>
      <c r="F1628" s="5" t="s">
        <v>27</v>
      </c>
      <c r="G1628" s="19">
        <v>0</v>
      </c>
      <c r="H1628" s="19">
        <v>0.1</v>
      </c>
      <c r="I1628" t="b">
        <v>0</v>
      </c>
      <c r="J1628" t="s">
        <v>1201</v>
      </c>
      <c r="K1628" t="s">
        <v>32</v>
      </c>
      <c r="Q1628" t="s">
        <v>1143</v>
      </c>
      <c r="R1628" t="s">
        <v>1143</v>
      </c>
      <c r="S1628" s="83">
        <v>5</v>
      </c>
    </row>
    <row r="1629" spans="1:19" x14ac:dyDescent="0.25">
      <c r="A1629" t="s">
        <v>1151</v>
      </c>
      <c r="B1629" t="s">
        <v>1143</v>
      </c>
      <c r="C1629">
        <v>3</v>
      </c>
      <c r="D1629" t="s">
        <v>885</v>
      </c>
      <c r="E1629" t="s">
        <v>1164</v>
      </c>
      <c r="F1629" s="5" t="s">
        <v>25</v>
      </c>
      <c r="G1629" s="19">
        <v>2</v>
      </c>
      <c r="H1629" s="19">
        <v>5</v>
      </c>
      <c r="I1629" t="b">
        <v>1</v>
      </c>
      <c r="J1629" t="s">
        <v>1169</v>
      </c>
      <c r="K1629" t="s">
        <v>32</v>
      </c>
      <c r="Q1629" t="s">
        <v>1143</v>
      </c>
      <c r="R1629" t="s">
        <v>1143</v>
      </c>
      <c r="S1629" s="83">
        <v>4</v>
      </c>
    </row>
    <row r="1630" spans="1:19" x14ac:dyDescent="0.25">
      <c r="A1630" t="s">
        <v>1151</v>
      </c>
      <c r="B1630" t="s">
        <v>1143</v>
      </c>
      <c r="C1630">
        <v>3</v>
      </c>
      <c r="D1630" t="s">
        <v>392</v>
      </c>
      <c r="E1630" t="s">
        <v>529</v>
      </c>
      <c r="F1630" s="5" t="s">
        <v>24</v>
      </c>
      <c r="G1630" s="19">
        <v>15</v>
      </c>
      <c r="H1630" s="19">
        <v>25</v>
      </c>
      <c r="I1630" t="b">
        <v>1</v>
      </c>
      <c r="J1630" t="s">
        <v>847</v>
      </c>
      <c r="K1630" t="s">
        <v>32</v>
      </c>
      <c r="Q1630" t="s">
        <v>1143</v>
      </c>
      <c r="R1630" t="s">
        <v>1143</v>
      </c>
      <c r="S1630" s="83">
        <v>3</v>
      </c>
    </row>
    <row r="1631" spans="1:19" x14ac:dyDescent="0.25">
      <c r="A1631" t="s">
        <v>1151</v>
      </c>
      <c r="B1631" t="s">
        <v>1143</v>
      </c>
      <c r="C1631">
        <v>3</v>
      </c>
      <c r="D1631" t="s">
        <v>1156</v>
      </c>
      <c r="E1631" t="s">
        <v>1164</v>
      </c>
      <c r="F1631" s="5" t="s">
        <v>25</v>
      </c>
      <c r="G1631" s="19">
        <v>2</v>
      </c>
      <c r="H1631" s="19">
        <v>5</v>
      </c>
      <c r="I1631" t="b">
        <v>1</v>
      </c>
      <c r="J1631" t="s">
        <v>1173</v>
      </c>
      <c r="K1631" t="s">
        <v>32</v>
      </c>
      <c r="Q1631" t="s">
        <v>1143</v>
      </c>
      <c r="R1631" t="s">
        <v>1143</v>
      </c>
      <c r="S1631" s="83">
        <v>7</v>
      </c>
    </row>
    <row r="1632" spans="1:19" x14ac:dyDescent="0.25">
      <c r="A1632" t="s">
        <v>1151</v>
      </c>
      <c r="B1632" t="s">
        <v>1143</v>
      </c>
      <c r="C1632">
        <v>3</v>
      </c>
      <c r="D1632" t="s">
        <v>1198</v>
      </c>
      <c r="E1632" t="s">
        <v>1127</v>
      </c>
      <c r="F1632" s="5" t="s">
        <v>25</v>
      </c>
      <c r="G1632" s="19">
        <v>3</v>
      </c>
      <c r="H1632" s="19">
        <v>6</v>
      </c>
      <c r="I1632" t="b">
        <v>1</v>
      </c>
      <c r="J1632" t="s">
        <v>1199</v>
      </c>
      <c r="K1632" t="s">
        <v>32</v>
      </c>
      <c r="Q1632" t="s">
        <v>1143</v>
      </c>
      <c r="R1632" t="s">
        <v>1143</v>
      </c>
      <c r="S1632" s="83">
        <v>13</v>
      </c>
    </row>
    <row r="1633" spans="1:19" x14ac:dyDescent="0.25">
      <c r="A1633" t="s">
        <v>1151</v>
      </c>
      <c r="B1633" t="s">
        <v>1143</v>
      </c>
      <c r="C1633">
        <v>3</v>
      </c>
      <c r="D1633" t="s">
        <v>1158</v>
      </c>
      <c r="E1633" t="s">
        <v>1189</v>
      </c>
      <c r="F1633" s="5" t="s">
        <v>25</v>
      </c>
      <c r="G1633" s="19">
        <v>0.5</v>
      </c>
      <c r="H1633" s="19">
        <v>2</v>
      </c>
      <c r="I1633" t="b">
        <v>1</v>
      </c>
      <c r="J1633" t="s">
        <v>1179</v>
      </c>
      <c r="K1633" t="s">
        <v>32</v>
      </c>
      <c r="Q1633" t="s">
        <v>1143</v>
      </c>
      <c r="R1633" t="s">
        <v>1143</v>
      </c>
      <c r="S1633" s="83">
        <v>9</v>
      </c>
    </row>
    <row r="1634" spans="1:19" x14ac:dyDescent="0.25">
      <c r="A1634" t="s">
        <v>1151</v>
      </c>
      <c r="B1634" t="s">
        <v>1143</v>
      </c>
      <c r="C1634">
        <v>4</v>
      </c>
      <c r="D1634" t="s">
        <v>1152</v>
      </c>
      <c r="E1634" t="s">
        <v>1192</v>
      </c>
      <c r="F1634" s="5" t="s">
        <v>25</v>
      </c>
      <c r="G1634" s="19">
        <v>4</v>
      </c>
      <c r="H1634" s="19">
        <v>7</v>
      </c>
      <c r="I1634" t="b">
        <v>1</v>
      </c>
      <c r="J1634" t="s">
        <v>1154</v>
      </c>
      <c r="K1634" t="s">
        <v>32</v>
      </c>
      <c r="Q1634" t="s">
        <v>1143</v>
      </c>
      <c r="R1634" t="s">
        <v>1143</v>
      </c>
      <c r="S1634" s="6">
        <v>1</v>
      </c>
    </row>
    <row r="1635" spans="1:19" x14ac:dyDescent="0.25">
      <c r="A1635" t="s">
        <v>1151</v>
      </c>
      <c r="B1635" t="s">
        <v>1143</v>
      </c>
      <c r="C1635">
        <v>4</v>
      </c>
      <c r="D1635" t="s">
        <v>1162</v>
      </c>
      <c r="E1635" t="s">
        <v>1130</v>
      </c>
      <c r="F1635" s="5" t="s">
        <v>27</v>
      </c>
      <c r="G1635" s="19">
        <v>5</v>
      </c>
      <c r="H1635" s="19">
        <v>10</v>
      </c>
      <c r="I1635" t="b">
        <v>0</v>
      </c>
      <c r="J1635" t="s">
        <v>1171</v>
      </c>
      <c r="K1635" t="s">
        <v>32</v>
      </c>
      <c r="Q1635" t="s">
        <v>1143</v>
      </c>
      <c r="R1635" t="s">
        <v>1143</v>
      </c>
      <c r="S1635" s="83">
        <v>2</v>
      </c>
    </row>
    <row r="1636" spans="1:19" x14ac:dyDescent="0.25">
      <c r="A1636" t="s">
        <v>1151</v>
      </c>
      <c r="B1636" t="s">
        <v>1143</v>
      </c>
      <c r="C1636">
        <v>4</v>
      </c>
      <c r="D1636" t="s">
        <v>1161</v>
      </c>
      <c r="E1636" t="s">
        <v>1202</v>
      </c>
      <c r="F1636" s="5" t="s">
        <v>27</v>
      </c>
      <c r="G1636" s="19">
        <v>1</v>
      </c>
      <c r="H1636" s="19">
        <v>4</v>
      </c>
      <c r="I1636" t="b">
        <v>0</v>
      </c>
      <c r="J1636" t="s">
        <v>1201</v>
      </c>
      <c r="K1636" t="s">
        <v>32</v>
      </c>
      <c r="Q1636" t="s">
        <v>1143</v>
      </c>
      <c r="R1636" t="s">
        <v>1143</v>
      </c>
      <c r="S1636" s="83">
        <v>5</v>
      </c>
    </row>
    <row r="1637" spans="1:19" x14ac:dyDescent="0.25">
      <c r="A1637" t="s">
        <v>1151</v>
      </c>
      <c r="B1637" t="s">
        <v>1143</v>
      </c>
      <c r="C1637">
        <v>4</v>
      </c>
      <c r="D1637" t="s">
        <v>885</v>
      </c>
      <c r="E1637" t="s">
        <v>1189</v>
      </c>
      <c r="F1637" s="5" t="s">
        <v>25</v>
      </c>
      <c r="G1637" s="19">
        <v>0.5</v>
      </c>
      <c r="H1637" s="19">
        <v>2</v>
      </c>
      <c r="I1637" t="b">
        <v>1</v>
      </c>
      <c r="J1637" t="s">
        <v>1169</v>
      </c>
      <c r="K1637" t="s">
        <v>32</v>
      </c>
      <c r="Q1637" t="s">
        <v>1143</v>
      </c>
      <c r="R1637" t="s">
        <v>1143</v>
      </c>
      <c r="S1637" s="83">
        <v>4</v>
      </c>
    </row>
    <row r="1638" spans="1:19" x14ac:dyDescent="0.25">
      <c r="A1638" t="s">
        <v>1151</v>
      </c>
      <c r="B1638" t="s">
        <v>1143</v>
      </c>
      <c r="C1638">
        <v>4</v>
      </c>
      <c r="D1638" t="s">
        <v>392</v>
      </c>
      <c r="E1638" t="s">
        <v>536</v>
      </c>
      <c r="F1638" s="5" t="s">
        <v>24</v>
      </c>
      <c r="G1638" s="19">
        <v>1</v>
      </c>
      <c r="H1638" s="19">
        <v>5</v>
      </c>
      <c r="I1638" t="b">
        <v>1</v>
      </c>
      <c r="J1638" t="s">
        <v>847</v>
      </c>
      <c r="K1638" t="s">
        <v>32</v>
      </c>
      <c r="Q1638" t="s">
        <v>1143</v>
      </c>
      <c r="R1638" t="s">
        <v>1143</v>
      </c>
      <c r="S1638" s="83">
        <v>3</v>
      </c>
    </row>
    <row r="1639" spans="1:19" x14ac:dyDescent="0.25">
      <c r="A1639" t="s">
        <v>1151</v>
      </c>
      <c r="B1639" t="s">
        <v>1143</v>
      </c>
      <c r="C1639">
        <v>4</v>
      </c>
      <c r="D1639" t="s">
        <v>1156</v>
      </c>
      <c r="E1639" t="s">
        <v>1163</v>
      </c>
      <c r="F1639" s="5" t="s">
        <v>25</v>
      </c>
      <c r="G1639" s="19">
        <v>1</v>
      </c>
      <c r="H1639" s="19">
        <v>2</v>
      </c>
      <c r="I1639" t="b">
        <v>1</v>
      </c>
      <c r="J1639" t="s">
        <v>1173</v>
      </c>
      <c r="K1639" t="s">
        <v>32</v>
      </c>
      <c r="Q1639" t="s">
        <v>1143</v>
      </c>
      <c r="R1639" t="s">
        <v>1143</v>
      </c>
      <c r="S1639" s="83">
        <v>7</v>
      </c>
    </row>
    <row r="1640" spans="1:19" x14ac:dyDescent="0.25">
      <c r="A1640" t="s">
        <v>1151</v>
      </c>
      <c r="B1640" t="s">
        <v>1143</v>
      </c>
      <c r="C1640">
        <v>4</v>
      </c>
      <c r="D1640" t="s">
        <v>1198</v>
      </c>
      <c r="E1640" t="s">
        <v>1113</v>
      </c>
      <c r="F1640" s="5" t="s">
        <v>25</v>
      </c>
      <c r="G1640" s="19">
        <v>0</v>
      </c>
      <c r="H1640" s="19">
        <v>3</v>
      </c>
      <c r="I1640" t="b">
        <v>1</v>
      </c>
      <c r="J1640" t="s">
        <v>1199</v>
      </c>
      <c r="K1640" t="s">
        <v>32</v>
      </c>
      <c r="Q1640" t="s">
        <v>1143</v>
      </c>
      <c r="R1640" t="s">
        <v>1143</v>
      </c>
      <c r="S1640" s="83">
        <v>13</v>
      </c>
    </row>
    <row r="1641" spans="1:19" x14ac:dyDescent="0.25">
      <c r="A1641" t="s">
        <v>1151</v>
      </c>
      <c r="B1641" t="s">
        <v>1143</v>
      </c>
      <c r="C1641">
        <v>4</v>
      </c>
      <c r="D1641" t="s">
        <v>1158</v>
      </c>
      <c r="E1641" t="s">
        <v>1111</v>
      </c>
      <c r="F1641" s="5" t="s">
        <v>25</v>
      </c>
      <c r="G1641" s="19">
        <v>0</v>
      </c>
      <c r="H1641" s="19">
        <v>1</v>
      </c>
      <c r="I1641" t="b">
        <v>1</v>
      </c>
      <c r="J1641" t="s">
        <v>1179</v>
      </c>
      <c r="K1641" t="s">
        <v>32</v>
      </c>
      <c r="Q1641" t="s">
        <v>1143</v>
      </c>
      <c r="R1641" t="s">
        <v>1143</v>
      </c>
      <c r="S1641" s="83">
        <v>9</v>
      </c>
    </row>
    <row r="1642" spans="1:19" x14ac:dyDescent="0.25">
      <c r="A1642" t="s">
        <v>1151</v>
      </c>
      <c r="B1642" t="s">
        <v>1143</v>
      </c>
      <c r="C1642">
        <v>5</v>
      </c>
      <c r="D1642" t="s">
        <v>1152</v>
      </c>
      <c r="E1642" t="s">
        <v>1112</v>
      </c>
      <c r="F1642" s="5" t="s">
        <v>25</v>
      </c>
      <c r="G1642" s="19">
        <v>1</v>
      </c>
      <c r="H1642" s="19">
        <v>4</v>
      </c>
      <c r="I1642" t="b">
        <v>1</v>
      </c>
      <c r="J1642" t="s">
        <v>1154</v>
      </c>
      <c r="K1642" t="s">
        <v>32</v>
      </c>
      <c r="Q1642" t="s">
        <v>1143</v>
      </c>
      <c r="R1642" t="s">
        <v>1143</v>
      </c>
      <c r="S1642" s="6">
        <v>1</v>
      </c>
    </row>
    <row r="1643" spans="1:19" x14ac:dyDescent="0.25">
      <c r="A1643" t="s">
        <v>1151</v>
      </c>
      <c r="B1643" t="s">
        <v>1143</v>
      </c>
      <c r="C1643">
        <v>5</v>
      </c>
      <c r="D1643" t="s">
        <v>1162</v>
      </c>
      <c r="E1643" t="s">
        <v>1216</v>
      </c>
      <c r="F1643" s="5" t="s">
        <v>26</v>
      </c>
      <c r="G1643" s="19">
        <v>15</v>
      </c>
      <c r="H1643" s="19">
        <v>25</v>
      </c>
      <c r="I1643" t="b">
        <v>0</v>
      </c>
      <c r="J1643" t="s">
        <v>1171</v>
      </c>
      <c r="K1643" t="s">
        <v>32</v>
      </c>
      <c r="Q1643" t="s">
        <v>1143</v>
      </c>
      <c r="R1643" t="s">
        <v>1143</v>
      </c>
      <c r="S1643" s="83">
        <v>2</v>
      </c>
    </row>
    <row r="1644" spans="1:19" x14ac:dyDescent="0.25">
      <c r="A1644" t="s">
        <v>1151</v>
      </c>
      <c r="B1644" t="s">
        <v>1143</v>
      </c>
      <c r="C1644">
        <v>5</v>
      </c>
      <c r="D1644" t="s">
        <v>885</v>
      </c>
      <c r="E1644" t="s">
        <v>1111</v>
      </c>
      <c r="F1644" s="5" t="s">
        <v>25</v>
      </c>
      <c r="G1644" s="19">
        <v>0</v>
      </c>
      <c r="H1644" s="19">
        <v>1</v>
      </c>
      <c r="I1644" t="b">
        <v>1</v>
      </c>
      <c r="J1644" t="s">
        <v>1169</v>
      </c>
      <c r="K1644" t="s">
        <v>32</v>
      </c>
      <c r="Q1644" t="s">
        <v>1143</v>
      </c>
      <c r="R1644" t="s">
        <v>1143</v>
      </c>
      <c r="S1644" s="83">
        <v>4</v>
      </c>
    </row>
    <row r="1645" spans="1:19" x14ac:dyDescent="0.25">
      <c r="A1645" t="s">
        <v>1151</v>
      </c>
      <c r="B1645" t="s">
        <v>1143</v>
      </c>
      <c r="C1645">
        <v>5</v>
      </c>
      <c r="D1645" t="s">
        <v>392</v>
      </c>
      <c r="E1645" t="s">
        <v>1111</v>
      </c>
      <c r="F1645" s="5" t="s">
        <v>25</v>
      </c>
      <c r="G1645" s="19">
        <v>0</v>
      </c>
      <c r="H1645" s="19">
        <v>1</v>
      </c>
      <c r="I1645" t="b">
        <v>1</v>
      </c>
      <c r="J1645" t="s">
        <v>847</v>
      </c>
      <c r="K1645" t="s">
        <v>32</v>
      </c>
      <c r="Q1645" t="s">
        <v>1143</v>
      </c>
      <c r="R1645" t="s">
        <v>1143</v>
      </c>
      <c r="S1645" s="83">
        <v>3</v>
      </c>
    </row>
    <row r="1646" spans="1:19" x14ac:dyDescent="0.25">
      <c r="A1646" t="s">
        <v>1151</v>
      </c>
      <c r="B1646" t="s">
        <v>1142</v>
      </c>
      <c r="C1646">
        <v>2</v>
      </c>
      <c r="D1646" t="s">
        <v>1152</v>
      </c>
      <c r="E1646" t="s">
        <v>1203</v>
      </c>
      <c r="F1646" s="5" t="s">
        <v>25</v>
      </c>
      <c r="G1646" s="19">
        <v>9</v>
      </c>
      <c r="H1646" s="19">
        <v>12</v>
      </c>
      <c r="I1646" t="b">
        <v>1</v>
      </c>
      <c r="J1646" t="s">
        <v>1154</v>
      </c>
      <c r="K1646" t="s">
        <v>32</v>
      </c>
      <c r="Q1646" t="s">
        <v>1142</v>
      </c>
      <c r="R1646" t="s">
        <v>1142</v>
      </c>
      <c r="S1646" s="6">
        <v>1</v>
      </c>
    </row>
    <row r="1647" spans="1:19" x14ac:dyDescent="0.25">
      <c r="A1647" t="s">
        <v>1151</v>
      </c>
      <c r="B1647" t="s">
        <v>1142</v>
      </c>
      <c r="C1647">
        <v>2</v>
      </c>
      <c r="D1647" t="s">
        <v>885</v>
      </c>
      <c r="E1647" t="s">
        <v>1168</v>
      </c>
      <c r="F1647" s="5" t="s">
        <v>25</v>
      </c>
      <c r="G1647" s="19">
        <v>5</v>
      </c>
      <c r="H1647" s="19">
        <v>8</v>
      </c>
      <c r="I1647" t="b">
        <v>1</v>
      </c>
      <c r="J1647" t="s">
        <v>1169</v>
      </c>
      <c r="K1647" t="s">
        <v>32</v>
      </c>
      <c r="Q1647" t="s">
        <v>1142</v>
      </c>
      <c r="R1647" t="s">
        <v>1142</v>
      </c>
      <c r="S1647" s="83">
        <v>4</v>
      </c>
    </row>
    <row r="1648" spans="1:19" x14ac:dyDescent="0.25">
      <c r="A1648" t="s">
        <v>1151</v>
      </c>
      <c r="B1648" t="s">
        <v>1142</v>
      </c>
      <c r="C1648">
        <v>2</v>
      </c>
      <c r="D1648" t="s">
        <v>392</v>
      </c>
      <c r="E1648" t="s">
        <v>1221</v>
      </c>
      <c r="F1648" s="5" t="s">
        <v>24</v>
      </c>
      <c r="G1648" s="19">
        <v>50</v>
      </c>
      <c r="H1648" s="19">
        <v>60</v>
      </c>
      <c r="I1648" t="b">
        <v>1</v>
      </c>
      <c r="J1648" t="s">
        <v>847</v>
      </c>
      <c r="K1648" t="s">
        <v>32</v>
      </c>
      <c r="Q1648" t="s">
        <v>1142</v>
      </c>
      <c r="R1648" t="s">
        <v>1142</v>
      </c>
      <c r="S1648" s="83">
        <v>3</v>
      </c>
    </row>
    <row r="1649" spans="1:19" x14ac:dyDescent="0.25">
      <c r="A1649" t="s">
        <v>1151</v>
      </c>
      <c r="B1649" t="s">
        <v>1142</v>
      </c>
      <c r="C1649">
        <v>2</v>
      </c>
      <c r="D1649" t="s">
        <v>1162</v>
      </c>
      <c r="E1649" t="s">
        <v>1197</v>
      </c>
      <c r="F1649" s="5" t="s">
        <v>27</v>
      </c>
      <c r="G1649" s="19">
        <v>0</v>
      </c>
      <c r="H1649" s="19">
        <v>0.1</v>
      </c>
      <c r="I1649" t="b">
        <v>0</v>
      </c>
      <c r="J1649" t="s">
        <v>1171</v>
      </c>
      <c r="K1649" t="s">
        <v>32</v>
      </c>
      <c r="Q1649" t="s">
        <v>1142</v>
      </c>
      <c r="R1649" t="s">
        <v>1142</v>
      </c>
      <c r="S1649" s="83">
        <v>2</v>
      </c>
    </row>
    <row r="1650" spans="1:19" x14ac:dyDescent="0.25">
      <c r="A1650" t="s">
        <v>1151</v>
      </c>
      <c r="B1650" t="s">
        <v>1142</v>
      </c>
      <c r="C1650">
        <v>2</v>
      </c>
      <c r="D1650" t="s">
        <v>1156</v>
      </c>
      <c r="E1650" t="s">
        <v>1172</v>
      </c>
      <c r="F1650" s="5" t="s">
        <v>25</v>
      </c>
      <c r="G1650" s="19">
        <v>6</v>
      </c>
      <c r="H1650" s="19">
        <v>9</v>
      </c>
      <c r="I1650" t="b">
        <v>1</v>
      </c>
      <c r="J1650" t="s">
        <v>1173</v>
      </c>
      <c r="K1650" t="s">
        <v>32</v>
      </c>
      <c r="Q1650" t="s">
        <v>1142</v>
      </c>
      <c r="R1650" t="s">
        <v>1142</v>
      </c>
      <c r="S1650" s="83">
        <v>7</v>
      </c>
    </row>
    <row r="1651" spans="1:19" x14ac:dyDescent="0.25">
      <c r="A1651" t="s">
        <v>1151</v>
      </c>
      <c r="B1651" t="s">
        <v>1142</v>
      </c>
      <c r="C1651">
        <v>2</v>
      </c>
      <c r="D1651" t="s">
        <v>1155</v>
      </c>
      <c r="E1651" t="s">
        <v>536</v>
      </c>
      <c r="F1651" s="5" t="s">
        <v>24</v>
      </c>
      <c r="G1651" s="19">
        <v>1</v>
      </c>
      <c r="H1651" s="19">
        <v>5</v>
      </c>
      <c r="I1651" t="b">
        <v>1</v>
      </c>
      <c r="J1651" t="s">
        <v>1174</v>
      </c>
      <c r="K1651" t="s">
        <v>32</v>
      </c>
      <c r="Q1651" t="s">
        <v>1142</v>
      </c>
      <c r="R1651" t="s">
        <v>1142</v>
      </c>
      <c r="S1651" s="83">
        <v>8</v>
      </c>
    </row>
    <row r="1652" spans="1:19" x14ac:dyDescent="0.25">
      <c r="A1652" t="s">
        <v>1151</v>
      </c>
      <c r="B1652" t="s">
        <v>1142</v>
      </c>
      <c r="C1652">
        <v>2</v>
      </c>
      <c r="D1652" t="s">
        <v>1158</v>
      </c>
      <c r="E1652" t="s">
        <v>1178</v>
      </c>
      <c r="F1652" s="5" t="s">
        <v>25</v>
      </c>
      <c r="G1652" s="19">
        <v>4.5</v>
      </c>
      <c r="H1652" s="19">
        <v>6</v>
      </c>
      <c r="I1652" t="b">
        <v>1</v>
      </c>
      <c r="J1652" t="s">
        <v>1179</v>
      </c>
      <c r="K1652" t="s">
        <v>32</v>
      </c>
      <c r="Q1652" t="s">
        <v>1142</v>
      </c>
      <c r="R1652" t="s">
        <v>1142</v>
      </c>
      <c r="S1652" s="83">
        <v>9</v>
      </c>
    </row>
    <row r="1653" spans="1:19" x14ac:dyDescent="0.25">
      <c r="A1653" t="s">
        <v>1151</v>
      </c>
      <c r="B1653" t="s">
        <v>1142</v>
      </c>
      <c r="C1653">
        <v>2</v>
      </c>
      <c r="D1653" t="s">
        <v>1160</v>
      </c>
      <c r="E1653" t="s">
        <v>1111</v>
      </c>
      <c r="F1653" s="5" t="s">
        <v>25</v>
      </c>
      <c r="G1653" s="19">
        <v>0</v>
      </c>
      <c r="H1653" s="19">
        <v>1</v>
      </c>
      <c r="I1653" t="b">
        <v>1</v>
      </c>
      <c r="J1653" t="s">
        <v>1180</v>
      </c>
      <c r="K1653" t="s">
        <v>32</v>
      </c>
      <c r="Q1653" t="s">
        <v>1142</v>
      </c>
      <c r="R1653" t="s">
        <v>1142</v>
      </c>
      <c r="S1653" s="83">
        <v>10</v>
      </c>
    </row>
    <row r="1654" spans="1:19" x14ac:dyDescent="0.25">
      <c r="A1654" t="s">
        <v>1151</v>
      </c>
      <c r="B1654" t="s">
        <v>1142</v>
      </c>
      <c r="C1654">
        <v>2</v>
      </c>
      <c r="D1654" t="s">
        <v>1181</v>
      </c>
      <c r="E1654" t="s">
        <v>545</v>
      </c>
      <c r="F1654" s="5" t="s">
        <v>24</v>
      </c>
      <c r="G1654" s="19">
        <v>40</v>
      </c>
      <c r="H1654" s="19">
        <v>50</v>
      </c>
      <c r="I1654" t="b">
        <v>1</v>
      </c>
      <c r="J1654" t="s">
        <v>1182</v>
      </c>
      <c r="K1654" t="s">
        <v>32</v>
      </c>
      <c r="Q1654" t="s">
        <v>1142</v>
      </c>
      <c r="R1654" t="s">
        <v>1142</v>
      </c>
      <c r="S1654" s="83">
        <v>15</v>
      </c>
    </row>
    <row r="1655" spans="1:19" x14ac:dyDescent="0.25">
      <c r="A1655" t="s">
        <v>1151</v>
      </c>
      <c r="B1655" t="s">
        <v>1142</v>
      </c>
      <c r="C1655">
        <v>3</v>
      </c>
      <c r="D1655" t="s">
        <v>1152</v>
      </c>
      <c r="E1655" t="s">
        <v>1172</v>
      </c>
      <c r="F1655" s="5" t="s">
        <v>25</v>
      </c>
      <c r="G1655" s="19">
        <v>6</v>
      </c>
      <c r="H1655" s="19">
        <v>9</v>
      </c>
      <c r="I1655" t="b">
        <v>1</v>
      </c>
      <c r="J1655" t="s">
        <v>1154</v>
      </c>
      <c r="K1655" t="s">
        <v>32</v>
      </c>
      <c r="Q1655" t="s">
        <v>1142</v>
      </c>
      <c r="R1655" t="s">
        <v>1142</v>
      </c>
      <c r="S1655" s="6">
        <v>1</v>
      </c>
    </row>
    <row r="1656" spans="1:19" x14ac:dyDescent="0.25">
      <c r="A1656" t="s">
        <v>1151</v>
      </c>
      <c r="B1656" t="s">
        <v>1142</v>
      </c>
      <c r="C1656">
        <v>3</v>
      </c>
      <c r="D1656" t="s">
        <v>885</v>
      </c>
      <c r="E1656" t="s">
        <v>1164</v>
      </c>
      <c r="F1656" s="5" t="s">
        <v>25</v>
      </c>
      <c r="G1656" s="19">
        <v>2</v>
      </c>
      <c r="H1656" s="19">
        <v>5</v>
      </c>
      <c r="I1656" t="b">
        <v>1</v>
      </c>
      <c r="J1656" t="s">
        <v>1169</v>
      </c>
      <c r="K1656" t="s">
        <v>32</v>
      </c>
      <c r="Q1656" t="s">
        <v>1142</v>
      </c>
      <c r="R1656" t="s">
        <v>1142</v>
      </c>
      <c r="S1656" s="83">
        <v>4</v>
      </c>
    </row>
    <row r="1657" spans="1:19" x14ac:dyDescent="0.25">
      <c r="A1657" t="s">
        <v>1151</v>
      </c>
      <c r="B1657" t="s">
        <v>1142</v>
      </c>
      <c r="C1657">
        <v>3</v>
      </c>
      <c r="D1657" t="s">
        <v>1161</v>
      </c>
      <c r="E1657" t="s">
        <v>1197</v>
      </c>
      <c r="F1657" s="5" t="s">
        <v>27</v>
      </c>
      <c r="G1657" s="19">
        <v>0</v>
      </c>
      <c r="H1657" s="19">
        <v>0.1</v>
      </c>
      <c r="I1657" t="b">
        <v>0</v>
      </c>
      <c r="J1657" t="s">
        <v>1201</v>
      </c>
      <c r="K1657" t="s">
        <v>32</v>
      </c>
      <c r="Q1657" t="s">
        <v>1142</v>
      </c>
      <c r="R1657" t="s">
        <v>1142</v>
      </c>
      <c r="S1657" s="83">
        <v>5</v>
      </c>
    </row>
    <row r="1658" spans="1:19" x14ac:dyDescent="0.25">
      <c r="A1658" t="s">
        <v>1151</v>
      </c>
      <c r="B1658" t="s">
        <v>1142</v>
      </c>
      <c r="C1658">
        <v>3</v>
      </c>
      <c r="D1658" t="s">
        <v>1156</v>
      </c>
      <c r="E1658" t="s">
        <v>1127</v>
      </c>
      <c r="F1658" s="5" t="s">
        <v>25</v>
      </c>
      <c r="G1658" s="19">
        <v>3</v>
      </c>
      <c r="H1658" s="19">
        <v>6</v>
      </c>
      <c r="I1658" t="b">
        <v>1</v>
      </c>
      <c r="J1658" t="s">
        <v>1173</v>
      </c>
      <c r="K1658" t="s">
        <v>32</v>
      </c>
      <c r="Q1658" t="s">
        <v>1142</v>
      </c>
      <c r="R1658" t="s">
        <v>1142</v>
      </c>
      <c r="S1658" s="83">
        <v>7</v>
      </c>
    </row>
    <row r="1659" spans="1:19" x14ac:dyDescent="0.25">
      <c r="A1659" t="s">
        <v>1151</v>
      </c>
      <c r="B1659" t="s">
        <v>1142</v>
      </c>
      <c r="C1659">
        <v>3</v>
      </c>
      <c r="D1659" t="s">
        <v>1155</v>
      </c>
      <c r="E1659" t="s">
        <v>1111</v>
      </c>
      <c r="F1659" s="5" t="s">
        <v>25</v>
      </c>
      <c r="G1659" s="19">
        <v>0</v>
      </c>
      <c r="H1659" s="19">
        <v>1</v>
      </c>
      <c r="I1659" t="b">
        <v>1</v>
      </c>
      <c r="J1659" t="s">
        <v>1174</v>
      </c>
      <c r="K1659" t="s">
        <v>32</v>
      </c>
      <c r="Q1659" t="s">
        <v>1142</v>
      </c>
      <c r="R1659" t="s">
        <v>1142</v>
      </c>
      <c r="S1659" s="83">
        <v>8</v>
      </c>
    </row>
    <row r="1660" spans="1:19" x14ac:dyDescent="0.25">
      <c r="A1660" t="s">
        <v>1151</v>
      </c>
      <c r="B1660" t="s">
        <v>1142</v>
      </c>
      <c r="C1660">
        <v>3</v>
      </c>
      <c r="D1660" t="s">
        <v>1158</v>
      </c>
      <c r="E1660" t="s">
        <v>1188</v>
      </c>
      <c r="F1660" s="5" t="s">
        <v>25</v>
      </c>
      <c r="G1660" s="19">
        <v>2.5</v>
      </c>
      <c r="H1660" s="19">
        <v>4</v>
      </c>
      <c r="I1660" t="b">
        <v>1</v>
      </c>
      <c r="J1660" t="s">
        <v>1179</v>
      </c>
      <c r="K1660" t="s">
        <v>32</v>
      </c>
      <c r="Q1660" t="s">
        <v>1142</v>
      </c>
      <c r="R1660" t="s">
        <v>1142</v>
      </c>
      <c r="S1660" s="83">
        <v>9</v>
      </c>
    </row>
    <row r="1661" spans="1:19" x14ac:dyDescent="0.25">
      <c r="A1661" t="s">
        <v>1151</v>
      </c>
      <c r="B1661" t="s">
        <v>1142</v>
      </c>
      <c r="C1661">
        <v>3</v>
      </c>
      <c r="D1661" t="s">
        <v>1160</v>
      </c>
      <c r="E1661" t="s">
        <v>1111</v>
      </c>
      <c r="F1661" s="5" t="s">
        <v>25</v>
      </c>
      <c r="G1661" s="19">
        <v>0</v>
      </c>
      <c r="H1661" s="19">
        <v>1</v>
      </c>
      <c r="I1661" t="b">
        <v>1</v>
      </c>
      <c r="J1661" t="s">
        <v>1180</v>
      </c>
      <c r="K1661" t="s">
        <v>32</v>
      </c>
      <c r="Q1661" t="s">
        <v>1142</v>
      </c>
      <c r="R1661" t="s">
        <v>1142</v>
      </c>
      <c r="S1661" s="83">
        <v>10</v>
      </c>
    </row>
    <row r="1662" spans="1:19" x14ac:dyDescent="0.25">
      <c r="A1662" t="s">
        <v>1151</v>
      </c>
      <c r="B1662" t="s">
        <v>1142</v>
      </c>
      <c r="C1662">
        <v>3</v>
      </c>
      <c r="D1662" t="s">
        <v>392</v>
      </c>
      <c r="E1662" t="s">
        <v>545</v>
      </c>
      <c r="F1662" s="5" t="s">
        <v>24</v>
      </c>
      <c r="G1662" s="19">
        <v>40</v>
      </c>
      <c r="H1662" s="19">
        <v>50</v>
      </c>
      <c r="I1662" t="b">
        <v>1</v>
      </c>
      <c r="J1662" t="s">
        <v>847</v>
      </c>
      <c r="K1662" t="s">
        <v>32</v>
      </c>
      <c r="Q1662" t="s">
        <v>1142</v>
      </c>
      <c r="R1662" t="s">
        <v>1142</v>
      </c>
      <c r="S1662" s="83">
        <v>3</v>
      </c>
    </row>
    <row r="1663" spans="1:19" x14ac:dyDescent="0.25">
      <c r="A1663" t="s">
        <v>1151</v>
      </c>
      <c r="B1663" t="s">
        <v>1142</v>
      </c>
      <c r="C1663">
        <v>3</v>
      </c>
      <c r="D1663" t="s">
        <v>1162</v>
      </c>
      <c r="E1663" t="s">
        <v>1204</v>
      </c>
      <c r="F1663" s="5" t="s">
        <v>27</v>
      </c>
      <c r="G1663" s="19">
        <v>1</v>
      </c>
      <c r="H1663" s="19">
        <v>10</v>
      </c>
      <c r="I1663" t="b">
        <v>0</v>
      </c>
      <c r="J1663" t="s">
        <v>1171</v>
      </c>
      <c r="K1663" t="s">
        <v>32</v>
      </c>
      <c r="Q1663" t="s">
        <v>1142</v>
      </c>
      <c r="R1663" t="s">
        <v>1142</v>
      </c>
      <c r="S1663" s="83">
        <v>2</v>
      </c>
    </row>
    <row r="1664" spans="1:19" x14ac:dyDescent="0.25">
      <c r="A1664" t="s">
        <v>1151</v>
      </c>
      <c r="B1664" t="s">
        <v>1142</v>
      </c>
      <c r="C1664">
        <v>3</v>
      </c>
      <c r="D1664" t="s">
        <v>1181</v>
      </c>
      <c r="E1664" t="s">
        <v>551</v>
      </c>
      <c r="F1664" s="5" t="s">
        <v>24</v>
      </c>
      <c r="G1664" s="19">
        <v>30</v>
      </c>
      <c r="H1664" s="19">
        <v>40</v>
      </c>
      <c r="I1664" t="b">
        <v>1</v>
      </c>
      <c r="J1664" t="s">
        <v>1182</v>
      </c>
      <c r="K1664" t="s">
        <v>32</v>
      </c>
      <c r="Q1664" t="s">
        <v>1142</v>
      </c>
      <c r="R1664" t="s">
        <v>1142</v>
      </c>
      <c r="S1664" s="83">
        <v>15</v>
      </c>
    </row>
    <row r="1665" spans="1:19" x14ac:dyDescent="0.25">
      <c r="A1665" t="s">
        <v>1151</v>
      </c>
      <c r="B1665" t="s">
        <v>1142</v>
      </c>
      <c r="C1665">
        <v>4</v>
      </c>
      <c r="D1665" t="s">
        <v>1152</v>
      </c>
      <c r="E1665" t="s">
        <v>1127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1154</v>
      </c>
      <c r="K1665" t="s">
        <v>32</v>
      </c>
      <c r="Q1665" t="s">
        <v>1142</v>
      </c>
      <c r="R1665" t="s">
        <v>1142</v>
      </c>
      <c r="S1665" s="6">
        <v>1</v>
      </c>
    </row>
    <row r="1666" spans="1:19" x14ac:dyDescent="0.25">
      <c r="A1666" t="s">
        <v>1151</v>
      </c>
      <c r="B1666" t="s">
        <v>1142</v>
      </c>
      <c r="C1666">
        <v>4</v>
      </c>
      <c r="D1666" t="s">
        <v>885</v>
      </c>
      <c r="E1666" t="s">
        <v>1189</v>
      </c>
      <c r="F1666" s="5" t="s">
        <v>25</v>
      </c>
      <c r="G1666" s="19">
        <v>0.5</v>
      </c>
      <c r="H1666" s="19">
        <v>2</v>
      </c>
      <c r="I1666" t="b">
        <v>1</v>
      </c>
      <c r="J1666" t="s">
        <v>1169</v>
      </c>
      <c r="K1666" t="s">
        <v>32</v>
      </c>
      <c r="Q1666" t="s">
        <v>1142</v>
      </c>
      <c r="R1666" t="s">
        <v>1142</v>
      </c>
      <c r="S1666" s="83">
        <v>4</v>
      </c>
    </row>
    <row r="1667" spans="1:19" x14ac:dyDescent="0.25">
      <c r="A1667" t="s">
        <v>1151</v>
      </c>
      <c r="B1667" t="s">
        <v>1142</v>
      </c>
      <c r="C1667">
        <v>4</v>
      </c>
      <c r="D1667" t="s">
        <v>1156</v>
      </c>
      <c r="E1667" t="s">
        <v>1113</v>
      </c>
      <c r="F1667" s="5" t="s">
        <v>25</v>
      </c>
      <c r="G1667" s="19">
        <v>0</v>
      </c>
      <c r="H1667" s="19">
        <v>3</v>
      </c>
      <c r="I1667" t="b">
        <v>1</v>
      </c>
      <c r="J1667" t="s">
        <v>1173</v>
      </c>
      <c r="K1667" t="s">
        <v>32</v>
      </c>
      <c r="Q1667" t="s">
        <v>1142</v>
      </c>
      <c r="R1667" t="s">
        <v>1142</v>
      </c>
      <c r="S1667" s="83">
        <v>7</v>
      </c>
    </row>
    <row r="1668" spans="1:19" x14ac:dyDescent="0.25">
      <c r="A1668" t="s">
        <v>1151</v>
      </c>
      <c r="B1668" t="s">
        <v>1142</v>
      </c>
      <c r="C1668">
        <v>4</v>
      </c>
      <c r="D1668" t="s">
        <v>1158</v>
      </c>
      <c r="E1668" t="s">
        <v>1205</v>
      </c>
      <c r="F1668" s="5" t="s">
        <v>25</v>
      </c>
      <c r="G1668" s="19">
        <v>0</v>
      </c>
      <c r="H1668" s="19">
        <v>1.5</v>
      </c>
      <c r="I1668" t="b">
        <v>1</v>
      </c>
      <c r="J1668" t="s">
        <v>1179</v>
      </c>
      <c r="K1668" t="s">
        <v>32</v>
      </c>
      <c r="Q1668" t="s">
        <v>1142</v>
      </c>
      <c r="R1668" t="s">
        <v>1142</v>
      </c>
      <c r="S1668" s="83">
        <v>9</v>
      </c>
    </row>
    <row r="1669" spans="1:19" x14ac:dyDescent="0.25">
      <c r="A1669" t="s">
        <v>1151</v>
      </c>
      <c r="B1669" t="s">
        <v>1142</v>
      </c>
      <c r="C1669">
        <v>4</v>
      </c>
      <c r="D1669" t="s">
        <v>392</v>
      </c>
      <c r="E1669" t="s">
        <v>529</v>
      </c>
      <c r="F1669" s="5" t="s">
        <v>24</v>
      </c>
      <c r="G1669" s="19">
        <v>15</v>
      </c>
      <c r="H1669" s="19">
        <v>25</v>
      </c>
      <c r="I1669" t="b">
        <v>1</v>
      </c>
      <c r="J1669" t="s">
        <v>847</v>
      </c>
      <c r="K1669" t="s">
        <v>32</v>
      </c>
      <c r="Q1669" t="s">
        <v>1142</v>
      </c>
      <c r="R1669" t="s">
        <v>1142</v>
      </c>
      <c r="S1669" s="83">
        <v>3</v>
      </c>
    </row>
    <row r="1670" spans="1:19" x14ac:dyDescent="0.25">
      <c r="A1670" t="s">
        <v>1151</v>
      </c>
      <c r="B1670" t="s">
        <v>1142</v>
      </c>
      <c r="C1670">
        <v>4</v>
      </c>
      <c r="D1670" t="s">
        <v>1162</v>
      </c>
      <c r="E1670" t="s">
        <v>1213</v>
      </c>
      <c r="F1670" s="5" t="s">
        <v>26</v>
      </c>
      <c r="G1670" s="19">
        <v>10</v>
      </c>
      <c r="H1670" s="19">
        <v>20</v>
      </c>
      <c r="I1670" t="b">
        <v>0</v>
      </c>
      <c r="J1670" t="s">
        <v>1171</v>
      </c>
      <c r="K1670" t="s">
        <v>32</v>
      </c>
      <c r="Q1670" t="s">
        <v>1142</v>
      </c>
      <c r="R1670" t="s">
        <v>1142</v>
      </c>
      <c r="S1670" s="83">
        <v>2</v>
      </c>
    </row>
    <row r="1671" spans="1:19" x14ac:dyDescent="0.25">
      <c r="A1671" t="s">
        <v>1151</v>
      </c>
      <c r="B1671" t="s">
        <v>1142</v>
      </c>
      <c r="C1671">
        <v>4</v>
      </c>
      <c r="D1671" t="s">
        <v>1161</v>
      </c>
      <c r="E1671" t="s">
        <v>1206</v>
      </c>
      <c r="F1671" s="5" t="s">
        <v>27</v>
      </c>
      <c r="G1671" s="19">
        <v>0.1</v>
      </c>
      <c r="H1671" s="19">
        <v>3</v>
      </c>
      <c r="I1671" t="b">
        <v>0</v>
      </c>
      <c r="J1671" t="s">
        <v>1201</v>
      </c>
      <c r="K1671" t="s">
        <v>32</v>
      </c>
      <c r="Q1671" t="s">
        <v>1142</v>
      </c>
      <c r="R1671" t="s">
        <v>1142</v>
      </c>
      <c r="S1671" s="83">
        <v>5</v>
      </c>
    </row>
    <row r="1672" spans="1:19" x14ac:dyDescent="0.25">
      <c r="A1672" t="s">
        <v>1151</v>
      </c>
      <c r="B1672" t="s">
        <v>1142</v>
      </c>
      <c r="C1672">
        <v>4</v>
      </c>
      <c r="D1672" t="s">
        <v>1181</v>
      </c>
      <c r="E1672" t="s">
        <v>524</v>
      </c>
      <c r="F1672" s="5" t="s">
        <v>24</v>
      </c>
      <c r="G1672" s="19">
        <v>10</v>
      </c>
      <c r="H1672" s="19">
        <v>20</v>
      </c>
      <c r="I1672" t="b">
        <v>1</v>
      </c>
      <c r="J1672" t="s">
        <v>1182</v>
      </c>
      <c r="K1672" t="s">
        <v>32</v>
      </c>
      <c r="Q1672" t="s">
        <v>1142</v>
      </c>
      <c r="R1672" t="s">
        <v>1142</v>
      </c>
      <c r="S1672" s="83">
        <v>15</v>
      </c>
    </row>
    <row r="1673" spans="1:19" x14ac:dyDescent="0.25">
      <c r="A1673" t="s">
        <v>1151</v>
      </c>
      <c r="B1673" t="s">
        <v>1142</v>
      </c>
      <c r="C1673">
        <v>5</v>
      </c>
      <c r="D1673" t="s">
        <v>1152</v>
      </c>
      <c r="E1673" t="s">
        <v>1113</v>
      </c>
      <c r="F1673" s="5" t="s">
        <v>25</v>
      </c>
      <c r="G1673" s="19">
        <v>0</v>
      </c>
      <c r="H1673" s="19">
        <v>3</v>
      </c>
      <c r="I1673" t="b">
        <v>1</v>
      </c>
      <c r="J1673" t="s">
        <v>1154</v>
      </c>
      <c r="K1673" t="s">
        <v>32</v>
      </c>
      <c r="Q1673" t="s">
        <v>1142</v>
      </c>
      <c r="R1673" t="s">
        <v>1142</v>
      </c>
      <c r="S1673" s="6">
        <v>1</v>
      </c>
    </row>
    <row r="1674" spans="1:19" x14ac:dyDescent="0.25">
      <c r="A1674" t="s">
        <v>1151</v>
      </c>
      <c r="B1674" t="s">
        <v>1142</v>
      </c>
      <c r="C1674">
        <v>5</v>
      </c>
      <c r="D1674" t="s">
        <v>1162</v>
      </c>
      <c r="E1674" t="s">
        <v>1215</v>
      </c>
      <c r="F1674" s="5" t="s">
        <v>26</v>
      </c>
      <c r="G1674" s="19">
        <v>20</v>
      </c>
      <c r="H1674" s="19">
        <v>30</v>
      </c>
      <c r="I1674" t="b">
        <v>0</v>
      </c>
      <c r="J1674" t="s">
        <v>1171</v>
      </c>
      <c r="K1674" t="s">
        <v>32</v>
      </c>
      <c r="Q1674" t="s">
        <v>1142</v>
      </c>
      <c r="R1674" t="s">
        <v>1142</v>
      </c>
      <c r="S1674" s="83">
        <v>2</v>
      </c>
    </row>
    <row r="1675" spans="1:19" x14ac:dyDescent="0.25">
      <c r="A1675" t="s">
        <v>1151</v>
      </c>
      <c r="B1675" t="s">
        <v>1142</v>
      </c>
      <c r="C1675">
        <v>5</v>
      </c>
      <c r="D1675" t="s">
        <v>1161</v>
      </c>
      <c r="E1675" t="s">
        <v>1207</v>
      </c>
      <c r="F1675" s="5" t="s">
        <v>27</v>
      </c>
      <c r="G1675" s="19">
        <v>3</v>
      </c>
      <c r="H1675" s="19">
        <v>6</v>
      </c>
      <c r="I1675" t="b">
        <v>0</v>
      </c>
      <c r="J1675" t="s">
        <v>1201</v>
      </c>
      <c r="K1675" t="s">
        <v>32</v>
      </c>
      <c r="Q1675" t="s">
        <v>1142</v>
      </c>
      <c r="R1675" t="s">
        <v>1142</v>
      </c>
      <c r="S1675" s="83">
        <v>5</v>
      </c>
    </row>
    <row r="1676" spans="1:19" x14ac:dyDescent="0.25">
      <c r="A1676" t="s">
        <v>1151</v>
      </c>
      <c r="B1676" t="s">
        <v>1142</v>
      </c>
      <c r="C1676">
        <v>5</v>
      </c>
      <c r="D1676" t="s">
        <v>392</v>
      </c>
      <c r="E1676" t="s">
        <v>1123</v>
      </c>
      <c r="F1676" s="5" t="s">
        <v>25</v>
      </c>
      <c r="G1676" s="19">
        <v>5</v>
      </c>
      <c r="H1676" s="19">
        <v>10</v>
      </c>
      <c r="I1676" t="b">
        <v>1</v>
      </c>
      <c r="J1676" t="s">
        <v>847</v>
      </c>
      <c r="K1676" t="s">
        <v>32</v>
      </c>
      <c r="Q1676" t="s">
        <v>1142</v>
      </c>
      <c r="R1676" t="s">
        <v>1142</v>
      </c>
      <c r="S1676" s="83">
        <v>3</v>
      </c>
    </row>
    <row r="1677" spans="1:19" x14ac:dyDescent="0.25">
      <c r="A1677" s="1" t="s">
        <v>1071</v>
      </c>
      <c r="B1677" s="1" t="s">
        <v>1277</v>
      </c>
      <c r="C1677" s="5">
        <v>2</v>
      </c>
      <c r="D1677" s="1" t="s">
        <v>11</v>
      </c>
      <c r="E1677" s="1" t="s">
        <v>1278</v>
      </c>
      <c r="F1677" s="5" t="s">
        <v>25</v>
      </c>
      <c r="G1677" s="5">
        <v>50</v>
      </c>
      <c r="H1677" s="5">
        <v>55</v>
      </c>
      <c r="I1677" s="5" t="b">
        <v>1</v>
      </c>
      <c r="J1677" s="1" t="s">
        <v>0</v>
      </c>
      <c r="K1677" s="1" t="s">
        <v>32</v>
      </c>
      <c r="L1677" s="1"/>
      <c r="M1677" s="1"/>
      <c r="N1677" s="1"/>
      <c r="O1677" s="1"/>
      <c r="P1677" s="1"/>
      <c r="Q1677" s="1" t="s">
        <v>1277</v>
      </c>
      <c r="R1677" s="1" t="s">
        <v>1277</v>
      </c>
      <c r="S1677" s="5">
        <v>1</v>
      </c>
    </row>
    <row r="1678" spans="1:19" x14ac:dyDescent="0.25">
      <c r="A1678" s="1" t="s">
        <v>1071</v>
      </c>
      <c r="B1678" s="1" t="s">
        <v>1277</v>
      </c>
      <c r="C1678" s="5">
        <v>2</v>
      </c>
      <c r="D1678" s="1" t="s">
        <v>1228</v>
      </c>
      <c r="E1678" s="1" t="s">
        <v>964</v>
      </c>
      <c r="F1678" s="5" t="s">
        <v>25</v>
      </c>
      <c r="G1678" s="5">
        <v>2</v>
      </c>
      <c r="H1678" s="5">
        <v>3</v>
      </c>
      <c r="I1678" s="5" t="b">
        <v>1</v>
      </c>
      <c r="J1678" s="1" t="s">
        <v>1229</v>
      </c>
      <c r="K1678" s="1" t="s">
        <v>32</v>
      </c>
      <c r="L1678" s="1"/>
      <c r="M1678" s="1"/>
      <c r="N1678" s="1"/>
      <c r="O1678" s="1"/>
      <c r="P1678" s="1"/>
      <c r="Q1678" s="1" t="s">
        <v>1277</v>
      </c>
      <c r="R1678" s="1" t="s">
        <v>1277</v>
      </c>
      <c r="S1678" s="5">
        <v>2</v>
      </c>
    </row>
    <row r="1679" spans="1:19" x14ac:dyDescent="0.25">
      <c r="A1679" s="1" t="s">
        <v>1071</v>
      </c>
      <c r="B1679" s="1" t="s">
        <v>1277</v>
      </c>
      <c r="C1679" s="5">
        <v>2</v>
      </c>
      <c r="D1679" s="1" t="s">
        <v>13</v>
      </c>
      <c r="E1679" s="1" t="s">
        <v>954</v>
      </c>
      <c r="F1679" s="5" t="s">
        <v>25</v>
      </c>
      <c r="G1679" s="5">
        <v>20</v>
      </c>
      <c r="H1679" s="5">
        <v>25</v>
      </c>
      <c r="I1679" s="5" t="b">
        <v>1</v>
      </c>
      <c r="J1679" s="1" t="s">
        <v>10</v>
      </c>
      <c r="K1679" s="1" t="s">
        <v>32</v>
      </c>
      <c r="L1679" s="1"/>
      <c r="M1679" s="1"/>
      <c r="N1679" s="1"/>
      <c r="O1679" s="1"/>
      <c r="P1679" s="1"/>
      <c r="Q1679" s="1" t="s">
        <v>1277</v>
      </c>
      <c r="R1679" s="1" t="s">
        <v>1277</v>
      </c>
      <c r="S1679" s="5">
        <v>3</v>
      </c>
    </row>
    <row r="1680" spans="1:19" x14ac:dyDescent="0.25">
      <c r="A1680" s="1" t="s">
        <v>1071</v>
      </c>
      <c r="B1680" s="1" t="s">
        <v>1277</v>
      </c>
      <c r="C1680" s="5">
        <v>2</v>
      </c>
      <c r="D1680" s="1" t="s">
        <v>1231</v>
      </c>
      <c r="E1680" s="1" t="s">
        <v>942</v>
      </c>
      <c r="F1680" s="5" t="s">
        <v>25</v>
      </c>
      <c r="G1680" s="5">
        <v>3</v>
      </c>
      <c r="H1680" s="5">
        <v>8</v>
      </c>
      <c r="I1680" s="5" t="b">
        <v>1</v>
      </c>
      <c r="J1680" s="1" t="s">
        <v>1232</v>
      </c>
      <c r="K1680" s="1" t="s">
        <v>32</v>
      </c>
      <c r="L1680" s="1"/>
      <c r="M1680" s="1"/>
      <c r="N1680" s="1"/>
      <c r="O1680" s="1"/>
      <c r="P1680" s="1"/>
      <c r="Q1680" s="1" t="s">
        <v>1277</v>
      </c>
      <c r="R1680" s="1" t="s">
        <v>1277</v>
      </c>
      <c r="S1680" s="5">
        <v>4</v>
      </c>
    </row>
    <row r="1681" spans="1:19" x14ac:dyDescent="0.25">
      <c r="A1681" s="1" t="s">
        <v>1071</v>
      </c>
      <c r="B1681" s="1" t="s">
        <v>1277</v>
      </c>
      <c r="C1681" s="5">
        <v>2</v>
      </c>
      <c r="D1681" s="1" t="s">
        <v>29</v>
      </c>
      <c r="E1681" s="1" t="s">
        <v>946</v>
      </c>
      <c r="F1681" s="5" t="s">
        <v>24</v>
      </c>
      <c r="G1681" s="5">
        <v>10</v>
      </c>
      <c r="H1681" s="5">
        <v>20</v>
      </c>
      <c r="I1681" s="5" t="b">
        <v>1</v>
      </c>
      <c r="J1681" s="1" t="s">
        <v>1121</v>
      </c>
      <c r="K1681" s="1" t="s">
        <v>32</v>
      </c>
      <c r="L1681" s="1"/>
      <c r="M1681" s="1"/>
      <c r="N1681" s="1"/>
      <c r="O1681" s="1"/>
      <c r="P1681" s="1"/>
      <c r="Q1681" s="1" t="s">
        <v>1277</v>
      </c>
      <c r="R1681" s="1" t="s">
        <v>1277</v>
      </c>
      <c r="S1681" s="5">
        <v>5</v>
      </c>
    </row>
    <row r="1682" spans="1:19" x14ac:dyDescent="0.25">
      <c r="A1682" s="1" t="s">
        <v>1071</v>
      </c>
      <c r="B1682" s="1" t="s">
        <v>1277</v>
      </c>
      <c r="C1682" s="5">
        <v>2</v>
      </c>
      <c r="D1682" s="1" t="s">
        <v>1122</v>
      </c>
      <c r="E1682" s="1" t="s">
        <v>1253</v>
      </c>
      <c r="F1682" s="5" t="s">
        <v>24</v>
      </c>
      <c r="G1682" s="5">
        <v>12</v>
      </c>
      <c r="H1682" s="5">
        <v>22</v>
      </c>
      <c r="I1682" s="5" t="b">
        <v>1</v>
      </c>
      <c r="J1682" s="1" t="s">
        <v>1124</v>
      </c>
      <c r="K1682" s="1" t="s">
        <v>32</v>
      </c>
      <c r="L1682" s="1"/>
      <c r="M1682" s="1"/>
      <c r="N1682" s="1"/>
      <c r="O1682" s="1"/>
      <c r="P1682" s="1"/>
      <c r="Q1682" s="1" t="s">
        <v>1277</v>
      </c>
      <c r="R1682" s="1" t="s">
        <v>1277</v>
      </c>
      <c r="S1682" s="5">
        <v>6</v>
      </c>
    </row>
    <row r="1683" spans="1:19" x14ac:dyDescent="0.25">
      <c r="A1683" s="1" t="s">
        <v>1071</v>
      </c>
      <c r="B1683" s="1" t="s">
        <v>1277</v>
      </c>
      <c r="C1683" s="5">
        <v>2</v>
      </c>
      <c r="D1683" s="1" t="s">
        <v>1125</v>
      </c>
      <c r="E1683" s="1" t="s">
        <v>1255</v>
      </c>
      <c r="F1683" s="5" t="s">
        <v>27</v>
      </c>
      <c r="G1683" s="5">
        <v>0</v>
      </c>
      <c r="H1683" s="5">
        <v>3</v>
      </c>
      <c r="I1683" s="5" t="b">
        <v>0</v>
      </c>
      <c r="J1683" s="1" t="s">
        <v>1237</v>
      </c>
      <c r="K1683" s="1" t="s">
        <v>32</v>
      </c>
      <c r="L1683" s="1"/>
      <c r="M1683" s="1"/>
      <c r="N1683" s="1"/>
      <c r="O1683" s="1"/>
      <c r="P1683" s="1"/>
      <c r="Q1683" s="1" t="s">
        <v>1277</v>
      </c>
      <c r="R1683" s="1" t="s">
        <v>1277</v>
      </c>
      <c r="S1683" s="5">
        <v>8</v>
      </c>
    </row>
    <row r="1684" spans="1:19" x14ac:dyDescent="0.25">
      <c r="A1684" s="1" t="s">
        <v>1071</v>
      </c>
      <c r="B1684" s="1" t="s">
        <v>1277</v>
      </c>
      <c r="C1684" s="5">
        <v>2</v>
      </c>
      <c r="D1684" s="1" t="s">
        <v>1161</v>
      </c>
      <c r="E1684" s="1" t="s">
        <v>1239</v>
      </c>
      <c r="F1684" s="5" t="s">
        <v>27</v>
      </c>
      <c r="G1684" s="5">
        <v>0</v>
      </c>
      <c r="H1684" s="5">
        <v>1</v>
      </c>
      <c r="I1684" s="5" t="b">
        <v>0</v>
      </c>
      <c r="J1684" s="1" t="s">
        <v>1240</v>
      </c>
      <c r="K1684" s="1" t="s">
        <v>32</v>
      </c>
      <c r="L1684" s="1"/>
      <c r="M1684" s="1"/>
      <c r="N1684" s="1"/>
      <c r="O1684" s="1"/>
      <c r="P1684" s="1"/>
      <c r="Q1684" s="1" t="s">
        <v>1277</v>
      </c>
      <c r="R1684" s="1" t="s">
        <v>1277</v>
      </c>
      <c r="S1684" s="5">
        <v>10</v>
      </c>
    </row>
    <row r="1685" spans="1:19" x14ac:dyDescent="0.25">
      <c r="A1685" s="1" t="s">
        <v>1071</v>
      </c>
      <c r="B1685" s="1" t="s">
        <v>1277</v>
      </c>
      <c r="C1685" s="5">
        <v>2</v>
      </c>
      <c r="D1685" s="1" t="s">
        <v>1393</v>
      </c>
      <c r="E1685" s="1" t="s">
        <v>1280</v>
      </c>
      <c r="F1685" s="5" t="s">
        <v>27</v>
      </c>
      <c r="G1685" s="5">
        <v>15</v>
      </c>
      <c r="H1685" s="5">
        <v>20</v>
      </c>
      <c r="I1685" s="5" t="b">
        <v>0</v>
      </c>
      <c r="J1685" s="1" t="s">
        <v>1238</v>
      </c>
      <c r="K1685" s="1" t="s">
        <v>32</v>
      </c>
      <c r="L1685" s="1"/>
      <c r="M1685" s="1"/>
      <c r="N1685" s="1"/>
      <c r="O1685" s="1"/>
      <c r="P1685" s="1"/>
      <c r="Q1685" s="1" t="s">
        <v>1277</v>
      </c>
      <c r="R1685" s="1" t="s">
        <v>1277</v>
      </c>
      <c r="S1685" s="5">
        <v>11</v>
      </c>
    </row>
    <row r="1686" spans="1:19" x14ac:dyDescent="0.25">
      <c r="A1686" s="1" t="s">
        <v>1071</v>
      </c>
      <c r="B1686" s="1" t="s">
        <v>1277</v>
      </c>
      <c r="C1686" s="5">
        <v>2</v>
      </c>
      <c r="D1686" s="1" t="s">
        <v>1391</v>
      </c>
      <c r="E1686" s="1" t="s">
        <v>950</v>
      </c>
      <c r="F1686" s="5" t="s">
        <v>27</v>
      </c>
      <c r="G1686" s="5">
        <v>20</v>
      </c>
      <c r="H1686" s="5">
        <v>25</v>
      </c>
      <c r="I1686" s="5" t="b">
        <v>0</v>
      </c>
      <c r="J1686" s="1" t="s">
        <v>1389</v>
      </c>
      <c r="K1686" s="1" t="s">
        <v>32</v>
      </c>
      <c r="L1686" s="1"/>
      <c r="M1686" s="1"/>
      <c r="N1686" s="1"/>
      <c r="O1686" s="1"/>
      <c r="P1686" s="1"/>
      <c r="Q1686" s="1" t="s">
        <v>1277</v>
      </c>
      <c r="R1686" s="1" t="s">
        <v>1277</v>
      </c>
      <c r="S1686" s="5">
        <v>15</v>
      </c>
    </row>
    <row r="1687" spans="1:19" x14ac:dyDescent="0.25">
      <c r="A1687" s="1" t="s">
        <v>1071</v>
      </c>
      <c r="B1687" s="1" t="s">
        <v>1277</v>
      </c>
      <c r="C1687" s="5">
        <v>2</v>
      </c>
      <c r="D1687" s="1" t="s">
        <v>183</v>
      </c>
      <c r="E1687" s="1" t="s">
        <v>1279</v>
      </c>
      <c r="F1687" s="5" t="s">
        <v>26</v>
      </c>
      <c r="G1687" s="5">
        <v>19</v>
      </c>
      <c r="H1687" s="5">
        <v>25</v>
      </c>
      <c r="I1687" s="5" t="b">
        <v>0</v>
      </c>
      <c r="J1687" s="1" t="s">
        <v>1266</v>
      </c>
      <c r="K1687" s="1" t="s">
        <v>32</v>
      </c>
      <c r="L1687" s="1"/>
      <c r="M1687" s="1"/>
      <c r="N1687" s="1"/>
      <c r="O1687" s="1"/>
      <c r="P1687" s="1"/>
      <c r="Q1687" s="1" t="s">
        <v>1277</v>
      </c>
      <c r="R1687" s="1" t="s">
        <v>1277</v>
      </c>
      <c r="S1687" s="5">
        <v>17</v>
      </c>
    </row>
    <row r="1688" spans="1:19" x14ac:dyDescent="0.25">
      <c r="A1688" s="1" t="s">
        <v>1071</v>
      </c>
      <c r="B1688" s="1" t="s">
        <v>1277</v>
      </c>
      <c r="C1688" s="5">
        <v>2</v>
      </c>
      <c r="D1688" s="1" t="s">
        <v>1281</v>
      </c>
      <c r="E1688" s="1" t="s">
        <v>1247</v>
      </c>
      <c r="F1688" s="5" t="s">
        <v>27</v>
      </c>
      <c r="G1688" s="5">
        <v>30</v>
      </c>
      <c r="H1688" s="5">
        <v>35</v>
      </c>
      <c r="I1688" s="5" t="b">
        <v>0</v>
      </c>
      <c r="J1688" s="1" t="s">
        <v>1282</v>
      </c>
      <c r="K1688" s="1" t="s">
        <v>32</v>
      </c>
      <c r="L1688" s="1"/>
      <c r="M1688" s="1"/>
      <c r="N1688" s="1"/>
      <c r="O1688" s="1"/>
      <c r="P1688" s="1"/>
      <c r="Q1688" s="1" t="s">
        <v>1277</v>
      </c>
      <c r="R1688" s="1" t="s">
        <v>1277</v>
      </c>
      <c r="S1688" s="5">
        <v>18</v>
      </c>
    </row>
    <row r="1689" spans="1:19" x14ac:dyDescent="0.25">
      <c r="A1689" s="1" t="s">
        <v>1071</v>
      </c>
      <c r="B1689" s="1" t="s">
        <v>1277</v>
      </c>
      <c r="C1689" s="5">
        <v>3</v>
      </c>
      <c r="D1689" s="1" t="s">
        <v>11</v>
      </c>
      <c r="E1689" s="1" t="s">
        <v>953</v>
      </c>
      <c r="F1689" s="5" t="s">
        <v>24</v>
      </c>
      <c r="G1689" s="5">
        <v>40</v>
      </c>
      <c r="H1689" s="5">
        <v>50</v>
      </c>
      <c r="I1689" s="5" t="b">
        <v>1</v>
      </c>
      <c r="J1689" s="1" t="s">
        <v>0</v>
      </c>
      <c r="K1689" s="1" t="s">
        <v>32</v>
      </c>
      <c r="L1689" s="1" t="s">
        <v>716</v>
      </c>
      <c r="M1689" s="1" t="s">
        <v>1138</v>
      </c>
      <c r="N1689" s="1"/>
      <c r="O1689" s="1"/>
      <c r="P1689" s="1"/>
      <c r="Q1689" s="1" t="s">
        <v>1277</v>
      </c>
      <c r="R1689" s="1" t="s">
        <v>1277</v>
      </c>
      <c r="S1689" s="5">
        <v>1</v>
      </c>
    </row>
    <row r="1690" spans="1:19" x14ac:dyDescent="0.25">
      <c r="A1690" s="1" t="s">
        <v>1071</v>
      </c>
      <c r="B1690" s="1" t="s">
        <v>1277</v>
      </c>
      <c r="C1690" s="5">
        <v>3</v>
      </c>
      <c r="D1690" s="1" t="s">
        <v>1228</v>
      </c>
      <c r="E1690" s="1" t="s">
        <v>964</v>
      </c>
      <c r="F1690" s="5" t="s">
        <v>25</v>
      </c>
      <c r="G1690" s="5">
        <v>2</v>
      </c>
      <c r="H1690" s="5">
        <v>3</v>
      </c>
      <c r="I1690" s="5" t="b">
        <v>1</v>
      </c>
      <c r="J1690" s="1" t="s">
        <v>1229</v>
      </c>
      <c r="K1690" s="1" t="s">
        <v>32</v>
      </c>
      <c r="L1690" s="1"/>
      <c r="M1690" s="1"/>
      <c r="N1690" s="1"/>
      <c r="O1690" s="1"/>
      <c r="P1690" s="1"/>
      <c r="Q1690" s="1" t="s">
        <v>1277</v>
      </c>
      <c r="R1690" s="1" t="s">
        <v>1277</v>
      </c>
      <c r="S1690" s="5">
        <v>2</v>
      </c>
    </row>
    <row r="1691" spans="1:19" x14ac:dyDescent="0.25">
      <c r="A1691" s="1" t="s">
        <v>1071</v>
      </c>
      <c r="B1691" s="1" t="s">
        <v>1277</v>
      </c>
      <c r="C1691" s="5">
        <v>3</v>
      </c>
      <c r="D1691" s="1" t="s">
        <v>13</v>
      </c>
      <c r="E1691" s="1" t="s">
        <v>1283</v>
      </c>
      <c r="F1691" s="5" t="s">
        <v>25</v>
      </c>
      <c r="G1691" s="5">
        <v>12</v>
      </c>
      <c r="H1691" s="5">
        <v>19</v>
      </c>
      <c r="I1691" s="5" t="b">
        <v>1</v>
      </c>
      <c r="J1691" s="1" t="s">
        <v>10</v>
      </c>
      <c r="K1691" s="1" t="s">
        <v>32</v>
      </c>
      <c r="L1691" s="1"/>
      <c r="M1691" s="1"/>
      <c r="N1691" s="1"/>
      <c r="O1691" s="1"/>
      <c r="P1691" s="1"/>
      <c r="Q1691" s="1" t="s">
        <v>1277</v>
      </c>
      <c r="R1691" s="1" t="s">
        <v>1277</v>
      </c>
      <c r="S1691" s="5">
        <v>3</v>
      </c>
    </row>
    <row r="1692" spans="1:19" x14ac:dyDescent="0.25">
      <c r="A1692" s="1" t="s">
        <v>1071</v>
      </c>
      <c r="B1692" s="1" t="s">
        <v>1277</v>
      </c>
      <c r="C1692" s="5">
        <v>3</v>
      </c>
      <c r="D1692" s="1" t="s">
        <v>1231</v>
      </c>
      <c r="E1692" s="1" t="s">
        <v>1285</v>
      </c>
      <c r="F1692" s="5" t="s">
        <v>25</v>
      </c>
      <c r="G1692" s="5">
        <v>0</v>
      </c>
      <c r="H1692" s="5">
        <v>1</v>
      </c>
      <c r="I1692" s="5" t="b">
        <v>1</v>
      </c>
      <c r="J1692" s="1" t="s">
        <v>1232</v>
      </c>
      <c r="K1692" s="1" t="s">
        <v>32</v>
      </c>
      <c r="L1692" s="1" t="s">
        <v>716</v>
      </c>
      <c r="M1692" s="1" t="s">
        <v>1138</v>
      </c>
      <c r="N1692" s="1"/>
      <c r="O1692" s="1"/>
      <c r="P1692" s="1"/>
      <c r="Q1692" s="1" t="s">
        <v>1277</v>
      </c>
      <c r="R1692" s="1" t="s">
        <v>1277</v>
      </c>
      <c r="S1692" s="5">
        <v>4</v>
      </c>
    </row>
    <row r="1693" spans="1:19" x14ac:dyDescent="0.25">
      <c r="A1693" s="1" t="s">
        <v>1071</v>
      </c>
      <c r="B1693" s="1" t="s">
        <v>1277</v>
      </c>
      <c r="C1693" s="5">
        <v>3</v>
      </c>
      <c r="D1693" s="1" t="s">
        <v>29</v>
      </c>
      <c r="E1693" s="1" t="s">
        <v>1246</v>
      </c>
      <c r="F1693" s="5" t="s">
        <v>25</v>
      </c>
      <c r="G1693" s="5">
        <v>7</v>
      </c>
      <c r="H1693" s="5">
        <v>12</v>
      </c>
      <c r="I1693" s="5" t="b">
        <v>1</v>
      </c>
      <c r="J1693" s="1" t="s">
        <v>1121</v>
      </c>
      <c r="K1693" s="1" t="s">
        <v>32</v>
      </c>
      <c r="L1693" s="1"/>
      <c r="M1693" s="1"/>
      <c r="N1693" s="1"/>
      <c r="O1693" s="1"/>
      <c r="P1693" s="1"/>
      <c r="Q1693" s="1" t="s">
        <v>1277</v>
      </c>
      <c r="R1693" s="1" t="s">
        <v>1277</v>
      </c>
      <c r="S1693" s="5">
        <v>5</v>
      </c>
    </row>
    <row r="1694" spans="1:19" x14ac:dyDescent="0.25">
      <c r="A1694" s="1" t="s">
        <v>1071</v>
      </c>
      <c r="B1694" s="1" t="s">
        <v>1277</v>
      </c>
      <c r="C1694" s="5">
        <v>3</v>
      </c>
      <c r="D1694" s="1" t="s">
        <v>1122</v>
      </c>
      <c r="E1694" s="1" t="s">
        <v>958</v>
      </c>
      <c r="F1694" s="5" t="s">
        <v>25</v>
      </c>
      <c r="G1694" s="5">
        <v>3</v>
      </c>
      <c r="H1694" s="5">
        <v>10</v>
      </c>
      <c r="I1694" s="5" t="b">
        <v>1</v>
      </c>
      <c r="J1694" s="1" t="s">
        <v>1124</v>
      </c>
      <c r="K1694" s="1" t="s">
        <v>32</v>
      </c>
      <c r="L1694" s="1" t="s">
        <v>716</v>
      </c>
      <c r="M1694" s="1" t="s">
        <v>1138</v>
      </c>
      <c r="N1694" s="1"/>
      <c r="O1694" s="1"/>
      <c r="P1694" s="1"/>
      <c r="Q1694" s="1" t="s">
        <v>1277</v>
      </c>
      <c r="R1694" s="1" t="s">
        <v>1277</v>
      </c>
      <c r="S1694" s="5">
        <v>6</v>
      </c>
    </row>
    <row r="1695" spans="1:19" x14ac:dyDescent="0.25">
      <c r="A1695" s="1" t="s">
        <v>1071</v>
      </c>
      <c r="B1695" s="1" t="s">
        <v>1277</v>
      </c>
      <c r="C1695" s="5">
        <v>3</v>
      </c>
      <c r="D1695" s="1" t="s">
        <v>1125</v>
      </c>
      <c r="E1695" s="1" t="s">
        <v>1284</v>
      </c>
      <c r="F1695" s="5" t="s">
        <v>26</v>
      </c>
      <c r="G1695" s="5">
        <v>3</v>
      </c>
      <c r="H1695" s="5">
        <v>7</v>
      </c>
      <c r="I1695" s="5" t="b">
        <v>0</v>
      </c>
      <c r="J1695" s="1" t="s">
        <v>1237</v>
      </c>
      <c r="K1695" s="1" t="s">
        <v>32</v>
      </c>
      <c r="L1695" s="1"/>
      <c r="M1695" s="1"/>
      <c r="N1695" s="1"/>
      <c r="O1695" s="1"/>
      <c r="P1695" s="1"/>
      <c r="Q1695" s="1" t="s">
        <v>1277</v>
      </c>
      <c r="R1695" s="1" t="s">
        <v>1277</v>
      </c>
      <c r="S1695" s="5">
        <v>8</v>
      </c>
    </row>
    <row r="1696" spans="1:19" x14ac:dyDescent="0.25">
      <c r="A1696" s="1" t="s">
        <v>1071</v>
      </c>
      <c r="B1696" s="1" t="s">
        <v>1277</v>
      </c>
      <c r="C1696" s="5">
        <v>3</v>
      </c>
      <c r="D1696" s="1" t="s">
        <v>1393</v>
      </c>
      <c r="E1696" s="1" t="s">
        <v>917</v>
      </c>
      <c r="F1696" s="5" t="s">
        <v>26</v>
      </c>
      <c r="G1696" s="5">
        <v>20</v>
      </c>
      <c r="H1696" s="5">
        <v>30</v>
      </c>
      <c r="I1696" s="5" t="b">
        <v>0</v>
      </c>
      <c r="J1696" s="1" t="s">
        <v>1238</v>
      </c>
      <c r="K1696" s="1" t="s">
        <v>32</v>
      </c>
      <c r="L1696" s="1" t="s">
        <v>716</v>
      </c>
      <c r="M1696" s="1" t="s">
        <v>1138</v>
      </c>
      <c r="N1696" s="1"/>
      <c r="O1696" s="1"/>
      <c r="P1696" s="1"/>
      <c r="Q1696" s="1" t="s">
        <v>1277</v>
      </c>
      <c r="R1696" s="1" t="s">
        <v>1277</v>
      </c>
      <c r="S1696" s="5">
        <v>11</v>
      </c>
    </row>
    <row r="1697" spans="1:19" x14ac:dyDescent="0.25">
      <c r="A1697" s="1" t="s">
        <v>1071</v>
      </c>
      <c r="B1697" s="1" t="s">
        <v>1277</v>
      </c>
      <c r="C1697" s="5">
        <v>3</v>
      </c>
      <c r="D1697" s="1" t="s">
        <v>1391</v>
      </c>
      <c r="E1697" s="1" t="s">
        <v>960</v>
      </c>
      <c r="F1697" s="5" t="s">
        <v>26</v>
      </c>
      <c r="G1697" s="5">
        <v>25</v>
      </c>
      <c r="H1697" s="5">
        <v>35</v>
      </c>
      <c r="I1697" s="5" t="b">
        <v>0</v>
      </c>
      <c r="J1697" s="1" t="s">
        <v>1389</v>
      </c>
      <c r="K1697" s="1" t="s">
        <v>32</v>
      </c>
      <c r="L1697" s="1"/>
      <c r="M1697" s="1"/>
      <c r="N1697" s="1"/>
      <c r="O1697" s="1"/>
      <c r="P1697" s="1"/>
      <c r="Q1697" s="1" t="s">
        <v>1277</v>
      </c>
      <c r="R1697" s="1" t="s">
        <v>1277</v>
      </c>
      <c r="S1697" s="5">
        <v>15</v>
      </c>
    </row>
    <row r="1698" spans="1:19" x14ac:dyDescent="0.25">
      <c r="A1698" s="1" t="s">
        <v>1071</v>
      </c>
      <c r="B1698" s="1" t="s">
        <v>1277</v>
      </c>
      <c r="C1698" s="5">
        <v>3</v>
      </c>
      <c r="D1698" s="1" t="s">
        <v>1281</v>
      </c>
      <c r="E1698" s="1" t="s">
        <v>1262</v>
      </c>
      <c r="F1698" s="5" t="s">
        <v>27</v>
      </c>
      <c r="G1698" s="5">
        <v>35</v>
      </c>
      <c r="H1698" s="5">
        <v>40</v>
      </c>
      <c r="I1698" s="5" t="b">
        <v>0</v>
      </c>
      <c r="J1698" s="1" t="s">
        <v>1282</v>
      </c>
      <c r="K1698" s="1" t="s">
        <v>32</v>
      </c>
      <c r="L1698" s="1" t="s">
        <v>716</v>
      </c>
      <c r="M1698" s="1" t="s">
        <v>1138</v>
      </c>
      <c r="N1698" s="1"/>
      <c r="O1698" s="1"/>
      <c r="P1698" s="1"/>
      <c r="Q1698" s="1" t="s">
        <v>1277</v>
      </c>
      <c r="R1698" s="1" t="s">
        <v>1277</v>
      </c>
      <c r="S1698" s="5">
        <v>18</v>
      </c>
    </row>
    <row r="1699" spans="1:19" x14ac:dyDescent="0.25">
      <c r="A1699" s="1" t="s">
        <v>1071</v>
      </c>
      <c r="B1699" s="1" t="s">
        <v>1277</v>
      </c>
      <c r="C1699" s="5">
        <v>4</v>
      </c>
      <c r="D1699" s="1" t="s">
        <v>11</v>
      </c>
      <c r="E1699" s="1" t="s">
        <v>920</v>
      </c>
      <c r="F1699" s="5" t="s">
        <v>24</v>
      </c>
      <c r="G1699" s="5">
        <v>25</v>
      </c>
      <c r="H1699" s="5">
        <v>35</v>
      </c>
      <c r="I1699" s="5" t="b">
        <v>1</v>
      </c>
      <c r="J1699" s="1" t="s">
        <v>0</v>
      </c>
      <c r="K1699" s="1" t="s">
        <v>32</v>
      </c>
      <c r="L1699" s="1" t="s">
        <v>716</v>
      </c>
      <c r="M1699" s="1" t="s">
        <v>1138</v>
      </c>
      <c r="N1699" s="1"/>
      <c r="O1699" s="1"/>
      <c r="P1699" s="1"/>
      <c r="Q1699" s="1" t="s">
        <v>1277</v>
      </c>
      <c r="R1699" s="1" t="s">
        <v>1277</v>
      </c>
      <c r="S1699" s="5">
        <v>1</v>
      </c>
    </row>
    <row r="1700" spans="1:19" x14ac:dyDescent="0.25">
      <c r="A1700" s="1" t="s">
        <v>1071</v>
      </c>
      <c r="B1700" s="1" t="s">
        <v>1277</v>
      </c>
      <c r="C1700" s="5">
        <v>4</v>
      </c>
      <c r="D1700" s="1" t="s">
        <v>1228</v>
      </c>
      <c r="E1700" s="1" t="s">
        <v>1243</v>
      </c>
      <c r="F1700" s="5" t="s">
        <v>25</v>
      </c>
      <c r="G1700" s="5">
        <v>-0.5</v>
      </c>
      <c r="H1700" s="5">
        <v>2</v>
      </c>
      <c r="I1700" s="5" t="b">
        <v>1</v>
      </c>
      <c r="J1700" s="1" t="s">
        <v>1229</v>
      </c>
      <c r="K1700" s="1" t="s">
        <v>32</v>
      </c>
      <c r="L1700" s="1"/>
      <c r="M1700" s="1"/>
      <c r="N1700" s="1"/>
      <c r="O1700" s="1"/>
      <c r="P1700" s="1"/>
      <c r="Q1700" s="1" t="s">
        <v>1277</v>
      </c>
      <c r="R1700" s="1" t="s">
        <v>1277</v>
      </c>
      <c r="S1700" s="5">
        <v>2</v>
      </c>
    </row>
    <row r="1701" spans="1:19" x14ac:dyDescent="0.25">
      <c r="A1701" s="1" t="s">
        <v>1071</v>
      </c>
      <c r="B1701" s="1" t="s">
        <v>1277</v>
      </c>
      <c r="C1701" s="5">
        <v>4</v>
      </c>
      <c r="D1701" s="1" t="s">
        <v>13</v>
      </c>
      <c r="E1701" s="1" t="s">
        <v>942</v>
      </c>
      <c r="F1701" s="5" t="s">
        <v>25</v>
      </c>
      <c r="G1701" s="5">
        <v>3</v>
      </c>
      <c r="H1701" s="5">
        <v>8</v>
      </c>
      <c r="I1701" s="5" t="b">
        <v>1</v>
      </c>
      <c r="J1701" s="1" t="s">
        <v>10</v>
      </c>
      <c r="K1701" s="1" t="s">
        <v>32</v>
      </c>
      <c r="L1701" s="1"/>
      <c r="M1701" s="1"/>
      <c r="N1701" s="1"/>
      <c r="O1701" s="1"/>
      <c r="P1701" s="1"/>
      <c r="Q1701" s="1" t="s">
        <v>1277</v>
      </c>
      <c r="R1701" s="1" t="s">
        <v>1277</v>
      </c>
      <c r="S1701" s="5">
        <v>3</v>
      </c>
    </row>
    <row r="1702" spans="1:19" x14ac:dyDescent="0.25">
      <c r="A1702" s="1" t="s">
        <v>1071</v>
      </c>
      <c r="B1702" s="1" t="s">
        <v>1277</v>
      </c>
      <c r="C1702" s="5">
        <v>4</v>
      </c>
      <c r="D1702" s="1" t="s">
        <v>29</v>
      </c>
      <c r="E1702" s="1" t="s">
        <v>904</v>
      </c>
      <c r="F1702" s="5" t="s">
        <v>24</v>
      </c>
      <c r="G1702" s="5">
        <v>1</v>
      </c>
      <c r="H1702" s="5">
        <v>5</v>
      </c>
      <c r="I1702" s="5" t="b">
        <v>1</v>
      </c>
      <c r="J1702" s="1" t="s">
        <v>1121</v>
      </c>
      <c r="K1702" s="1" t="s">
        <v>32</v>
      </c>
      <c r="L1702" s="1"/>
      <c r="M1702" s="1"/>
      <c r="N1702" s="1"/>
      <c r="O1702" s="1"/>
      <c r="P1702" s="1"/>
      <c r="Q1702" s="1" t="s">
        <v>1277</v>
      </c>
      <c r="R1702" s="1" t="s">
        <v>1277</v>
      </c>
      <c r="S1702" s="5">
        <v>5</v>
      </c>
    </row>
    <row r="1703" spans="1:19" x14ac:dyDescent="0.25">
      <c r="A1703" s="1" t="s">
        <v>1071</v>
      </c>
      <c r="B1703" s="1" t="s">
        <v>1277</v>
      </c>
      <c r="C1703" s="5">
        <v>4</v>
      </c>
      <c r="D1703" s="1" t="s">
        <v>1125</v>
      </c>
      <c r="E1703" s="1" t="s">
        <v>965</v>
      </c>
      <c r="F1703" s="5" t="s">
        <v>26</v>
      </c>
      <c r="G1703" s="5">
        <v>10</v>
      </c>
      <c r="H1703" s="5">
        <v>20</v>
      </c>
      <c r="I1703" s="5" t="b">
        <v>0</v>
      </c>
      <c r="J1703" s="1" t="s">
        <v>1237</v>
      </c>
      <c r="K1703" s="1" t="s">
        <v>32</v>
      </c>
      <c r="L1703" s="1" t="s">
        <v>716</v>
      </c>
      <c r="M1703" s="1" t="s">
        <v>1138</v>
      </c>
      <c r="N1703" s="1"/>
      <c r="O1703" s="1"/>
      <c r="P1703" s="1"/>
      <c r="Q1703" s="1" t="s">
        <v>1277</v>
      </c>
      <c r="R1703" s="1" t="s">
        <v>1277</v>
      </c>
      <c r="S1703" s="5">
        <v>8</v>
      </c>
    </row>
    <row r="1704" spans="1:19" x14ac:dyDescent="0.25">
      <c r="A1704" s="1" t="s">
        <v>1071</v>
      </c>
      <c r="B1704" s="1" t="s">
        <v>1277</v>
      </c>
      <c r="C1704" s="5">
        <v>4</v>
      </c>
      <c r="D1704" s="1" t="s">
        <v>1393</v>
      </c>
      <c r="E1704" s="1" t="s">
        <v>915</v>
      </c>
      <c r="F1704" s="5" t="s">
        <v>26</v>
      </c>
      <c r="G1704" s="5">
        <v>30</v>
      </c>
      <c r="H1704" s="5">
        <v>40</v>
      </c>
      <c r="I1704" s="5" t="b">
        <v>0</v>
      </c>
      <c r="J1704" s="1" t="s">
        <v>1238</v>
      </c>
      <c r="K1704" s="1" t="s">
        <v>32</v>
      </c>
      <c r="L1704" s="1" t="s">
        <v>716</v>
      </c>
      <c r="M1704" s="1" t="s">
        <v>1138</v>
      </c>
      <c r="N1704" s="1"/>
      <c r="O1704" s="1"/>
      <c r="P1704" s="1"/>
      <c r="Q1704" s="1" t="s">
        <v>1277</v>
      </c>
      <c r="R1704" s="1" t="s">
        <v>1277</v>
      </c>
      <c r="S1704" s="5">
        <v>11</v>
      </c>
    </row>
    <row r="1705" spans="1:19" x14ac:dyDescent="0.25">
      <c r="A1705" s="1" t="s">
        <v>1071</v>
      </c>
      <c r="B1705" s="1" t="s">
        <v>1277</v>
      </c>
      <c r="C1705" s="5">
        <v>4</v>
      </c>
      <c r="D1705" s="1" t="s">
        <v>1281</v>
      </c>
      <c r="E1705" s="1" t="s">
        <v>928</v>
      </c>
      <c r="F1705" s="5" t="s">
        <v>26</v>
      </c>
      <c r="G1705" s="5">
        <v>40</v>
      </c>
      <c r="H1705" s="5">
        <v>50</v>
      </c>
      <c r="I1705" s="5" t="b">
        <v>0</v>
      </c>
      <c r="J1705" s="1" t="s">
        <v>1282</v>
      </c>
      <c r="K1705" s="1" t="s">
        <v>32</v>
      </c>
      <c r="L1705" s="1"/>
      <c r="M1705" s="1"/>
      <c r="N1705" s="1"/>
      <c r="O1705" s="1"/>
      <c r="P1705" s="1"/>
      <c r="Q1705" s="1" t="s">
        <v>1277</v>
      </c>
      <c r="R1705" s="1" t="s">
        <v>1277</v>
      </c>
      <c r="S1705" s="5">
        <v>18</v>
      </c>
    </row>
    <row r="1706" spans="1:19" x14ac:dyDescent="0.25">
      <c r="A1706" s="1" t="s">
        <v>1071</v>
      </c>
      <c r="B1706" s="1" t="s">
        <v>1277</v>
      </c>
      <c r="C1706" s="5">
        <v>5</v>
      </c>
      <c r="D1706" s="1" t="s">
        <v>11</v>
      </c>
      <c r="E1706" s="1" t="s">
        <v>1286</v>
      </c>
      <c r="F1706" s="5" t="s">
        <v>25</v>
      </c>
      <c r="G1706" s="5">
        <v>20</v>
      </c>
      <c r="H1706" s="5">
        <v>25</v>
      </c>
      <c r="I1706" s="5" t="b">
        <v>1</v>
      </c>
      <c r="J1706" s="1" t="s">
        <v>0</v>
      </c>
      <c r="K1706" s="1" t="s">
        <v>32</v>
      </c>
      <c r="L1706" s="1" t="s">
        <v>716</v>
      </c>
      <c r="M1706" s="1" t="s">
        <v>1138</v>
      </c>
      <c r="N1706" s="1"/>
      <c r="O1706" s="1"/>
      <c r="P1706" s="1"/>
      <c r="Q1706" s="1" t="s">
        <v>1277</v>
      </c>
      <c r="R1706" s="1" t="s">
        <v>1277</v>
      </c>
      <c r="S1706" s="5">
        <v>1</v>
      </c>
    </row>
    <row r="1707" spans="1:19" x14ac:dyDescent="0.25">
      <c r="A1707" s="1" t="s">
        <v>1071</v>
      </c>
      <c r="B1707" s="1" t="s">
        <v>1277</v>
      </c>
      <c r="C1707" s="5">
        <v>5</v>
      </c>
      <c r="D1707" s="1" t="s">
        <v>13</v>
      </c>
      <c r="E1707" s="1" t="s">
        <v>725</v>
      </c>
      <c r="F1707" s="5" t="s">
        <v>25</v>
      </c>
      <c r="G1707" s="5">
        <v>0</v>
      </c>
      <c r="H1707" s="5">
        <v>1</v>
      </c>
      <c r="I1707" s="5" t="b">
        <v>1</v>
      </c>
      <c r="J1707" s="1" t="s">
        <v>10</v>
      </c>
      <c r="K1707" s="1" t="s">
        <v>32</v>
      </c>
      <c r="L1707" s="1" t="s">
        <v>716</v>
      </c>
      <c r="M1707" s="1" t="s">
        <v>1138</v>
      </c>
      <c r="N1707" s="1"/>
      <c r="O1707" s="1"/>
      <c r="P1707" s="1"/>
      <c r="Q1707" s="1" t="s">
        <v>1277</v>
      </c>
      <c r="R1707" s="1" t="s">
        <v>1277</v>
      </c>
      <c r="S1707" s="5">
        <v>3</v>
      </c>
    </row>
    <row r="1708" spans="1:19" x14ac:dyDescent="0.25">
      <c r="A1708" s="1" t="s">
        <v>1071</v>
      </c>
      <c r="B1708" s="1" t="s">
        <v>1277</v>
      </c>
      <c r="C1708" s="5">
        <v>5</v>
      </c>
      <c r="D1708" s="1" t="s">
        <v>1125</v>
      </c>
      <c r="E1708" s="1" t="s">
        <v>915</v>
      </c>
      <c r="F1708" s="5" t="s">
        <v>26</v>
      </c>
      <c r="G1708" s="5">
        <v>30</v>
      </c>
      <c r="H1708" s="5">
        <v>40</v>
      </c>
      <c r="I1708" s="5" t="b">
        <v>0</v>
      </c>
      <c r="J1708" s="1" t="s">
        <v>1237</v>
      </c>
      <c r="K1708" s="1" t="s">
        <v>32</v>
      </c>
      <c r="L1708" s="1" t="s">
        <v>716</v>
      </c>
      <c r="M1708" s="1" t="s">
        <v>1138</v>
      </c>
      <c r="N1708" s="1"/>
      <c r="O1708" s="1"/>
      <c r="P1708" s="1"/>
      <c r="Q1708" s="1" t="s">
        <v>1277</v>
      </c>
      <c r="R1708" s="1" t="s">
        <v>1277</v>
      </c>
      <c r="S1708" s="5">
        <v>8</v>
      </c>
    </row>
    <row r="1709" spans="1:19" x14ac:dyDescent="0.25">
      <c r="A1709" s="1" t="s">
        <v>1071</v>
      </c>
      <c r="B1709" s="1" t="s">
        <v>1277</v>
      </c>
      <c r="C1709" s="5">
        <v>5</v>
      </c>
      <c r="D1709" s="1" t="s">
        <v>1393</v>
      </c>
      <c r="E1709" s="1" t="s">
        <v>936</v>
      </c>
      <c r="F1709" s="5" t="s">
        <v>26</v>
      </c>
      <c r="G1709" s="5">
        <v>45</v>
      </c>
      <c r="H1709" s="5">
        <v>55</v>
      </c>
      <c r="I1709" s="5" t="b">
        <v>0</v>
      </c>
      <c r="J1709" s="1" t="s">
        <v>1238</v>
      </c>
      <c r="K1709" s="1" t="s">
        <v>32</v>
      </c>
      <c r="L1709" s="1" t="s">
        <v>716</v>
      </c>
      <c r="M1709" s="1" t="s">
        <v>1138</v>
      </c>
      <c r="N1709" s="1"/>
      <c r="O1709" s="1"/>
      <c r="P1709" s="1"/>
      <c r="Q1709" s="1" t="s">
        <v>1277</v>
      </c>
      <c r="R1709" s="1" t="s">
        <v>1277</v>
      </c>
      <c r="S1709" s="5">
        <v>11</v>
      </c>
    </row>
    <row r="1710" spans="1:19" x14ac:dyDescent="0.25">
      <c r="A1710" s="1" t="s">
        <v>1071</v>
      </c>
      <c r="B1710" s="1" t="s">
        <v>1277</v>
      </c>
      <c r="C1710" s="5">
        <v>5</v>
      </c>
      <c r="D1710" s="1" t="s">
        <v>1281</v>
      </c>
      <c r="E1710" s="1" t="s">
        <v>935</v>
      </c>
      <c r="F1710" s="5" t="s">
        <v>26</v>
      </c>
      <c r="G1710" s="5">
        <v>55</v>
      </c>
      <c r="H1710" s="5">
        <v>65</v>
      </c>
      <c r="I1710" s="5" t="b">
        <v>0</v>
      </c>
      <c r="J1710" s="1" t="s">
        <v>1282</v>
      </c>
      <c r="K1710" s="1" t="s">
        <v>32</v>
      </c>
      <c r="L1710" s="1" t="s">
        <v>716</v>
      </c>
      <c r="M1710" s="1" t="s">
        <v>1138</v>
      </c>
      <c r="N1710" s="1"/>
      <c r="O1710" s="1"/>
      <c r="P1710" s="1"/>
      <c r="Q1710" s="1" t="s">
        <v>1277</v>
      </c>
      <c r="R1710" s="1" t="s">
        <v>1277</v>
      </c>
      <c r="S1710" s="5">
        <v>18</v>
      </c>
    </row>
    <row r="1711" spans="1:19" x14ac:dyDescent="0.25">
      <c r="A1711" s="1" t="s">
        <v>1071</v>
      </c>
      <c r="B1711" s="1" t="s">
        <v>1287</v>
      </c>
      <c r="C1711" s="5">
        <v>2</v>
      </c>
      <c r="D1711" s="1" t="s">
        <v>11</v>
      </c>
      <c r="E1711" s="1" t="s">
        <v>961</v>
      </c>
      <c r="F1711" s="5" t="s">
        <v>24</v>
      </c>
      <c r="G1711" s="5">
        <v>45</v>
      </c>
      <c r="H1711" s="5">
        <v>55</v>
      </c>
      <c r="I1711" s="5" t="b">
        <v>1</v>
      </c>
      <c r="J1711" s="1" t="s">
        <v>0</v>
      </c>
      <c r="K1711" s="1" t="s">
        <v>32</v>
      </c>
      <c r="L1711" s="1"/>
      <c r="M1711" s="1"/>
      <c r="N1711" s="1"/>
      <c r="O1711" s="1"/>
      <c r="P1711" s="1"/>
      <c r="Q1711" s="1" t="s">
        <v>1287</v>
      </c>
      <c r="R1711" s="1" t="s">
        <v>1287</v>
      </c>
      <c r="S1711" s="5">
        <v>1</v>
      </c>
    </row>
    <row r="1712" spans="1:19" x14ac:dyDescent="0.25">
      <c r="A1712" s="1" t="s">
        <v>1071</v>
      </c>
      <c r="B1712" s="1" t="s">
        <v>1287</v>
      </c>
      <c r="C1712" s="5">
        <v>2</v>
      </c>
      <c r="D1712" s="1" t="s">
        <v>1228</v>
      </c>
      <c r="E1712" s="1" t="s">
        <v>964</v>
      </c>
      <c r="F1712" s="5" t="s">
        <v>25</v>
      </c>
      <c r="G1712" s="5">
        <v>2</v>
      </c>
      <c r="H1712" s="5">
        <v>3</v>
      </c>
      <c r="I1712" s="5" t="b">
        <v>1</v>
      </c>
      <c r="J1712" s="1" t="s">
        <v>1229</v>
      </c>
      <c r="K1712" s="1" t="s">
        <v>32</v>
      </c>
      <c r="L1712" s="1"/>
      <c r="M1712" s="1"/>
      <c r="N1712" s="1"/>
      <c r="O1712" s="1"/>
      <c r="P1712" s="1"/>
      <c r="Q1712" s="1" t="s">
        <v>1287</v>
      </c>
      <c r="R1712" s="1" t="s">
        <v>1287</v>
      </c>
      <c r="S1712" s="5">
        <v>2</v>
      </c>
    </row>
    <row r="1713" spans="1:19" x14ac:dyDescent="0.25">
      <c r="A1713" s="1" t="s">
        <v>1071</v>
      </c>
      <c r="B1713" s="1" t="s">
        <v>1287</v>
      </c>
      <c r="C1713" s="5">
        <v>2</v>
      </c>
      <c r="D1713" s="1" t="s">
        <v>13</v>
      </c>
      <c r="E1713" s="1" t="s">
        <v>954</v>
      </c>
      <c r="F1713" s="5" t="s">
        <v>25</v>
      </c>
      <c r="G1713" s="5">
        <v>20</v>
      </c>
      <c r="H1713" s="5">
        <v>25</v>
      </c>
      <c r="I1713" s="5" t="b">
        <v>1</v>
      </c>
      <c r="J1713" s="1" t="s">
        <v>10</v>
      </c>
      <c r="K1713" s="1" t="s">
        <v>32</v>
      </c>
      <c r="L1713" s="1"/>
      <c r="M1713" s="1"/>
      <c r="N1713" s="1"/>
      <c r="O1713" s="1"/>
      <c r="P1713" s="1"/>
      <c r="Q1713" s="1" t="s">
        <v>1287</v>
      </c>
      <c r="R1713" s="1" t="s">
        <v>1287</v>
      </c>
      <c r="S1713" s="5">
        <v>3</v>
      </c>
    </row>
    <row r="1714" spans="1:19" x14ac:dyDescent="0.25">
      <c r="A1714" s="1" t="s">
        <v>1071</v>
      </c>
      <c r="B1714" s="1" t="s">
        <v>1287</v>
      </c>
      <c r="C1714" s="5">
        <v>2</v>
      </c>
      <c r="D1714" s="1" t="s">
        <v>1231</v>
      </c>
      <c r="E1714" s="1" t="s">
        <v>942</v>
      </c>
      <c r="F1714" s="5" t="s">
        <v>25</v>
      </c>
      <c r="G1714" s="5">
        <v>3</v>
      </c>
      <c r="H1714" s="5">
        <v>8</v>
      </c>
      <c r="I1714" s="5" t="b">
        <v>1</v>
      </c>
      <c r="J1714" s="1" t="s">
        <v>1232</v>
      </c>
      <c r="K1714" s="1" t="s">
        <v>32</v>
      </c>
      <c r="L1714" s="1"/>
      <c r="M1714" s="1"/>
      <c r="N1714" s="1"/>
      <c r="O1714" s="1"/>
      <c r="P1714" s="1"/>
      <c r="Q1714" s="1" t="s">
        <v>1287</v>
      </c>
      <c r="R1714" s="1" t="s">
        <v>1287</v>
      </c>
      <c r="S1714" s="5">
        <v>4</v>
      </c>
    </row>
    <row r="1715" spans="1:19" x14ac:dyDescent="0.25">
      <c r="A1715" s="1" t="s">
        <v>1071</v>
      </c>
      <c r="B1715" s="1" t="s">
        <v>1287</v>
      </c>
      <c r="C1715" s="5">
        <v>2</v>
      </c>
      <c r="D1715" s="1" t="s">
        <v>29</v>
      </c>
      <c r="E1715" s="1" t="s">
        <v>1083</v>
      </c>
      <c r="F1715" s="5" t="s">
        <v>25</v>
      </c>
      <c r="G1715" s="5">
        <v>13</v>
      </c>
      <c r="H1715" s="5">
        <v>20</v>
      </c>
      <c r="I1715" s="5" t="b">
        <v>1</v>
      </c>
      <c r="J1715" s="1" t="s">
        <v>1121</v>
      </c>
      <c r="K1715" s="1" t="s">
        <v>32</v>
      </c>
      <c r="L1715" s="1"/>
      <c r="M1715" s="1"/>
      <c r="N1715" s="1"/>
      <c r="O1715" s="1"/>
      <c r="P1715" s="1"/>
      <c r="Q1715" s="1" t="s">
        <v>1287</v>
      </c>
      <c r="R1715" s="1" t="s">
        <v>1287</v>
      </c>
      <c r="S1715" s="5">
        <v>5</v>
      </c>
    </row>
    <row r="1716" spans="1:19" x14ac:dyDescent="0.25">
      <c r="A1716" s="1" t="s">
        <v>1071</v>
      </c>
      <c r="B1716" s="1" t="s">
        <v>1287</v>
      </c>
      <c r="C1716" s="5">
        <v>2</v>
      </c>
      <c r="D1716" s="1" t="s">
        <v>35</v>
      </c>
      <c r="E1716" s="1" t="s">
        <v>1288</v>
      </c>
      <c r="F1716" s="5" t="s">
        <v>24</v>
      </c>
      <c r="G1716" s="5">
        <v>16</v>
      </c>
      <c r="H1716" s="5">
        <v>26</v>
      </c>
      <c r="I1716" s="5" t="b">
        <v>1</v>
      </c>
      <c r="J1716" s="1" t="s">
        <v>1289</v>
      </c>
      <c r="K1716" s="1" t="s">
        <v>32</v>
      </c>
      <c r="L1716" s="1"/>
      <c r="M1716" s="1"/>
      <c r="N1716" s="1"/>
      <c r="O1716" s="1"/>
      <c r="P1716" s="1"/>
      <c r="Q1716" s="1" t="s">
        <v>1287</v>
      </c>
      <c r="R1716" s="1" t="s">
        <v>1287</v>
      </c>
      <c r="S1716" s="5">
        <v>7</v>
      </c>
    </row>
    <row r="1717" spans="1:19" x14ac:dyDescent="0.25">
      <c r="A1717" s="1" t="s">
        <v>1071</v>
      </c>
      <c r="B1717" s="1" t="s">
        <v>1287</v>
      </c>
      <c r="C1717" s="5">
        <v>2</v>
      </c>
      <c r="D1717" s="1" t="s">
        <v>1125</v>
      </c>
      <c r="E1717" s="1" t="s">
        <v>1291</v>
      </c>
      <c r="F1717" s="5" t="s">
        <v>26</v>
      </c>
      <c r="G1717" s="5">
        <v>1</v>
      </c>
      <c r="H1717" s="5">
        <v>5</v>
      </c>
      <c r="I1717" s="5" t="b">
        <v>0</v>
      </c>
      <c r="J1717" s="1" t="s">
        <v>1237</v>
      </c>
      <c r="K1717" s="1" t="s">
        <v>32</v>
      </c>
      <c r="L1717" s="1"/>
      <c r="M1717" s="1"/>
      <c r="N1717" s="1"/>
      <c r="O1717" s="1"/>
      <c r="P1717" s="1"/>
      <c r="Q1717" s="1" t="s">
        <v>1287</v>
      </c>
      <c r="R1717" s="1" t="s">
        <v>1287</v>
      </c>
      <c r="S1717" s="5">
        <v>8</v>
      </c>
    </row>
    <row r="1718" spans="1:19" x14ac:dyDescent="0.25">
      <c r="A1718" s="1" t="s">
        <v>1071</v>
      </c>
      <c r="B1718" s="1" t="s">
        <v>1287</v>
      </c>
      <c r="C1718" s="5">
        <v>2</v>
      </c>
      <c r="D1718" s="1" t="s">
        <v>1161</v>
      </c>
      <c r="E1718" s="1" t="s">
        <v>1239</v>
      </c>
      <c r="F1718" s="5" t="s">
        <v>27</v>
      </c>
      <c r="G1718" s="5">
        <v>0</v>
      </c>
      <c r="H1718" s="5">
        <v>1</v>
      </c>
      <c r="I1718" s="5" t="b">
        <v>0</v>
      </c>
      <c r="J1718" s="1" t="s">
        <v>1240</v>
      </c>
      <c r="K1718" s="1" t="s">
        <v>32</v>
      </c>
      <c r="L1718" s="1"/>
      <c r="M1718" s="1"/>
      <c r="N1718" s="1"/>
      <c r="O1718" s="1"/>
      <c r="P1718" s="1"/>
      <c r="Q1718" s="1" t="s">
        <v>1287</v>
      </c>
      <c r="R1718" s="1" t="s">
        <v>1287</v>
      </c>
      <c r="S1718" s="5">
        <v>10</v>
      </c>
    </row>
    <row r="1719" spans="1:19" x14ac:dyDescent="0.25">
      <c r="A1719" s="1" t="s">
        <v>1071</v>
      </c>
      <c r="B1719" s="1" t="s">
        <v>1287</v>
      </c>
      <c r="C1719" s="5">
        <v>2</v>
      </c>
      <c r="D1719" s="1" t="s">
        <v>1393</v>
      </c>
      <c r="E1719" s="1" t="s">
        <v>1292</v>
      </c>
      <c r="F1719" s="5" t="s">
        <v>27</v>
      </c>
      <c r="G1719" s="5">
        <v>10</v>
      </c>
      <c r="H1719" s="5">
        <v>15</v>
      </c>
      <c r="I1719" s="5" t="b">
        <v>0</v>
      </c>
      <c r="J1719" s="1" t="s">
        <v>1238</v>
      </c>
      <c r="K1719" s="1" t="s">
        <v>32</v>
      </c>
      <c r="L1719" s="1"/>
      <c r="M1719" s="1"/>
      <c r="N1719" s="1"/>
      <c r="O1719" s="1"/>
      <c r="P1719" s="1"/>
      <c r="Q1719" s="1" t="s">
        <v>1287</v>
      </c>
      <c r="R1719" s="1" t="s">
        <v>1287</v>
      </c>
      <c r="S1719" s="5">
        <v>11</v>
      </c>
    </row>
    <row r="1720" spans="1:19" x14ac:dyDescent="0.25">
      <c r="A1720" s="1" t="s">
        <v>1071</v>
      </c>
      <c r="B1720" s="1" t="s">
        <v>1287</v>
      </c>
      <c r="C1720" s="5">
        <v>2</v>
      </c>
      <c r="D1720" s="1" t="s">
        <v>342</v>
      </c>
      <c r="E1720" s="1" t="s">
        <v>1290</v>
      </c>
      <c r="F1720" s="5" t="s">
        <v>25</v>
      </c>
      <c r="G1720" s="5">
        <v>4</v>
      </c>
      <c r="H1720" s="5">
        <v>4.5</v>
      </c>
      <c r="I1720" s="5" t="b">
        <v>1</v>
      </c>
      <c r="J1720" s="1" t="s">
        <v>480</v>
      </c>
      <c r="K1720" s="1" t="s">
        <v>32</v>
      </c>
      <c r="L1720" s="1"/>
      <c r="M1720" s="1"/>
      <c r="N1720" s="1"/>
      <c r="O1720" s="1"/>
      <c r="P1720" s="1"/>
      <c r="Q1720" s="1" t="s">
        <v>1287</v>
      </c>
      <c r="R1720" s="1" t="s">
        <v>1287</v>
      </c>
      <c r="S1720" s="5">
        <v>12</v>
      </c>
    </row>
    <row r="1721" spans="1:19" x14ac:dyDescent="0.25">
      <c r="A1721" s="1" t="s">
        <v>1071</v>
      </c>
      <c r="B1721" s="1" t="s">
        <v>1287</v>
      </c>
      <c r="C1721" s="5">
        <v>3</v>
      </c>
      <c r="D1721" s="1" t="s">
        <v>11</v>
      </c>
      <c r="E1721" s="1" t="s">
        <v>919</v>
      </c>
      <c r="F1721" s="5" t="s">
        <v>24</v>
      </c>
      <c r="G1721" s="5">
        <v>35</v>
      </c>
      <c r="H1721" s="5">
        <v>45</v>
      </c>
      <c r="I1721" s="5" t="b">
        <v>1</v>
      </c>
      <c r="J1721" s="1" t="s">
        <v>0</v>
      </c>
      <c r="K1721" s="1" t="s">
        <v>32</v>
      </c>
      <c r="L1721" s="1" t="s">
        <v>716</v>
      </c>
      <c r="M1721" s="1" t="s">
        <v>1138</v>
      </c>
      <c r="N1721" s="1"/>
      <c r="O1721" s="1"/>
      <c r="P1721" s="1"/>
      <c r="Q1721" s="1" t="s">
        <v>1287</v>
      </c>
      <c r="R1721" s="1" t="s">
        <v>1287</v>
      </c>
      <c r="S1721" s="5">
        <v>1</v>
      </c>
    </row>
    <row r="1722" spans="1:19" x14ac:dyDescent="0.25">
      <c r="A1722" s="1" t="s">
        <v>1071</v>
      </c>
      <c r="B1722" s="1" t="s">
        <v>1287</v>
      </c>
      <c r="C1722" s="5">
        <v>3</v>
      </c>
      <c r="D1722" s="1" t="s">
        <v>1228</v>
      </c>
      <c r="E1722" s="1" t="s">
        <v>964</v>
      </c>
      <c r="F1722" s="5" t="s">
        <v>25</v>
      </c>
      <c r="G1722" s="5">
        <v>2</v>
      </c>
      <c r="H1722" s="5">
        <v>3</v>
      </c>
      <c r="I1722" s="5" t="b">
        <v>1</v>
      </c>
      <c r="J1722" s="1" t="s">
        <v>1229</v>
      </c>
      <c r="K1722" s="1" t="s">
        <v>32</v>
      </c>
      <c r="L1722" s="1"/>
      <c r="M1722" s="1"/>
      <c r="N1722" s="1"/>
      <c r="O1722" s="1"/>
      <c r="P1722" s="1"/>
      <c r="Q1722" s="1" t="s">
        <v>1287</v>
      </c>
      <c r="R1722" s="1" t="s">
        <v>1287</v>
      </c>
      <c r="S1722" s="5">
        <v>2</v>
      </c>
    </row>
    <row r="1723" spans="1:19" x14ac:dyDescent="0.25">
      <c r="A1723" s="1" t="s">
        <v>1071</v>
      </c>
      <c r="B1723" s="1" t="s">
        <v>1287</v>
      </c>
      <c r="C1723" s="5">
        <v>3</v>
      </c>
      <c r="D1723" s="1" t="s">
        <v>13</v>
      </c>
      <c r="E1723" s="1" t="s">
        <v>1283</v>
      </c>
      <c r="F1723" s="5" t="s">
        <v>25</v>
      </c>
      <c r="G1723" s="5">
        <v>12</v>
      </c>
      <c r="H1723" s="5">
        <v>19</v>
      </c>
      <c r="I1723" s="5" t="b">
        <v>1</v>
      </c>
      <c r="J1723" s="1" t="s">
        <v>10</v>
      </c>
      <c r="K1723" s="1" t="s">
        <v>32</v>
      </c>
      <c r="L1723" s="1"/>
      <c r="M1723" s="1"/>
      <c r="N1723" s="1"/>
      <c r="O1723" s="1"/>
      <c r="P1723" s="1"/>
      <c r="Q1723" s="1" t="s">
        <v>1287</v>
      </c>
      <c r="R1723" s="1" t="s">
        <v>1287</v>
      </c>
      <c r="S1723" s="5">
        <v>3</v>
      </c>
    </row>
    <row r="1724" spans="1:19" x14ac:dyDescent="0.25">
      <c r="A1724" s="1" t="s">
        <v>1071</v>
      </c>
      <c r="B1724" s="1" t="s">
        <v>1287</v>
      </c>
      <c r="C1724" s="5">
        <v>3</v>
      </c>
      <c r="D1724" s="1" t="s">
        <v>1231</v>
      </c>
      <c r="E1724" s="1" t="s">
        <v>923</v>
      </c>
      <c r="F1724" s="5" t="s">
        <v>25</v>
      </c>
      <c r="G1724" s="5">
        <v>0</v>
      </c>
      <c r="H1724" s="5">
        <v>3</v>
      </c>
      <c r="I1724" s="5" t="b">
        <v>1</v>
      </c>
      <c r="J1724" s="1" t="s">
        <v>1232</v>
      </c>
      <c r="K1724" s="1" t="s">
        <v>32</v>
      </c>
      <c r="L1724" s="1" t="s">
        <v>716</v>
      </c>
      <c r="M1724" s="1" t="s">
        <v>1138</v>
      </c>
      <c r="N1724" s="1"/>
      <c r="O1724" s="1"/>
      <c r="P1724" s="1"/>
      <c r="Q1724" s="1" t="s">
        <v>1287</v>
      </c>
      <c r="R1724" s="1" t="s">
        <v>1287</v>
      </c>
      <c r="S1724" s="5">
        <v>4</v>
      </c>
    </row>
    <row r="1725" spans="1:19" x14ac:dyDescent="0.25">
      <c r="A1725" s="1" t="s">
        <v>1071</v>
      </c>
      <c r="B1725" s="1" t="s">
        <v>1287</v>
      </c>
      <c r="C1725" s="5">
        <v>3</v>
      </c>
      <c r="D1725" s="1" t="s">
        <v>29</v>
      </c>
      <c r="E1725" s="1" t="s">
        <v>1250</v>
      </c>
      <c r="F1725" s="5" t="s">
        <v>25</v>
      </c>
      <c r="G1725" s="5">
        <v>6</v>
      </c>
      <c r="H1725" s="5">
        <v>11</v>
      </c>
      <c r="I1725" s="5" t="b">
        <v>1</v>
      </c>
      <c r="J1725" s="1" t="s">
        <v>1121</v>
      </c>
      <c r="K1725" s="1" t="s">
        <v>32</v>
      </c>
      <c r="L1725" s="1"/>
      <c r="M1725" s="1"/>
      <c r="N1725" s="1"/>
      <c r="O1725" s="1"/>
      <c r="P1725" s="1"/>
      <c r="Q1725" s="1" t="s">
        <v>1287</v>
      </c>
      <c r="R1725" s="1" t="s">
        <v>1287</v>
      </c>
      <c r="S1725" s="5">
        <v>5</v>
      </c>
    </row>
    <row r="1726" spans="1:19" x14ac:dyDescent="0.25">
      <c r="A1726" s="1" t="s">
        <v>1071</v>
      </c>
      <c r="B1726" s="1" t="s">
        <v>1287</v>
      </c>
      <c r="C1726" s="5">
        <v>3</v>
      </c>
      <c r="D1726" s="1" t="s">
        <v>35</v>
      </c>
      <c r="E1726" s="1" t="s">
        <v>967</v>
      </c>
      <c r="F1726" s="5" t="s">
        <v>24</v>
      </c>
      <c r="G1726" s="5">
        <v>9</v>
      </c>
      <c r="H1726" s="5">
        <v>15</v>
      </c>
      <c r="I1726" s="5" t="b">
        <v>1</v>
      </c>
      <c r="J1726" s="1" t="s">
        <v>1289</v>
      </c>
      <c r="K1726" s="1" t="s">
        <v>32</v>
      </c>
      <c r="L1726" s="1" t="s">
        <v>716</v>
      </c>
      <c r="M1726" s="1" t="s">
        <v>1138</v>
      </c>
      <c r="N1726" s="1"/>
      <c r="O1726" s="1"/>
      <c r="P1726" s="1"/>
      <c r="Q1726" s="1" t="s">
        <v>1287</v>
      </c>
      <c r="R1726" s="1" t="s">
        <v>1287</v>
      </c>
      <c r="S1726" s="5">
        <v>7</v>
      </c>
    </row>
    <row r="1727" spans="1:19" x14ac:dyDescent="0.25">
      <c r="A1727" s="1" t="s">
        <v>1071</v>
      </c>
      <c r="B1727" s="1" t="s">
        <v>1287</v>
      </c>
      <c r="C1727" s="5">
        <v>3</v>
      </c>
      <c r="D1727" s="1" t="s">
        <v>1125</v>
      </c>
      <c r="E1727" s="1" t="s">
        <v>1294</v>
      </c>
      <c r="F1727" s="5" t="s">
        <v>27</v>
      </c>
      <c r="G1727" s="5">
        <v>5</v>
      </c>
      <c r="H1727" s="5">
        <v>8</v>
      </c>
      <c r="I1727" s="5" t="b">
        <v>0</v>
      </c>
      <c r="J1727" s="1" t="s">
        <v>1237</v>
      </c>
      <c r="K1727" s="1" t="s">
        <v>32</v>
      </c>
      <c r="L1727" s="1" t="s">
        <v>716</v>
      </c>
      <c r="M1727" s="1" t="s">
        <v>1138</v>
      </c>
      <c r="N1727" s="1"/>
      <c r="O1727" s="1"/>
      <c r="P1727" s="1"/>
      <c r="Q1727" s="1" t="s">
        <v>1287</v>
      </c>
      <c r="R1727" s="1" t="s">
        <v>1287</v>
      </c>
      <c r="S1727" s="5">
        <v>8</v>
      </c>
    </row>
    <row r="1728" spans="1:19" x14ac:dyDescent="0.25">
      <c r="A1728" s="1" t="s">
        <v>1071</v>
      </c>
      <c r="B1728" s="1" t="s">
        <v>1287</v>
      </c>
      <c r="C1728" s="5">
        <v>3</v>
      </c>
      <c r="D1728" s="1" t="s">
        <v>1393</v>
      </c>
      <c r="E1728" s="1" t="s">
        <v>971</v>
      </c>
      <c r="F1728" s="5" t="s">
        <v>26</v>
      </c>
      <c r="G1728" s="5">
        <v>15</v>
      </c>
      <c r="H1728" s="5">
        <v>25</v>
      </c>
      <c r="I1728" s="5" t="b">
        <v>0</v>
      </c>
      <c r="J1728" s="1" t="s">
        <v>1238</v>
      </c>
      <c r="K1728" s="1" t="s">
        <v>32</v>
      </c>
      <c r="L1728" s="1" t="s">
        <v>716</v>
      </c>
      <c r="M1728" s="1" t="s">
        <v>1138</v>
      </c>
      <c r="N1728" s="1"/>
      <c r="O1728" s="1"/>
      <c r="P1728" s="1"/>
      <c r="Q1728" s="1" t="s">
        <v>1287</v>
      </c>
      <c r="R1728" s="1" t="s">
        <v>1287</v>
      </c>
      <c r="S1728" s="5">
        <v>11</v>
      </c>
    </row>
    <row r="1729" spans="1:19" x14ac:dyDescent="0.25">
      <c r="A1729" s="1" t="s">
        <v>1071</v>
      </c>
      <c r="B1729" s="1" t="s">
        <v>1287</v>
      </c>
      <c r="C1729" s="5">
        <v>3</v>
      </c>
      <c r="D1729" s="1" t="s">
        <v>342</v>
      </c>
      <c r="E1729" s="1" t="s">
        <v>1293</v>
      </c>
      <c r="F1729" s="5" t="s">
        <v>24</v>
      </c>
      <c r="G1729" s="5">
        <v>3.4</v>
      </c>
      <c r="H1729" s="5">
        <v>4</v>
      </c>
      <c r="I1729" s="5" t="b">
        <v>1</v>
      </c>
      <c r="J1729" s="1" t="s">
        <v>480</v>
      </c>
      <c r="K1729" s="1" t="s">
        <v>32</v>
      </c>
      <c r="L1729" s="1" t="s">
        <v>716</v>
      </c>
      <c r="M1729" s="1" t="s">
        <v>1138</v>
      </c>
      <c r="N1729" s="1"/>
      <c r="O1729" s="1"/>
      <c r="P1729" s="1"/>
      <c r="Q1729" s="1" t="s">
        <v>1287</v>
      </c>
      <c r="R1729" s="1" t="s">
        <v>1287</v>
      </c>
      <c r="S1729" s="5">
        <v>12</v>
      </c>
    </row>
    <row r="1730" spans="1:19" x14ac:dyDescent="0.25">
      <c r="A1730" s="1" t="s">
        <v>1071</v>
      </c>
      <c r="B1730" s="1" t="s">
        <v>1287</v>
      </c>
      <c r="C1730" s="5">
        <v>4</v>
      </c>
      <c r="D1730" s="1" t="s">
        <v>11</v>
      </c>
      <c r="E1730" s="1" t="s">
        <v>932</v>
      </c>
      <c r="F1730" s="5" t="s">
        <v>25</v>
      </c>
      <c r="G1730" s="5">
        <v>25</v>
      </c>
      <c r="H1730" s="5">
        <v>30</v>
      </c>
      <c r="I1730" s="5" t="b">
        <v>1</v>
      </c>
      <c r="J1730" s="1" t="s">
        <v>0</v>
      </c>
      <c r="K1730" s="1" t="s">
        <v>32</v>
      </c>
      <c r="L1730" s="1" t="s">
        <v>716</v>
      </c>
      <c r="M1730" s="1" t="s">
        <v>1138</v>
      </c>
      <c r="N1730" s="1"/>
      <c r="O1730" s="1"/>
      <c r="P1730" s="1"/>
      <c r="Q1730" s="1" t="s">
        <v>1287</v>
      </c>
      <c r="R1730" s="1" t="s">
        <v>1287</v>
      </c>
      <c r="S1730" s="5">
        <v>1</v>
      </c>
    </row>
    <row r="1731" spans="1:19" x14ac:dyDescent="0.25">
      <c r="A1731" s="1" t="s">
        <v>1071</v>
      </c>
      <c r="B1731" s="1" t="s">
        <v>1287</v>
      </c>
      <c r="C1731" s="5">
        <v>4</v>
      </c>
      <c r="D1731" s="1" t="s">
        <v>1228</v>
      </c>
      <c r="E1731" s="1" t="s">
        <v>1243</v>
      </c>
      <c r="F1731" s="5" t="s">
        <v>25</v>
      </c>
      <c r="G1731" s="5">
        <v>-0.5</v>
      </c>
      <c r="H1731" s="5">
        <v>2</v>
      </c>
      <c r="I1731" s="5" t="b">
        <v>1</v>
      </c>
      <c r="J1731" s="1" t="s">
        <v>1229</v>
      </c>
      <c r="K1731" s="1" t="s">
        <v>32</v>
      </c>
      <c r="L1731" s="1"/>
      <c r="M1731" s="1"/>
      <c r="N1731" s="1"/>
      <c r="O1731" s="1"/>
      <c r="P1731" s="1"/>
      <c r="Q1731" s="1" t="s">
        <v>1287</v>
      </c>
      <c r="R1731" s="1" t="s">
        <v>1287</v>
      </c>
      <c r="S1731" s="5">
        <v>2</v>
      </c>
    </row>
    <row r="1732" spans="1:19" x14ac:dyDescent="0.25">
      <c r="A1732" s="1" t="s">
        <v>1071</v>
      </c>
      <c r="B1732" s="1" t="s">
        <v>1287</v>
      </c>
      <c r="C1732" s="5">
        <v>4</v>
      </c>
      <c r="D1732" s="1" t="s">
        <v>13</v>
      </c>
      <c r="E1732" s="1" t="s">
        <v>1250</v>
      </c>
      <c r="F1732" s="5" t="s">
        <v>25</v>
      </c>
      <c r="G1732" s="5">
        <v>6</v>
      </c>
      <c r="H1732" s="5">
        <v>11</v>
      </c>
      <c r="I1732" s="5" t="b">
        <v>1</v>
      </c>
      <c r="J1732" s="1" t="s">
        <v>10</v>
      </c>
      <c r="K1732" s="1" t="s">
        <v>32</v>
      </c>
      <c r="L1732" s="1"/>
      <c r="M1732" s="1"/>
      <c r="N1732" s="1"/>
      <c r="O1732" s="1"/>
      <c r="P1732" s="1"/>
      <c r="Q1732" s="1" t="s">
        <v>1287</v>
      </c>
      <c r="R1732" s="1" t="s">
        <v>1287</v>
      </c>
      <c r="S1732" s="5">
        <v>3</v>
      </c>
    </row>
    <row r="1733" spans="1:19" x14ac:dyDescent="0.25">
      <c r="A1733" s="1" t="s">
        <v>1071</v>
      </c>
      <c r="B1733" s="1" t="s">
        <v>1287</v>
      </c>
      <c r="C1733" s="5">
        <v>4</v>
      </c>
      <c r="D1733" s="1" t="s">
        <v>29</v>
      </c>
      <c r="E1733" s="1" t="s">
        <v>1273</v>
      </c>
      <c r="F1733" s="5" t="s">
        <v>25</v>
      </c>
      <c r="G1733" s="5">
        <v>1</v>
      </c>
      <c r="H1733" s="5">
        <v>6</v>
      </c>
      <c r="I1733" s="5" t="b">
        <v>1</v>
      </c>
      <c r="J1733" s="1" t="s">
        <v>1121</v>
      </c>
      <c r="K1733" s="1" t="s">
        <v>32</v>
      </c>
      <c r="L1733" s="1" t="s">
        <v>716</v>
      </c>
      <c r="M1733" s="1" t="s">
        <v>1138</v>
      </c>
      <c r="N1733" s="1"/>
      <c r="O1733" s="1"/>
      <c r="P1733" s="1"/>
      <c r="Q1733" s="1" t="s">
        <v>1287</v>
      </c>
      <c r="R1733" s="1" t="s">
        <v>1287</v>
      </c>
      <c r="S1733" s="5">
        <v>5</v>
      </c>
    </row>
    <row r="1734" spans="1:19" x14ac:dyDescent="0.25">
      <c r="A1734" s="1" t="s">
        <v>1071</v>
      </c>
      <c r="B1734" s="1" t="s">
        <v>1287</v>
      </c>
      <c r="C1734" s="5">
        <v>4</v>
      </c>
      <c r="D1734" s="1" t="s">
        <v>35</v>
      </c>
      <c r="E1734" s="1" t="s">
        <v>1273</v>
      </c>
      <c r="F1734" s="5" t="s">
        <v>25</v>
      </c>
      <c r="G1734" s="5">
        <v>1</v>
      </c>
      <c r="H1734" s="5">
        <v>6</v>
      </c>
      <c r="I1734" s="5" t="b">
        <v>1</v>
      </c>
      <c r="J1734" s="1" t="s">
        <v>1289</v>
      </c>
      <c r="K1734" s="1" t="s">
        <v>32</v>
      </c>
      <c r="L1734" s="1"/>
      <c r="M1734" s="1"/>
      <c r="N1734" s="1"/>
      <c r="O1734" s="1"/>
      <c r="P1734" s="1"/>
      <c r="Q1734" s="1" t="s">
        <v>1287</v>
      </c>
      <c r="R1734" s="1" t="s">
        <v>1287</v>
      </c>
      <c r="S1734" s="5">
        <v>7</v>
      </c>
    </row>
    <row r="1735" spans="1:19" x14ac:dyDescent="0.25">
      <c r="A1735" s="1" t="s">
        <v>1071</v>
      </c>
      <c r="B1735" s="1" t="s">
        <v>1287</v>
      </c>
      <c r="C1735" s="5">
        <v>4</v>
      </c>
      <c r="D1735" s="1" t="s">
        <v>1125</v>
      </c>
      <c r="E1735" s="1" t="s">
        <v>1295</v>
      </c>
      <c r="F1735" s="5" t="s">
        <v>27</v>
      </c>
      <c r="G1735" s="5">
        <v>8</v>
      </c>
      <c r="H1735" s="5">
        <v>13</v>
      </c>
      <c r="I1735" s="5" t="b">
        <v>0</v>
      </c>
      <c r="J1735" s="1" t="s">
        <v>1237</v>
      </c>
      <c r="K1735" s="1" t="s">
        <v>32</v>
      </c>
      <c r="L1735" s="1" t="s">
        <v>716</v>
      </c>
      <c r="M1735" s="1" t="s">
        <v>1138</v>
      </c>
      <c r="N1735" s="1"/>
      <c r="O1735" s="1"/>
      <c r="P1735" s="1"/>
      <c r="Q1735" s="1" t="s">
        <v>1287</v>
      </c>
      <c r="R1735" s="1" t="s">
        <v>1287</v>
      </c>
      <c r="S1735" s="5">
        <v>8</v>
      </c>
    </row>
    <row r="1736" spans="1:19" x14ac:dyDescent="0.25">
      <c r="A1736" s="1" t="s">
        <v>1071</v>
      </c>
      <c r="B1736" s="1" t="s">
        <v>1287</v>
      </c>
      <c r="C1736" s="5">
        <v>4</v>
      </c>
      <c r="D1736" s="1" t="s">
        <v>1393</v>
      </c>
      <c r="E1736" s="1" t="s">
        <v>960</v>
      </c>
      <c r="F1736" s="5" t="s">
        <v>26</v>
      </c>
      <c r="G1736" s="5">
        <v>25</v>
      </c>
      <c r="H1736" s="5">
        <v>35</v>
      </c>
      <c r="I1736" s="5" t="b">
        <v>0</v>
      </c>
      <c r="J1736" s="1" t="s">
        <v>1238</v>
      </c>
      <c r="K1736" s="1" t="s">
        <v>32</v>
      </c>
      <c r="L1736" s="1" t="s">
        <v>716</v>
      </c>
      <c r="M1736" s="1" t="s">
        <v>1138</v>
      </c>
      <c r="N1736" s="1"/>
      <c r="O1736" s="1"/>
      <c r="P1736" s="1"/>
      <c r="Q1736" s="1" t="s">
        <v>1287</v>
      </c>
      <c r="R1736" s="1" t="s">
        <v>1287</v>
      </c>
      <c r="S1736" s="5">
        <v>11</v>
      </c>
    </row>
    <row r="1737" spans="1:19" x14ac:dyDescent="0.25">
      <c r="A1737" s="1" t="s">
        <v>1071</v>
      </c>
      <c r="B1737" s="1" t="s">
        <v>1287</v>
      </c>
      <c r="C1737" s="5">
        <v>4</v>
      </c>
      <c r="D1737" s="1" t="s">
        <v>342</v>
      </c>
      <c r="E1737" s="1" t="s">
        <v>831</v>
      </c>
      <c r="F1737" s="5" t="s">
        <v>24</v>
      </c>
      <c r="G1737" s="5">
        <v>2</v>
      </c>
      <c r="H1737" s="5">
        <v>3</v>
      </c>
      <c r="I1737" s="5" t="b">
        <v>1</v>
      </c>
      <c r="J1737" s="1" t="s">
        <v>480</v>
      </c>
      <c r="K1737" s="1" t="s">
        <v>32</v>
      </c>
      <c r="L1737" s="1" t="s">
        <v>716</v>
      </c>
      <c r="M1737" s="1" t="s">
        <v>1138</v>
      </c>
      <c r="N1737" s="1"/>
      <c r="O1737" s="1"/>
      <c r="P1737" s="1"/>
      <c r="Q1737" s="1" t="s">
        <v>1287</v>
      </c>
      <c r="R1737" s="1" t="s">
        <v>1287</v>
      </c>
      <c r="S1737" s="5">
        <v>12</v>
      </c>
    </row>
    <row r="1738" spans="1:19" x14ac:dyDescent="0.25">
      <c r="A1738" s="1" t="s">
        <v>1071</v>
      </c>
      <c r="B1738" s="1" t="s">
        <v>1287</v>
      </c>
      <c r="C1738" s="5">
        <v>5</v>
      </c>
      <c r="D1738" s="1" t="s">
        <v>11</v>
      </c>
      <c r="E1738" s="1" t="s">
        <v>946</v>
      </c>
      <c r="F1738" s="5" t="s">
        <v>24</v>
      </c>
      <c r="G1738" s="5">
        <v>10</v>
      </c>
      <c r="H1738" s="5">
        <v>20</v>
      </c>
      <c r="I1738" s="5" t="b">
        <v>1</v>
      </c>
      <c r="J1738" s="1" t="s">
        <v>0</v>
      </c>
      <c r="K1738" s="1" t="s">
        <v>32</v>
      </c>
      <c r="L1738" s="1" t="s">
        <v>716</v>
      </c>
      <c r="M1738" s="1" t="s">
        <v>1138</v>
      </c>
      <c r="N1738" s="1"/>
      <c r="O1738" s="1"/>
      <c r="P1738" s="1"/>
      <c r="Q1738" s="1" t="s">
        <v>1287</v>
      </c>
      <c r="R1738" s="1" t="s">
        <v>1287</v>
      </c>
      <c r="S1738" s="5">
        <v>1</v>
      </c>
    </row>
    <row r="1739" spans="1:19" x14ac:dyDescent="0.25">
      <c r="A1739" s="1" t="s">
        <v>1071</v>
      </c>
      <c r="B1739" s="1" t="s">
        <v>1287</v>
      </c>
      <c r="C1739" s="5">
        <v>5</v>
      </c>
      <c r="D1739" s="1" t="s">
        <v>13</v>
      </c>
      <c r="E1739" s="1" t="s">
        <v>1296</v>
      </c>
      <c r="F1739" s="5" t="s">
        <v>24</v>
      </c>
      <c r="G1739" s="5">
        <v>0</v>
      </c>
      <c r="H1739" s="5">
        <v>6</v>
      </c>
      <c r="I1739" s="5" t="b">
        <v>1</v>
      </c>
      <c r="J1739" s="1" t="s">
        <v>10</v>
      </c>
      <c r="K1739" s="1" t="s">
        <v>32</v>
      </c>
      <c r="L1739" s="1" t="s">
        <v>716</v>
      </c>
      <c r="M1739" s="1" t="s">
        <v>1138</v>
      </c>
      <c r="N1739" s="1"/>
      <c r="O1739" s="1"/>
      <c r="P1739" s="1"/>
      <c r="Q1739" s="1" t="s">
        <v>1287</v>
      </c>
      <c r="R1739" s="1" t="s">
        <v>1287</v>
      </c>
      <c r="S1739" s="5">
        <v>3</v>
      </c>
    </row>
    <row r="1740" spans="1:19" x14ac:dyDescent="0.25">
      <c r="A1740" s="1" t="s">
        <v>1071</v>
      </c>
      <c r="B1740" s="1" t="s">
        <v>1287</v>
      </c>
      <c r="C1740" s="5">
        <v>5</v>
      </c>
      <c r="D1740" s="1" t="s">
        <v>29</v>
      </c>
      <c r="E1740" s="1" t="s">
        <v>725</v>
      </c>
      <c r="F1740" s="5" t="s">
        <v>25</v>
      </c>
      <c r="G1740" s="5">
        <v>0</v>
      </c>
      <c r="H1740" s="5">
        <v>1</v>
      </c>
      <c r="I1740" s="5" t="b">
        <v>1</v>
      </c>
      <c r="J1740" s="1" t="s">
        <v>1121</v>
      </c>
      <c r="K1740" s="1" t="s">
        <v>32</v>
      </c>
      <c r="L1740" s="1" t="s">
        <v>716</v>
      </c>
      <c r="M1740" s="1" t="s">
        <v>1138</v>
      </c>
      <c r="N1740" s="1"/>
      <c r="O1740" s="1"/>
      <c r="P1740" s="1"/>
      <c r="Q1740" s="1" t="s">
        <v>1287</v>
      </c>
      <c r="R1740" s="1" t="s">
        <v>1287</v>
      </c>
      <c r="S1740" s="5">
        <v>5</v>
      </c>
    </row>
    <row r="1741" spans="1:19" x14ac:dyDescent="0.25">
      <c r="A1741" s="1" t="s">
        <v>1071</v>
      </c>
      <c r="B1741" s="1" t="s">
        <v>1287</v>
      </c>
      <c r="C1741" s="5">
        <v>5</v>
      </c>
      <c r="D1741" s="1" t="s">
        <v>1393</v>
      </c>
      <c r="E1741" s="1" t="s">
        <v>930</v>
      </c>
      <c r="F1741" s="5" t="s">
        <v>26</v>
      </c>
      <c r="G1741" s="5">
        <v>35</v>
      </c>
      <c r="H1741" s="5">
        <v>45</v>
      </c>
      <c r="I1741" s="5" t="b">
        <v>0</v>
      </c>
      <c r="J1741" s="1" t="s">
        <v>1238</v>
      </c>
      <c r="K1741" s="1" t="s">
        <v>32</v>
      </c>
      <c r="L1741" s="1" t="s">
        <v>716</v>
      </c>
      <c r="M1741" s="1" t="s">
        <v>1138</v>
      </c>
      <c r="N1741" s="1"/>
      <c r="O1741" s="1"/>
      <c r="P1741" s="1"/>
      <c r="Q1741" s="1" t="s">
        <v>1287</v>
      </c>
      <c r="R1741" s="1" t="s">
        <v>1287</v>
      </c>
      <c r="S1741" s="5">
        <v>11</v>
      </c>
    </row>
    <row r="1742" spans="1:19" x14ac:dyDescent="0.25">
      <c r="A1742" s="1" t="s">
        <v>1071</v>
      </c>
      <c r="B1742" s="1" t="s">
        <v>1315</v>
      </c>
      <c r="C1742" s="5">
        <v>2</v>
      </c>
      <c r="D1742" s="1" t="s">
        <v>11</v>
      </c>
      <c r="E1742" s="1" t="s">
        <v>1278</v>
      </c>
      <c r="F1742" s="5" t="s">
        <v>25</v>
      </c>
      <c r="G1742" s="5">
        <v>50</v>
      </c>
      <c r="H1742" s="5">
        <v>55</v>
      </c>
      <c r="I1742" s="5" t="b">
        <v>1</v>
      </c>
      <c r="J1742" s="1" t="s">
        <v>0</v>
      </c>
      <c r="K1742" s="1" t="s">
        <v>32</v>
      </c>
      <c r="L1742" s="1"/>
      <c r="M1742" s="1"/>
      <c r="N1742" s="1"/>
      <c r="O1742" s="1"/>
      <c r="P1742" s="1"/>
      <c r="Q1742" s="1" t="s">
        <v>1315</v>
      </c>
      <c r="R1742" s="1" t="s">
        <v>1315</v>
      </c>
      <c r="S1742" s="5">
        <v>1</v>
      </c>
    </row>
    <row r="1743" spans="1:19" x14ac:dyDescent="0.25">
      <c r="A1743" s="1" t="s">
        <v>1071</v>
      </c>
      <c r="B1743" s="1" t="s">
        <v>1315</v>
      </c>
      <c r="C1743" s="5">
        <v>2</v>
      </c>
      <c r="D1743" s="1" t="s">
        <v>1228</v>
      </c>
      <c r="E1743" s="1" t="s">
        <v>964</v>
      </c>
      <c r="F1743" s="5" t="s">
        <v>25</v>
      </c>
      <c r="G1743" s="5">
        <v>2</v>
      </c>
      <c r="H1743" s="5">
        <v>3</v>
      </c>
      <c r="I1743" s="5" t="b">
        <v>1</v>
      </c>
      <c r="J1743" s="1" t="s">
        <v>1229</v>
      </c>
      <c r="K1743" s="1" t="s">
        <v>32</v>
      </c>
      <c r="L1743" s="1"/>
      <c r="M1743" s="1"/>
      <c r="N1743" s="1"/>
      <c r="O1743" s="1"/>
      <c r="P1743" s="1"/>
      <c r="Q1743" s="1" t="s">
        <v>1315</v>
      </c>
      <c r="R1743" s="1" t="s">
        <v>1315</v>
      </c>
      <c r="S1743" s="5">
        <v>2</v>
      </c>
    </row>
    <row r="1744" spans="1:19" x14ac:dyDescent="0.25">
      <c r="A1744" s="1" t="s">
        <v>1071</v>
      </c>
      <c r="B1744" s="1" t="s">
        <v>1315</v>
      </c>
      <c r="C1744" s="5">
        <v>2</v>
      </c>
      <c r="D1744" s="1" t="s">
        <v>13</v>
      </c>
      <c r="E1744" s="1" t="s">
        <v>954</v>
      </c>
      <c r="F1744" s="5" t="s">
        <v>25</v>
      </c>
      <c r="G1744" s="5">
        <v>20</v>
      </c>
      <c r="H1744" s="5">
        <v>25</v>
      </c>
      <c r="I1744" s="5" t="b">
        <v>1</v>
      </c>
      <c r="J1744" s="1" t="s">
        <v>10</v>
      </c>
      <c r="K1744" s="1" t="s">
        <v>32</v>
      </c>
      <c r="L1744" s="1"/>
      <c r="M1744" s="1"/>
      <c r="N1744" s="1"/>
      <c r="O1744" s="1"/>
      <c r="P1744" s="1"/>
      <c r="Q1744" s="1" t="s">
        <v>1315</v>
      </c>
      <c r="R1744" s="1" t="s">
        <v>1315</v>
      </c>
      <c r="S1744" s="5">
        <v>3</v>
      </c>
    </row>
    <row r="1745" spans="1:19" x14ac:dyDescent="0.25">
      <c r="A1745" s="1" t="s">
        <v>1071</v>
      </c>
      <c r="B1745" s="1" t="s">
        <v>1315</v>
      </c>
      <c r="C1745" s="5">
        <v>2</v>
      </c>
      <c r="D1745" s="1" t="s">
        <v>1231</v>
      </c>
      <c r="E1745" s="1" t="s">
        <v>912</v>
      </c>
      <c r="F1745" s="5" t="s">
        <v>25</v>
      </c>
      <c r="G1745" s="5">
        <v>2</v>
      </c>
      <c r="H1745" s="5">
        <v>5</v>
      </c>
      <c r="I1745" s="5" t="b">
        <v>1</v>
      </c>
      <c r="J1745" s="1" t="s">
        <v>1232</v>
      </c>
      <c r="K1745" s="1" t="s">
        <v>32</v>
      </c>
      <c r="L1745" s="1"/>
      <c r="M1745" s="1"/>
      <c r="N1745" s="1"/>
      <c r="O1745" s="1"/>
      <c r="P1745" s="1"/>
      <c r="Q1745" s="1" t="s">
        <v>1315</v>
      </c>
      <c r="R1745" s="1" t="s">
        <v>1315</v>
      </c>
      <c r="S1745" s="5">
        <v>4</v>
      </c>
    </row>
    <row r="1746" spans="1:19" x14ac:dyDescent="0.25">
      <c r="A1746" s="1" t="s">
        <v>1071</v>
      </c>
      <c r="B1746" s="1" t="s">
        <v>1315</v>
      </c>
      <c r="C1746" s="5">
        <v>2</v>
      </c>
      <c r="D1746" s="1" t="s">
        <v>29</v>
      </c>
      <c r="E1746" s="1" t="s">
        <v>946</v>
      </c>
      <c r="F1746" s="5" t="s">
        <v>24</v>
      </c>
      <c r="G1746" s="5">
        <v>10</v>
      </c>
      <c r="H1746" s="5">
        <v>20</v>
      </c>
      <c r="I1746" s="5" t="b">
        <v>1</v>
      </c>
      <c r="J1746" s="1" t="s">
        <v>1121</v>
      </c>
      <c r="K1746" s="1" t="s">
        <v>32</v>
      </c>
      <c r="L1746" s="1"/>
      <c r="M1746" s="1"/>
      <c r="N1746" s="1"/>
      <c r="O1746" s="1"/>
      <c r="P1746" s="1"/>
      <c r="Q1746" s="1" t="s">
        <v>1315</v>
      </c>
      <c r="R1746" s="1" t="s">
        <v>1315</v>
      </c>
      <c r="S1746" s="5">
        <v>5</v>
      </c>
    </row>
    <row r="1747" spans="1:19" x14ac:dyDescent="0.25">
      <c r="A1747" s="1" t="s">
        <v>1071</v>
      </c>
      <c r="B1747" s="1" t="s">
        <v>1315</v>
      </c>
      <c r="C1747" s="5">
        <v>2</v>
      </c>
      <c r="D1747" s="1" t="s">
        <v>35</v>
      </c>
      <c r="E1747" s="1" t="s">
        <v>922</v>
      </c>
      <c r="F1747" s="5" t="s">
        <v>24</v>
      </c>
      <c r="G1747" s="5">
        <v>20</v>
      </c>
      <c r="H1747" s="5">
        <v>30</v>
      </c>
      <c r="I1747" s="5" t="b">
        <v>1</v>
      </c>
      <c r="J1747" s="1" t="s">
        <v>1289</v>
      </c>
      <c r="K1747" s="1" t="s">
        <v>32</v>
      </c>
      <c r="L1747" s="1"/>
      <c r="M1747" s="1"/>
      <c r="N1747" s="1"/>
      <c r="O1747" s="1"/>
      <c r="P1747" s="1"/>
      <c r="Q1747" s="1" t="s">
        <v>1315</v>
      </c>
      <c r="R1747" s="1" t="s">
        <v>1315</v>
      </c>
      <c r="S1747" s="5">
        <v>7</v>
      </c>
    </row>
    <row r="1748" spans="1:19" x14ac:dyDescent="0.25">
      <c r="A1748" s="1" t="s">
        <v>1071</v>
      </c>
      <c r="B1748" s="1" t="s">
        <v>1315</v>
      </c>
      <c r="C1748" s="5">
        <v>2</v>
      </c>
      <c r="D1748" s="1" t="s">
        <v>1125</v>
      </c>
      <c r="E1748" s="1" t="s">
        <v>1316</v>
      </c>
      <c r="F1748" s="5" t="s">
        <v>26</v>
      </c>
      <c r="G1748" s="5">
        <v>0</v>
      </c>
      <c r="H1748" s="5">
        <v>1</v>
      </c>
      <c r="I1748" s="5" t="b">
        <v>0</v>
      </c>
      <c r="J1748" s="1" t="s">
        <v>1237</v>
      </c>
      <c r="K1748" s="1" t="s">
        <v>32</v>
      </c>
      <c r="L1748" s="1"/>
      <c r="M1748" s="1"/>
      <c r="N1748" s="1"/>
      <c r="O1748" s="1"/>
      <c r="P1748" s="1"/>
      <c r="Q1748" s="1" t="s">
        <v>1315</v>
      </c>
      <c r="R1748" s="1" t="s">
        <v>1315</v>
      </c>
      <c r="S1748" s="5">
        <v>8</v>
      </c>
    </row>
    <row r="1749" spans="1:19" x14ac:dyDescent="0.25">
      <c r="A1749" s="1" t="s">
        <v>1071</v>
      </c>
      <c r="B1749" s="1" t="s">
        <v>1315</v>
      </c>
      <c r="C1749" s="5">
        <v>2</v>
      </c>
      <c r="D1749" s="1" t="s">
        <v>1161</v>
      </c>
      <c r="E1749" s="1" t="s">
        <v>1239</v>
      </c>
      <c r="F1749" s="5" t="s">
        <v>27</v>
      </c>
      <c r="G1749" s="5">
        <v>0</v>
      </c>
      <c r="H1749" s="5">
        <v>1</v>
      </c>
      <c r="I1749" s="5" t="b">
        <v>0</v>
      </c>
      <c r="J1749" s="1" t="s">
        <v>1240</v>
      </c>
      <c r="K1749" s="1" t="s">
        <v>32</v>
      </c>
      <c r="L1749" s="1"/>
      <c r="M1749" s="1"/>
      <c r="N1749" s="1"/>
      <c r="O1749" s="1"/>
      <c r="P1749" s="1"/>
      <c r="Q1749" s="1" t="s">
        <v>1315</v>
      </c>
      <c r="R1749" s="1" t="s">
        <v>1315</v>
      </c>
      <c r="S1749" s="5">
        <v>10</v>
      </c>
    </row>
    <row r="1750" spans="1:19" x14ac:dyDescent="0.25">
      <c r="A1750" s="1" t="s">
        <v>1071</v>
      </c>
      <c r="B1750" s="1" t="s">
        <v>1315</v>
      </c>
      <c r="C1750" s="5">
        <v>2</v>
      </c>
      <c r="D1750" s="1" t="s">
        <v>1393</v>
      </c>
      <c r="E1750" s="1" t="s">
        <v>1302</v>
      </c>
      <c r="F1750" s="5" t="s">
        <v>27</v>
      </c>
      <c r="G1750" s="5">
        <v>3</v>
      </c>
      <c r="H1750" s="5">
        <v>8</v>
      </c>
      <c r="I1750" s="5" t="b">
        <v>0</v>
      </c>
      <c r="J1750" s="1" t="s">
        <v>1238</v>
      </c>
      <c r="K1750" s="1" t="s">
        <v>32</v>
      </c>
      <c r="L1750" s="1"/>
      <c r="M1750" s="1"/>
      <c r="N1750" s="1"/>
      <c r="O1750" s="1"/>
      <c r="P1750" s="1"/>
      <c r="Q1750" s="1" t="s">
        <v>1315</v>
      </c>
      <c r="R1750" s="1" t="s">
        <v>1315</v>
      </c>
      <c r="S1750" s="5">
        <v>11</v>
      </c>
    </row>
    <row r="1751" spans="1:19" x14ac:dyDescent="0.25">
      <c r="A1751" s="1" t="s">
        <v>1071</v>
      </c>
      <c r="B1751" s="1" t="s">
        <v>1315</v>
      </c>
      <c r="C1751" s="5">
        <v>2</v>
      </c>
      <c r="D1751" s="1" t="s">
        <v>1392</v>
      </c>
      <c r="E1751" s="1" t="s">
        <v>1311</v>
      </c>
      <c r="F1751" s="5" t="s">
        <v>27</v>
      </c>
      <c r="G1751" s="5">
        <v>25</v>
      </c>
      <c r="H1751" s="5">
        <v>30</v>
      </c>
      <c r="I1751" s="5" t="b">
        <v>0</v>
      </c>
      <c r="J1751" s="1" t="s">
        <v>1390</v>
      </c>
      <c r="K1751" s="1" t="s">
        <v>32</v>
      </c>
      <c r="L1751" s="1"/>
      <c r="M1751" s="1"/>
      <c r="N1751" s="1"/>
      <c r="O1751" s="1"/>
      <c r="P1751" s="1"/>
      <c r="Q1751" s="1" t="s">
        <v>1315</v>
      </c>
      <c r="R1751" s="1" t="s">
        <v>1315</v>
      </c>
      <c r="S1751" s="5">
        <v>16</v>
      </c>
    </row>
    <row r="1752" spans="1:19" x14ac:dyDescent="0.25">
      <c r="A1752" s="1" t="s">
        <v>1071</v>
      </c>
      <c r="B1752" s="1" t="s">
        <v>1315</v>
      </c>
      <c r="C1752" s="5">
        <v>3</v>
      </c>
      <c r="D1752" s="1" t="s">
        <v>11</v>
      </c>
      <c r="E1752" s="1" t="s">
        <v>995</v>
      </c>
      <c r="F1752" s="5" t="s">
        <v>25</v>
      </c>
      <c r="G1752" s="5">
        <v>40</v>
      </c>
      <c r="H1752" s="5">
        <v>45</v>
      </c>
      <c r="I1752" s="5" t="b">
        <v>1</v>
      </c>
      <c r="J1752" s="1" t="s">
        <v>0</v>
      </c>
      <c r="K1752" s="1" t="s">
        <v>32</v>
      </c>
      <c r="L1752" s="1" t="s">
        <v>716</v>
      </c>
      <c r="M1752" s="1" t="s">
        <v>1138</v>
      </c>
      <c r="N1752" s="1"/>
      <c r="O1752" s="1"/>
      <c r="P1752" s="1"/>
      <c r="Q1752" s="1" t="s">
        <v>1315</v>
      </c>
      <c r="R1752" s="1" t="s">
        <v>1315</v>
      </c>
      <c r="S1752" s="5">
        <v>1</v>
      </c>
    </row>
    <row r="1753" spans="1:19" x14ac:dyDescent="0.25">
      <c r="A1753" s="1" t="s">
        <v>1071</v>
      </c>
      <c r="B1753" s="1" t="s">
        <v>1315</v>
      </c>
      <c r="C1753" s="5">
        <v>3</v>
      </c>
      <c r="D1753" s="1" t="s">
        <v>1228</v>
      </c>
      <c r="E1753" s="1" t="s">
        <v>964</v>
      </c>
      <c r="F1753" s="5" t="s">
        <v>25</v>
      </c>
      <c r="G1753" s="5">
        <v>2</v>
      </c>
      <c r="H1753" s="5">
        <v>3</v>
      </c>
      <c r="I1753" s="5" t="b">
        <v>1</v>
      </c>
      <c r="J1753" s="1" t="s">
        <v>1229</v>
      </c>
      <c r="K1753" s="1" t="s">
        <v>32</v>
      </c>
      <c r="L1753" s="1"/>
      <c r="M1753" s="1"/>
      <c r="N1753" s="1"/>
      <c r="O1753" s="1"/>
      <c r="P1753" s="1"/>
      <c r="Q1753" s="1" t="s">
        <v>1315</v>
      </c>
      <c r="R1753" s="1" t="s">
        <v>1315</v>
      </c>
      <c r="S1753" s="5">
        <v>2</v>
      </c>
    </row>
    <row r="1754" spans="1:19" x14ac:dyDescent="0.25">
      <c r="A1754" s="1" t="s">
        <v>1071</v>
      </c>
      <c r="B1754" s="1" t="s">
        <v>1315</v>
      </c>
      <c r="C1754" s="5">
        <v>3</v>
      </c>
      <c r="D1754" s="1" t="s">
        <v>13</v>
      </c>
      <c r="E1754" s="1" t="s">
        <v>1283</v>
      </c>
      <c r="F1754" s="5" t="s">
        <v>25</v>
      </c>
      <c r="G1754" s="5">
        <v>12</v>
      </c>
      <c r="H1754" s="5">
        <v>19</v>
      </c>
      <c r="I1754" s="5" t="b">
        <v>1</v>
      </c>
      <c r="J1754" s="1" t="s">
        <v>10</v>
      </c>
      <c r="K1754" s="1" t="s">
        <v>32</v>
      </c>
      <c r="L1754" s="1"/>
      <c r="M1754" s="1"/>
      <c r="N1754" s="1"/>
      <c r="O1754" s="1"/>
      <c r="P1754" s="1"/>
      <c r="Q1754" s="1" t="s">
        <v>1315</v>
      </c>
      <c r="R1754" s="1" t="s">
        <v>1315</v>
      </c>
      <c r="S1754" s="5">
        <v>3</v>
      </c>
    </row>
    <row r="1755" spans="1:19" x14ac:dyDescent="0.25">
      <c r="A1755" s="1" t="s">
        <v>1071</v>
      </c>
      <c r="B1755" s="1" t="s">
        <v>1315</v>
      </c>
      <c r="C1755" s="5">
        <v>3</v>
      </c>
      <c r="D1755" s="1" t="s">
        <v>29</v>
      </c>
      <c r="E1755" s="1" t="s">
        <v>948</v>
      </c>
      <c r="F1755" s="5" t="s">
        <v>25</v>
      </c>
      <c r="G1755" s="5">
        <v>5</v>
      </c>
      <c r="H1755" s="5">
        <v>10</v>
      </c>
      <c r="I1755" s="5" t="b">
        <v>1</v>
      </c>
      <c r="J1755" s="1" t="s">
        <v>1121</v>
      </c>
      <c r="K1755" s="1" t="s">
        <v>32</v>
      </c>
      <c r="L1755" s="1"/>
      <c r="M1755" s="1"/>
      <c r="N1755" s="1"/>
      <c r="O1755" s="1"/>
      <c r="P1755" s="1"/>
      <c r="Q1755" s="1" t="s">
        <v>1315</v>
      </c>
      <c r="R1755" s="1" t="s">
        <v>1315</v>
      </c>
      <c r="S1755" s="5">
        <v>5</v>
      </c>
    </row>
    <row r="1756" spans="1:19" x14ac:dyDescent="0.25">
      <c r="A1756" s="1" t="s">
        <v>1071</v>
      </c>
      <c r="B1756" s="1" t="s">
        <v>1315</v>
      </c>
      <c r="C1756" s="5">
        <v>3</v>
      </c>
      <c r="D1756" s="1" t="s">
        <v>35</v>
      </c>
      <c r="E1756" s="1" t="s">
        <v>934</v>
      </c>
      <c r="F1756" s="5" t="s">
        <v>25</v>
      </c>
      <c r="G1756" s="5">
        <v>10</v>
      </c>
      <c r="H1756" s="5">
        <v>15</v>
      </c>
      <c r="I1756" s="5" t="b">
        <v>1</v>
      </c>
      <c r="J1756" s="1" t="s">
        <v>1289</v>
      </c>
      <c r="K1756" s="1" t="s">
        <v>32</v>
      </c>
      <c r="L1756" s="1"/>
      <c r="M1756" s="1"/>
      <c r="N1756" s="1"/>
      <c r="O1756" s="1"/>
      <c r="P1756" s="1"/>
      <c r="Q1756" s="1" t="s">
        <v>1315</v>
      </c>
      <c r="R1756" s="1" t="s">
        <v>1315</v>
      </c>
      <c r="S1756" s="5">
        <v>7</v>
      </c>
    </row>
    <row r="1757" spans="1:19" x14ac:dyDescent="0.25">
      <c r="A1757" s="1" t="s">
        <v>1071</v>
      </c>
      <c r="B1757" s="1" t="s">
        <v>1315</v>
      </c>
      <c r="C1757" s="5">
        <v>3</v>
      </c>
      <c r="D1757" s="1" t="s">
        <v>1125</v>
      </c>
      <c r="E1757" s="1" t="s">
        <v>1291</v>
      </c>
      <c r="F1757" s="5" t="s">
        <v>26</v>
      </c>
      <c r="G1757" s="5">
        <v>1</v>
      </c>
      <c r="H1757" s="5">
        <v>5</v>
      </c>
      <c r="I1757" s="5" t="b">
        <v>0</v>
      </c>
      <c r="J1757" s="1" t="s">
        <v>1237</v>
      </c>
      <c r="K1757" s="1" t="s">
        <v>32</v>
      </c>
      <c r="L1757" s="1"/>
      <c r="M1757" s="1"/>
      <c r="N1757" s="1"/>
      <c r="O1757" s="1"/>
      <c r="P1757" s="1"/>
      <c r="Q1757" s="1" t="s">
        <v>1315</v>
      </c>
      <c r="R1757" s="1" t="s">
        <v>1315</v>
      </c>
      <c r="S1757" s="5">
        <v>8</v>
      </c>
    </row>
    <row r="1758" spans="1:19" x14ac:dyDescent="0.25">
      <c r="A1758" s="1" t="s">
        <v>1071</v>
      </c>
      <c r="B1758" s="1" t="s">
        <v>1315</v>
      </c>
      <c r="C1758" s="5">
        <v>3</v>
      </c>
      <c r="D1758" s="1" t="s">
        <v>1254</v>
      </c>
      <c r="E1758" s="1" t="s">
        <v>1255</v>
      </c>
      <c r="F1758" s="5" t="s">
        <v>27</v>
      </c>
      <c r="G1758" s="5">
        <v>0</v>
      </c>
      <c r="H1758" s="5">
        <v>3</v>
      </c>
      <c r="I1758" s="5" t="b">
        <v>0</v>
      </c>
      <c r="J1758" s="1" t="s">
        <v>1256</v>
      </c>
      <c r="K1758" s="1" t="s">
        <v>32</v>
      </c>
      <c r="L1758" s="1"/>
      <c r="M1758" s="1"/>
      <c r="N1758" s="1"/>
      <c r="O1758" s="1"/>
      <c r="P1758" s="1"/>
      <c r="Q1758" s="1" t="s">
        <v>1315</v>
      </c>
      <c r="R1758" s="1" t="s">
        <v>1315</v>
      </c>
      <c r="S1758" s="5">
        <v>9</v>
      </c>
    </row>
    <row r="1759" spans="1:19" x14ac:dyDescent="0.25">
      <c r="A1759" s="1" t="s">
        <v>1071</v>
      </c>
      <c r="B1759" s="1" t="s">
        <v>1315</v>
      </c>
      <c r="C1759" s="5">
        <v>3</v>
      </c>
      <c r="D1759" s="1" t="s">
        <v>1393</v>
      </c>
      <c r="E1759" s="1" t="s">
        <v>1317</v>
      </c>
      <c r="F1759" s="5" t="s">
        <v>27</v>
      </c>
      <c r="G1759" s="5">
        <v>8</v>
      </c>
      <c r="H1759" s="5">
        <v>15</v>
      </c>
      <c r="I1759" s="5" t="b">
        <v>0</v>
      </c>
      <c r="J1759" s="1" t="s">
        <v>1238</v>
      </c>
      <c r="K1759" s="1" t="s">
        <v>32</v>
      </c>
      <c r="L1759" s="1" t="s">
        <v>716</v>
      </c>
      <c r="M1759" s="1" t="s">
        <v>1138</v>
      </c>
      <c r="N1759" s="1"/>
      <c r="O1759" s="1"/>
      <c r="P1759" s="1"/>
      <c r="Q1759" s="1" t="s">
        <v>1315</v>
      </c>
      <c r="R1759" s="1" t="s">
        <v>1315</v>
      </c>
      <c r="S1759" s="5">
        <v>11</v>
      </c>
    </row>
    <row r="1760" spans="1:19" x14ac:dyDescent="0.25">
      <c r="A1760" s="1" t="s">
        <v>1071</v>
      </c>
      <c r="B1760" s="1" t="s">
        <v>1315</v>
      </c>
      <c r="C1760" s="5">
        <v>3</v>
      </c>
      <c r="D1760" s="1" t="s">
        <v>1392</v>
      </c>
      <c r="E1760" s="1" t="s">
        <v>968</v>
      </c>
      <c r="F1760" s="5" t="s">
        <v>27</v>
      </c>
      <c r="G1760" s="5">
        <v>40</v>
      </c>
      <c r="H1760" s="5">
        <v>45</v>
      </c>
      <c r="I1760" s="5" t="b">
        <v>0</v>
      </c>
      <c r="J1760" s="1" t="s">
        <v>1390</v>
      </c>
      <c r="K1760" s="1" t="s">
        <v>32</v>
      </c>
      <c r="L1760" s="1" t="s">
        <v>716</v>
      </c>
      <c r="M1760" s="1" t="s">
        <v>1138</v>
      </c>
      <c r="N1760" s="1"/>
      <c r="O1760" s="1"/>
      <c r="P1760" s="1"/>
      <c r="Q1760" s="1" t="s">
        <v>1315</v>
      </c>
      <c r="R1760" s="1" t="s">
        <v>1315</v>
      </c>
      <c r="S1760" s="5">
        <v>16</v>
      </c>
    </row>
    <row r="1761" spans="1:19" x14ac:dyDescent="0.25">
      <c r="A1761" s="1" t="s">
        <v>1071</v>
      </c>
      <c r="B1761" s="1" t="s">
        <v>1315</v>
      </c>
      <c r="C1761" s="5">
        <v>4</v>
      </c>
      <c r="D1761" s="1" t="s">
        <v>11</v>
      </c>
      <c r="E1761" s="1" t="s">
        <v>925</v>
      </c>
      <c r="F1761" s="5" t="s">
        <v>24</v>
      </c>
      <c r="G1761" s="5">
        <v>30</v>
      </c>
      <c r="H1761" s="5">
        <v>40</v>
      </c>
      <c r="I1761" s="5" t="b">
        <v>1</v>
      </c>
      <c r="J1761" s="1" t="s">
        <v>0</v>
      </c>
      <c r="K1761" s="1" t="s">
        <v>32</v>
      </c>
      <c r="L1761" s="1" t="s">
        <v>716</v>
      </c>
      <c r="M1761" s="1" t="s">
        <v>1138</v>
      </c>
      <c r="N1761" s="1"/>
      <c r="O1761" s="1"/>
      <c r="P1761" s="1"/>
      <c r="Q1761" s="1" t="s">
        <v>1315</v>
      </c>
      <c r="R1761" s="1" t="s">
        <v>1315</v>
      </c>
      <c r="S1761" s="5">
        <v>1</v>
      </c>
    </row>
    <row r="1762" spans="1:19" x14ac:dyDescent="0.25">
      <c r="A1762" s="1" t="s">
        <v>1071</v>
      </c>
      <c r="B1762" s="1" t="s">
        <v>1315</v>
      </c>
      <c r="C1762" s="5">
        <v>4</v>
      </c>
      <c r="D1762" s="1" t="s">
        <v>1228</v>
      </c>
      <c r="E1762" s="1" t="s">
        <v>1243</v>
      </c>
      <c r="F1762" s="5" t="s">
        <v>25</v>
      </c>
      <c r="G1762" s="5">
        <v>-0.5</v>
      </c>
      <c r="H1762" s="5">
        <v>2</v>
      </c>
      <c r="I1762" s="5" t="b">
        <v>1</v>
      </c>
      <c r="J1762" s="1" t="s">
        <v>1229</v>
      </c>
      <c r="K1762" s="1" t="s">
        <v>32</v>
      </c>
      <c r="L1762" s="1"/>
      <c r="M1762" s="1"/>
      <c r="N1762" s="1"/>
      <c r="O1762" s="1"/>
      <c r="P1762" s="1"/>
      <c r="Q1762" s="1" t="s">
        <v>1315</v>
      </c>
      <c r="R1762" s="1" t="s">
        <v>1315</v>
      </c>
      <c r="S1762" s="5">
        <v>2</v>
      </c>
    </row>
    <row r="1763" spans="1:19" x14ac:dyDescent="0.25">
      <c r="A1763" s="1" t="s">
        <v>1071</v>
      </c>
      <c r="B1763" s="1" t="s">
        <v>1315</v>
      </c>
      <c r="C1763" s="5">
        <v>4</v>
      </c>
      <c r="D1763" s="1" t="s">
        <v>13</v>
      </c>
      <c r="E1763" s="1" t="s">
        <v>942</v>
      </c>
      <c r="F1763" s="5" t="s">
        <v>25</v>
      </c>
      <c r="G1763" s="5">
        <v>3</v>
      </c>
      <c r="H1763" s="5">
        <v>8</v>
      </c>
      <c r="I1763" s="5" t="b">
        <v>1</v>
      </c>
      <c r="J1763" s="1" t="s">
        <v>10</v>
      </c>
      <c r="K1763" s="1" t="s">
        <v>32</v>
      </c>
      <c r="L1763" s="1"/>
      <c r="M1763" s="1"/>
      <c r="N1763" s="1"/>
      <c r="O1763" s="1"/>
      <c r="P1763" s="1"/>
      <c r="Q1763" s="1" t="s">
        <v>1315</v>
      </c>
      <c r="R1763" s="1" t="s">
        <v>1315</v>
      </c>
      <c r="S1763" s="5">
        <v>3</v>
      </c>
    </row>
    <row r="1764" spans="1:19" x14ac:dyDescent="0.25">
      <c r="A1764" s="1" t="s">
        <v>1071</v>
      </c>
      <c r="B1764" s="1" t="s">
        <v>1315</v>
      </c>
      <c r="C1764" s="5">
        <v>4</v>
      </c>
      <c r="D1764" s="1" t="s">
        <v>29</v>
      </c>
      <c r="E1764" s="1" t="s">
        <v>923</v>
      </c>
      <c r="F1764" s="5" t="s">
        <v>25</v>
      </c>
      <c r="G1764" s="5">
        <v>0</v>
      </c>
      <c r="H1764" s="5">
        <v>3</v>
      </c>
      <c r="I1764" s="5" t="b">
        <v>1</v>
      </c>
      <c r="J1764" s="1" t="s">
        <v>1121</v>
      </c>
      <c r="K1764" s="1" t="s">
        <v>32</v>
      </c>
      <c r="L1764" s="1"/>
      <c r="M1764" s="1"/>
      <c r="N1764" s="1"/>
      <c r="O1764" s="1"/>
      <c r="P1764" s="1"/>
      <c r="Q1764" s="1" t="s">
        <v>1315</v>
      </c>
      <c r="R1764" s="1" t="s">
        <v>1315</v>
      </c>
      <c r="S1764" s="5">
        <v>5</v>
      </c>
    </row>
    <row r="1765" spans="1:19" x14ac:dyDescent="0.25">
      <c r="A1765" s="1" t="s">
        <v>1071</v>
      </c>
      <c r="B1765" s="1" t="s">
        <v>1315</v>
      </c>
      <c r="C1765" s="5">
        <v>4</v>
      </c>
      <c r="D1765" s="1" t="s">
        <v>35</v>
      </c>
      <c r="E1765" s="1" t="s">
        <v>1313</v>
      </c>
      <c r="F1765" s="5" t="s">
        <v>25</v>
      </c>
      <c r="G1765" s="5">
        <v>0</v>
      </c>
      <c r="H1765" s="5">
        <v>5</v>
      </c>
      <c r="I1765" s="5" t="b">
        <v>1</v>
      </c>
      <c r="J1765" s="1" t="s">
        <v>1289</v>
      </c>
      <c r="K1765" s="1" t="s">
        <v>32</v>
      </c>
      <c r="L1765" s="1" t="s">
        <v>716</v>
      </c>
      <c r="M1765" s="1" t="s">
        <v>1138</v>
      </c>
      <c r="N1765" s="1"/>
      <c r="O1765" s="1"/>
      <c r="P1765" s="1"/>
      <c r="Q1765" s="1" t="s">
        <v>1315</v>
      </c>
      <c r="R1765" s="1" t="s">
        <v>1315</v>
      </c>
      <c r="S1765" s="5">
        <v>7</v>
      </c>
    </row>
    <row r="1766" spans="1:19" x14ac:dyDescent="0.25">
      <c r="A1766" s="1" t="s">
        <v>1071</v>
      </c>
      <c r="B1766" s="1" t="s">
        <v>1315</v>
      </c>
      <c r="C1766" s="5">
        <v>4</v>
      </c>
      <c r="D1766" s="1" t="s">
        <v>1125</v>
      </c>
      <c r="E1766" s="1" t="s">
        <v>971</v>
      </c>
      <c r="F1766" s="5" t="s">
        <v>26</v>
      </c>
      <c r="G1766" s="5">
        <v>15</v>
      </c>
      <c r="H1766" s="5">
        <v>25</v>
      </c>
      <c r="I1766" s="5" t="b">
        <v>0</v>
      </c>
      <c r="J1766" s="1" t="s">
        <v>1237</v>
      </c>
      <c r="K1766" s="1" t="s">
        <v>32</v>
      </c>
      <c r="L1766" s="1" t="s">
        <v>716</v>
      </c>
      <c r="M1766" s="1" t="s">
        <v>1138</v>
      </c>
      <c r="N1766" s="1"/>
      <c r="O1766" s="1"/>
      <c r="P1766" s="1"/>
      <c r="Q1766" s="1" t="s">
        <v>1315</v>
      </c>
      <c r="R1766" s="1" t="s">
        <v>1315</v>
      </c>
      <c r="S1766" s="5">
        <v>8</v>
      </c>
    </row>
    <row r="1767" spans="1:19" x14ac:dyDescent="0.25">
      <c r="A1767" s="1" t="s">
        <v>1071</v>
      </c>
      <c r="B1767" s="1" t="s">
        <v>1315</v>
      </c>
      <c r="C1767" s="5">
        <v>4</v>
      </c>
      <c r="D1767" s="1" t="s">
        <v>1254</v>
      </c>
      <c r="E1767" s="1" t="s">
        <v>1318</v>
      </c>
      <c r="F1767" s="5" t="s">
        <v>27</v>
      </c>
      <c r="G1767" s="5">
        <v>3</v>
      </c>
      <c r="H1767" s="5">
        <v>6</v>
      </c>
      <c r="I1767" s="5" t="b">
        <v>0</v>
      </c>
      <c r="J1767" s="1" t="s">
        <v>1256</v>
      </c>
      <c r="K1767" s="1" t="s">
        <v>32</v>
      </c>
      <c r="L1767" s="1" t="s">
        <v>716</v>
      </c>
      <c r="M1767" s="1" t="s">
        <v>1138</v>
      </c>
      <c r="N1767" s="1"/>
      <c r="O1767" s="1"/>
      <c r="P1767" s="1"/>
      <c r="Q1767" s="1" t="s">
        <v>1315</v>
      </c>
      <c r="R1767" s="1" t="s">
        <v>1315</v>
      </c>
      <c r="S1767" s="5">
        <v>9</v>
      </c>
    </row>
    <row r="1768" spans="1:19" x14ac:dyDescent="0.25">
      <c r="A1768" s="1" t="s">
        <v>1071</v>
      </c>
      <c r="B1768" s="1" t="s">
        <v>1315</v>
      </c>
      <c r="C1768" s="5">
        <v>4</v>
      </c>
      <c r="D1768" s="1" t="s">
        <v>1393</v>
      </c>
      <c r="E1768" s="1" t="s">
        <v>960</v>
      </c>
      <c r="F1768" s="5" t="s">
        <v>26</v>
      </c>
      <c r="G1768" s="5">
        <v>25</v>
      </c>
      <c r="H1768" s="5">
        <v>35</v>
      </c>
      <c r="I1768" s="5" t="b">
        <v>0</v>
      </c>
      <c r="J1768" s="1" t="s">
        <v>1238</v>
      </c>
      <c r="K1768" s="1" t="s">
        <v>32</v>
      </c>
      <c r="L1768" s="1" t="s">
        <v>716</v>
      </c>
      <c r="M1768" s="1" t="s">
        <v>1138</v>
      </c>
      <c r="N1768" s="1"/>
      <c r="O1768" s="1"/>
      <c r="P1768" s="1"/>
      <c r="Q1768" s="1" t="s">
        <v>1315</v>
      </c>
      <c r="R1768" s="1" t="s">
        <v>1315</v>
      </c>
      <c r="S1768" s="5">
        <v>11</v>
      </c>
    </row>
    <row r="1769" spans="1:19" x14ac:dyDescent="0.25">
      <c r="A1769" s="1" t="s">
        <v>1071</v>
      </c>
      <c r="B1769" s="1" t="s">
        <v>1315</v>
      </c>
      <c r="C1769" s="5">
        <v>5</v>
      </c>
      <c r="D1769" s="1" t="s">
        <v>11</v>
      </c>
      <c r="E1769" s="1" t="s">
        <v>954</v>
      </c>
      <c r="F1769" s="5" t="s">
        <v>25</v>
      </c>
      <c r="G1769" s="5">
        <v>20</v>
      </c>
      <c r="H1769" s="5">
        <v>25</v>
      </c>
      <c r="I1769" s="5" t="b">
        <v>1</v>
      </c>
      <c r="J1769" s="1" t="s">
        <v>0</v>
      </c>
      <c r="K1769" s="1" t="s">
        <v>32</v>
      </c>
      <c r="L1769" s="1" t="s">
        <v>716</v>
      </c>
      <c r="M1769" s="1" t="s">
        <v>1138</v>
      </c>
      <c r="N1769" s="1"/>
      <c r="O1769" s="1"/>
      <c r="P1769" s="1"/>
      <c r="Q1769" s="1" t="s">
        <v>1315</v>
      </c>
      <c r="R1769" s="1" t="s">
        <v>1315</v>
      </c>
      <c r="S1769" s="5">
        <v>1</v>
      </c>
    </row>
    <row r="1770" spans="1:19" x14ac:dyDescent="0.25">
      <c r="A1770" s="1" t="s">
        <v>1071</v>
      </c>
      <c r="B1770" s="1" t="s">
        <v>1315</v>
      </c>
      <c r="C1770" s="5">
        <v>5</v>
      </c>
      <c r="D1770" s="1" t="s">
        <v>13</v>
      </c>
      <c r="E1770" s="1" t="s">
        <v>725</v>
      </c>
      <c r="F1770" s="5" t="s">
        <v>25</v>
      </c>
      <c r="G1770" s="5">
        <v>0</v>
      </c>
      <c r="H1770" s="5">
        <v>1</v>
      </c>
      <c r="I1770" s="5" t="b">
        <v>1</v>
      </c>
      <c r="J1770" s="1" t="s">
        <v>10</v>
      </c>
      <c r="K1770" s="1" t="s">
        <v>32</v>
      </c>
      <c r="L1770" s="1" t="s">
        <v>716</v>
      </c>
      <c r="M1770" s="1" t="s">
        <v>1138</v>
      </c>
      <c r="N1770" s="1"/>
      <c r="O1770" s="1"/>
      <c r="P1770" s="1"/>
      <c r="Q1770" s="1" t="s">
        <v>1315</v>
      </c>
      <c r="R1770" s="1" t="s">
        <v>1315</v>
      </c>
      <c r="S1770" s="5">
        <v>3</v>
      </c>
    </row>
    <row r="1771" spans="1:19" x14ac:dyDescent="0.25">
      <c r="A1771" s="1" t="s">
        <v>1071</v>
      </c>
      <c r="B1771" s="1" t="s">
        <v>1315</v>
      </c>
      <c r="C1771" s="5">
        <v>5</v>
      </c>
      <c r="D1771" s="1" t="s">
        <v>1125</v>
      </c>
      <c r="E1771" s="1" t="s">
        <v>936</v>
      </c>
      <c r="F1771" s="5" t="s">
        <v>26</v>
      </c>
      <c r="G1771" s="5">
        <v>45</v>
      </c>
      <c r="H1771" s="5">
        <v>55</v>
      </c>
      <c r="I1771" s="5" t="b">
        <v>0</v>
      </c>
      <c r="J1771" s="1" t="s">
        <v>1237</v>
      </c>
      <c r="K1771" s="1" t="s">
        <v>32</v>
      </c>
      <c r="L1771" s="1" t="s">
        <v>716</v>
      </c>
      <c r="M1771" s="1" t="s">
        <v>1138</v>
      </c>
      <c r="N1771" s="1"/>
      <c r="O1771" s="1"/>
      <c r="P1771" s="1"/>
      <c r="Q1771" s="1" t="s">
        <v>1315</v>
      </c>
      <c r="R1771" s="1" t="s">
        <v>1315</v>
      </c>
      <c r="S1771" s="5">
        <v>8</v>
      </c>
    </row>
    <row r="1772" spans="1:19" x14ac:dyDescent="0.25">
      <c r="A1772" s="1" t="s">
        <v>1071</v>
      </c>
      <c r="B1772" s="1" t="s">
        <v>1307</v>
      </c>
      <c r="C1772" s="5">
        <v>2</v>
      </c>
      <c r="D1772" s="1" t="s">
        <v>11</v>
      </c>
      <c r="E1772" s="1" t="s">
        <v>1278</v>
      </c>
      <c r="F1772" s="5" t="s">
        <v>25</v>
      </c>
      <c r="G1772" s="5">
        <v>50</v>
      </c>
      <c r="H1772" s="5">
        <v>55</v>
      </c>
      <c r="I1772" s="5" t="b">
        <v>1</v>
      </c>
      <c r="J1772" s="1" t="s">
        <v>0</v>
      </c>
      <c r="K1772" s="1" t="s">
        <v>32</v>
      </c>
      <c r="L1772" s="1"/>
      <c r="M1772" s="1"/>
      <c r="N1772" s="1"/>
      <c r="O1772" s="1"/>
      <c r="P1772" s="1"/>
      <c r="Q1772" s="1" t="s">
        <v>1307</v>
      </c>
      <c r="R1772" s="1" t="s">
        <v>1307</v>
      </c>
      <c r="S1772" s="5">
        <v>1</v>
      </c>
    </row>
    <row r="1773" spans="1:19" x14ac:dyDescent="0.25">
      <c r="A1773" s="1" t="s">
        <v>1071</v>
      </c>
      <c r="B1773" s="1" t="s">
        <v>1307</v>
      </c>
      <c r="C1773" s="5">
        <v>2</v>
      </c>
      <c r="D1773" s="1" t="s">
        <v>1228</v>
      </c>
      <c r="E1773" s="1" t="s">
        <v>964</v>
      </c>
      <c r="F1773" s="5" t="s">
        <v>25</v>
      </c>
      <c r="G1773" s="5">
        <v>2</v>
      </c>
      <c r="H1773" s="5">
        <v>3</v>
      </c>
      <c r="I1773" s="5" t="b">
        <v>1</v>
      </c>
      <c r="J1773" s="1" t="s">
        <v>1229</v>
      </c>
      <c r="K1773" s="1" t="s">
        <v>32</v>
      </c>
      <c r="L1773" s="1"/>
      <c r="M1773" s="1"/>
      <c r="N1773" s="1"/>
      <c r="O1773" s="1"/>
      <c r="P1773" s="1"/>
      <c r="Q1773" s="1" t="s">
        <v>1307</v>
      </c>
      <c r="R1773" s="1" t="s">
        <v>1307</v>
      </c>
      <c r="S1773" s="5">
        <v>2</v>
      </c>
    </row>
    <row r="1774" spans="1:19" x14ac:dyDescent="0.25">
      <c r="A1774" s="1" t="s">
        <v>1071</v>
      </c>
      <c r="B1774" s="1" t="s">
        <v>1307</v>
      </c>
      <c r="C1774" s="5">
        <v>2</v>
      </c>
      <c r="D1774" s="1" t="s">
        <v>13</v>
      </c>
      <c r="E1774" s="1" t="s">
        <v>1308</v>
      </c>
      <c r="F1774" s="5" t="s">
        <v>25</v>
      </c>
      <c r="G1774" s="5">
        <v>18</v>
      </c>
      <c r="H1774" s="5">
        <v>23</v>
      </c>
      <c r="I1774" s="5" t="b">
        <v>1</v>
      </c>
      <c r="J1774" s="1" t="s">
        <v>10</v>
      </c>
      <c r="K1774" s="1" t="s">
        <v>32</v>
      </c>
      <c r="L1774" s="1"/>
      <c r="M1774" s="1"/>
      <c r="N1774" s="1"/>
      <c r="O1774" s="1"/>
      <c r="P1774" s="1"/>
      <c r="Q1774" s="1" t="s">
        <v>1307</v>
      </c>
      <c r="R1774" s="1" t="s">
        <v>1307</v>
      </c>
      <c r="S1774" s="5">
        <v>3</v>
      </c>
    </row>
    <row r="1775" spans="1:19" x14ac:dyDescent="0.25">
      <c r="A1775" s="1" t="s">
        <v>1071</v>
      </c>
      <c r="B1775" s="1" t="s">
        <v>1307</v>
      </c>
      <c r="C1775" s="5">
        <v>2</v>
      </c>
      <c r="D1775" s="1" t="s">
        <v>1231</v>
      </c>
      <c r="E1775" s="1" t="s">
        <v>923</v>
      </c>
      <c r="F1775" s="5" t="s">
        <v>25</v>
      </c>
      <c r="G1775" s="5">
        <v>0</v>
      </c>
      <c r="H1775" s="5">
        <v>3</v>
      </c>
      <c r="I1775" s="5" t="b">
        <v>1</v>
      </c>
      <c r="J1775" s="1" t="s">
        <v>1232</v>
      </c>
      <c r="K1775" s="1" t="s">
        <v>32</v>
      </c>
      <c r="L1775" s="1"/>
      <c r="M1775" s="1"/>
      <c r="N1775" s="1"/>
      <c r="O1775" s="1"/>
      <c r="P1775" s="1"/>
      <c r="Q1775" s="1" t="s">
        <v>1307</v>
      </c>
      <c r="R1775" s="1" t="s">
        <v>1307</v>
      </c>
      <c r="S1775" s="5">
        <v>4</v>
      </c>
    </row>
    <row r="1776" spans="1:19" x14ac:dyDescent="0.25">
      <c r="A1776" s="1" t="s">
        <v>1071</v>
      </c>
      <c r="B1776" s="1" t="s">
        <v>1307</v>
      </c>
      <c r="C1776" s="5">
        <v>2</v>
      </c>
      <c r="D1776" s="1" t="s">
        <v>29</v>
      </c>
      <c r="E1776" s="1" t="s">
        <v>934</v>
      </c>
      <c r="F1776" s="5" t="s">
        <v>25</v>
      </c>
      <c r="G1776" s="5">
        <v>10</v>
      </c>
      <c r="H1776" s="5">
        <v>15</v>
      </c>
      <c r="I1776" s="5" t="b">
        <v>1</v>
      </c>
      <c r="J1776" s="1" t="s">
        <v>1121</v>
      </c>
      <c r="K1776" s="1" t="s">
        <v>32</v>
      </c>
      <c r="L1776" s="1"/>
      <c r="M1776" s="1"/>
      <c r="N1776" s="1"/>
      <c r="O1776" s="1"/>
      <c r="P1776" s="1"/>
      <c r="Q1776" s="1" t="s">
        <v>1307</v>
      </c>
      <c r="R1776" s="1" t="s">
        <v>1307</v>
      </c>
      <c r="S1776" s="5">
        <v>5</v>
      </c>
    </row>
    <row r="1777" spans="1:19" x14ac:dyDescent="0.25">
      <c r="A1777" s="1" t="s">
        <v>1071</v>
      </c>
      <c r="B1777" s="1" t="s">
        <v>1307</v>
      </c>
      <c r="C1777" s="5">
        <v>2</v>
      </c>
      <c r="D1777" s="1" t="s">
        <v>35</v>
      </c>
      <c r="E1777" s="1" t="s">
        <v>1309</v>
      </c>
      <c r="F1777" s="5" t="s">
        <v>24</v>
      </c>
      <c r="G1777" s="5">
        <v>14</v>
      </c>
      <c r="H1777" s="5">
        <v>20</v>
      </c>
      <c r="I1777" s="5" t="b">
        <v>1</v>
      </c>
      <c r="J1777" s="1" t="s">
        <v>1289</v>
      </c>
      <c r="K1777" s="1" t="s">
        <v>32</v>
      </c>
      <c r="L1777" s="1"/>
      <c r="M1777" s="1"/>
      <c r="N1777" s="1"/>
      <c r="O1777" s="1"/>
      <c r="P1777" s="1"/>
      <c r="Q1777" s="1" t="s">
        <v>1307</v>
      </c>
      <c r="R1777" s="1" t="s">
        <v>1307</v>
      </c>
      <c r="S1777" s="5">
        <v>7</v>
      </c>
    </row>
    <row r="1778" spans="1:19" x14ac:dyDescent="0.25">
      <c r="A1778" s="1" t="s">
        <v>1071</v>
      </c>
      <c r="B1778" s="1" t="s">
        <v>1307</v>
      </c>
      <c r="C1778" s="5">
        <v>2</v>
      </c>
      <c r="D1778" s="1" t="s">
        <v>1125</v>
      </c>
      <c r="E1778" s="1" t="s">
        <v>1310</v>
      </c>
      <c r="F1778" s="5" t="s">
        <v>26</v>
      </c>
      <c r="G1778" s="5">
        <v>0</v>
      </c>
      <c r="H1778" s="5">
        <v>10</v>
      </c>
      <c r="I1778" s="5" t="b">
        <v>0</v>
      </c>
      <c r="J1778" s="1" t="s">
        <v>1237</v>
      </c>
      <c r="K1778" s="1" t="s">
        <v>32</v>
      </c>
      <c r="L1778" s="1"/>
      <c r="M1778" s="1"/>
      <c r="N1778" s="1"/>
      <c r="O1778" s="1"/>
      <c r="P1778" s="1"/>
      <c r="Q1778" s="1" t="s">
        <v>1307</v>
      </c>
      <c r="R1778" s="1" t="s">
        <v>1307</v>
      </c>
      <c r="S1778" s="5">
        <v>8</v>
      </c>
    </row>
    <row r="1779" spans="1:19" x14ac:dyDescent="0.25">
      <c r="A1779" s="1" t="s">
        <v>1071</v>
      </c>
      <c r="B1779" s="1" t="s">
        <v>1307</v>
      </c>
      <c r="C1779" s="5">
        <v>2</v>
      </c>
      <c r="D1779" s="1" t="s">
        <v>1254</v>
      </c>
      <c r="E1779" s="1" t="s">
        <v>1257</v>
      </c>
      <c r="F1779" s="5" t="s">
        <v>27</v>
      </c>
      <c r="G1779" s="5">
        <v>0</v>
      </c>
      <c r="H1779" s="5">
        <v>5</v>
      </c>
      <c r="I1779" s="5" t="b">
        <v>0</v>
      </c>
      <c r="J1779" s="1" t="s">
        <v>1256</v>
      </c>
      <c r="K1779" s="1" t="s">
        <v>32</v>
      </c>
      <c r="L1779" s="1"/>
      <c r="M1779" s="1"/>
      <c r="N1779" s="1"/>
      <c r="O1779" s="1"/>
      <c r="P1779" s="1"/>
      <c r="Q1779" s="1" t="s">
        <v>1307</v>
      </c>
      <c r="R1779" s="1" t="s">
        <v>1307</v>
      </c>
      <c r="S1779" s="5">
        <v>9</v>
      </c>
    </row>
    <row r="1780" spans="1:19" x14ac:dyDescent="0.25">
      <c r="A1780" s="1" t="s">
        <v>1071</v>
      </c>
      <c r="B1780" s="1" t="s">
        <v>1307</v>
      </c>
      <c r="C1780" s="5">
        <v>2</v>
      </c>
      <c r="D1780" s="1" t="s">
        <v>1161</v>
      </c>
      <c r="E1780" s="1" t="s">
        <v>1239</v>
      </c>
      <c r="F1780" s="5" t="s">
        <v>27</v>
      </c>
      <c r="G1780" s="5">
        <v>0</v>
      </c>
      <c r="H1780" s="5">
        <v>1</v>
      </c>
      <c r="I1780" s="5" t="b">
        <v>0</v>
      </c>
      <c r="J1780" s="1" t="s">
        <v>1240</v>
      </c>
      <c r="K1780" s="1" t="s">
        <v>32</v>
      </c>
      <c r="L1780" s="1"/>
      <c r="M1780" s="1"/>
      <c r="N1780" s="1"/>
      <c r="O1780" s="1"/>
      <c r="P1780" s="1"/>
      <c r="Q1780" s="1" t="s">
        <v>1307</v>
      </c>
      <c r="R1780" s="1" t="s">
        <v>1307</v>
      </c>
      <c r="S1780" s="5">
        <v>10</v>
      </c>
    </row>
    <row r="1781" spans="1:19" x14ac:dyDescent="0.25">
      <c r="A1781" s="1" t="s">
        <v>1071</v>
      </c>
      <c r="B1781" s="1" t="s">
        <v>1307</v>
      </c>
      <c r="C1781" s="5">
        <v>2</v>
      </c>
      <c r="D1781" s="1" t="s">
        <v>1393</v>
      </c>
      <c r="E1781" s="1" t="s">
        <v>963</v>
      </c>
      <c r="F1781" s="5" t="s">
        <v>27</v>
      </c>
      <c r="G1781" s="5">
        <v>5</v>
      </c>
      <c r="H1781" s="5">
        <v>10</v>
      </c>
      <c r="I1781" s="5" t="b">
        <v>0</v>
      </c>
      <c r="J1781" s="1" t="s">
        <v>1238</v>
      </c>
      <c r="K1781" s="1" t="s">
        <v>32</v>
      </c>
      <c r="L1781" s="1"/>
      <c r="M1781" s="1"/>
      <c r="N1781" s="1"/>
      <c r="O1781" s="1"/>
      <c r="P1781" s="1"/>
      <c r="Q1781" s="1" t="s">
        <v>1307</v>
      </c>
      <c r="R1781" s="1" t="s">
        <v>1307</v>
      </c>
      <c r="S1781" s="5">
        <v>11</v>
      </c>
    </row>
    <row r="1782" spans="1:19" x14ac:dyDescent="0.25">
      <c r="A1782" s="1" t="s">
        <v>1071</v>
      </c>
      <c r="B1782" s="1" t="s">
        <v>1307</v>
      </c>
      <c r="C1782" s="5">
        <v>2</v>
      </c>
      <c r="D1782" s="1" t="s">
        <v>1392</v>
      </c>
      <c r="E1782" s="1" t="s">
        <v>1311</v>
      </c>
      <c r="F1782" s="5" t="s">
        <v>27</v>
      </c>
      <c r="G1782" s="5">
        <v>25</v>
      </c>
      <c r="H1782" s="5">
        <v>30</v>
      </c>
      <c r="I1782" s="5" t="b">
        <v>0</v>
      </c>
      <c r="J1782" s="1" t="s">
        <v>1390</v>
      </c>
      <c r="K1782" s="1" t="s">
        <v>32</v>
      </c>
      <c r="L1782" s="1"/>
      <c r="M1782" s="1"/>
      <c r="N1782" s="1"/>
      <c r="O1782" s="1"/>
      <c r="P1782" s="1"/>
      <c r="Q1782" s="1" t="s">
        <v>1307</v>
      </c>
      <c r="R1782" s="1" t="s">
        <v>1307</v>
      </c>
      <c r="S1782" s="5">
        <v>16</v>
      </c>
    </row>
    <row r="1783" spans="1:19" x14ac:dyDescent="0.25">
      <c r="A1783" s="1" t="s">
        <v>1071</v>
      </c>
      <c r="B1783" s="1" t="s">
        <v>1307</v>
      </c>
      <c r="C1783" s="5">
        <v>3</v>
      </c>
      <c r="D1783" s="1" t="s">
        <v>11</v>
      </c>
      <c r="E1783" s="1" t="s">
        <v>953</v>
      </c>
      <c r="F1783" s="5" t="s">
        <v>24</v>
      </c>
      <c r="G1783" s="5">
        <v>40</v>
      </c>
      <c r="H1783" s="5">
        <v>50</v>
      </c>
      <c r="I1783" s="5" t="b">
        <v>1</v>
      </c>
      <c r="J1783" s="1" t="s">
        <v>0</v>
      </c>
      <c r="K1783" s="1" t="s">
        <v>32</v>
      </c>
      <c r="L1783" s="1" t="s">
        <v>716</v>
      </c>
      <c r="M1783" s="1" t="s">
        <v>1138</v>
      </c>
      <c r="N1783" s="1"/>
      <c r="O1783" s="1"/>
      <c r="P1783" s="1"/>
      <c r="Q1783" s="1" t="s">
        <v>1307</v>
      </c>
      <c r="R1783" s="1" t="s">
        <v>1307</v>
      </c>
      <c r="S1783" s="5">
        <v>1</v>
      </c>
    </row>
    <row r="1784" spans="1:19" x14ac:dyDescent="0.25">
      <c r="A1784" s="1" t="s">
        <v>1071</v>
      </c>
      <c r="B1784" s="1" t="s">
        <v>1307</v>
      </c>
      <c r="C1784" s="5">
        <v>3</v>
      </c>
      <c r="D1784" s="1" t="s">
        <v>1228</v>
      </c>
      <c r="E1784" s="1" t="s">
        <v>964</v>
      </c>
      <c r="F1784" s="5" t="s">
        <v>25</v>
      </c>
      <c r="G1784" s="5">
        <v>2</v>
      </c>
      <c r="H1784" s="5">
        <v>3</v>
      </c>
      <c r="I1784" s="5" t="b">
        <v>1</v>
      </c>
      <c r="J1784" s="1" t="s">
        <v>1229</v>
      </c>
      <c r="K1784" s="1" t="s">
        <v>32</v>
      </c>
      <c r="L1784" s="1"/>
      <c r="M1784" s="1"/>
      <c r="N1784" s="1"/>
      <c r="O1784" s="1"/>
      <c r="P1784" s="1"/>
      <c r="Q1784" s="1" t="s">
        <v>1307</v>
      </c>
      <c r="R1784" s="1" t="s">
        <v>1307</v>
      </c>
      <c r="S1784" s="5">
        <v>2</v>
      </c>
    </row>
    <row r="1785" spans="1:19" x14ac:dyDescent="0.25">
      <c r="A1785" s="1" t="s">
        <v>1071</v>
      </c>
      <c r="B1785" s="1" t="s">
        <v>1307</v>
      </c>
      <c r="C1785" s="5">
        <v>3</v>
      </c>
      <c r="D1785" s="1" t="s">
        <v>13</v>
      </c>
      <c r="E1785" s="1" t="s">
        <v>1241</v>
      </c>
      <c r="F1785" s="5" t="s">
        <v>25</v>
      </c>
      <c r="G1785" s="5">
        <v>11</v>
      </c>
      <c r="H1785" s="5">
        <v>18</v>
      </c>
      <c r="I1785" s="5" t="b">
        <v>1</v>
      </c>
      <c r="J1785" s="1" t="s">
        <v>10</v>
      </c>
      <c r="K1785" s="1" t="s">
        <v>32</v>
      </c>
      <c r="L1785" s="1"/>
      <c r="M1785" s="1"/>
      <c r="N1785" s="1"/>
      <c r="O1785" s="1"/>
      <c r="P1785" s="1"/>
      <c r="Q1785" s="1" t="s">
        <v>1307</v>
      </c>
      <c r="R1785" s="1" t="s">
        <v>1307</v>
      </c>
      <c r="S1785" s="5">
        <v>3</v>
      </c>
    </row>
    <row r="1786" spans="1:19" x14ac:dyDescent="0.25">
      <c r="A1786" s="1" t="s">
        <v>1071</v>
      </c>
      <c r="B1786" s="1" t="s">
        <v>1307</v>
      </c>
      <c r="C1786" s="5">
        <v>3</v>
      </c>
      <c r="D1786" s="1" t="s">
        <v>29</v>
      </c>
      <c r="E1786" s="1" t="s">
        <v>948</v>
      </c>
      <c r="F1786" s="5" t="s">
        <v>25</v>
      </c>
      <c r="G1786" s="5">
        <v>5</v>
      </c>
      <c r="H1786" s="5">
        <v>10</v>
      </c>
      <c r="I1786" s="5" t="b">
        <v>1</v>
      </c>
      <c r="J1786" s="1" t="s">
        <v>1121</v>
      </c>
      <c r="K1786" s="1" t="s">
        <v>32</v>
      </c>
      <c r="L1786" s="1"/>
      <c r="M1786" s="1"/>
      <c r="N1786" s="1"/>
      <c r="O1786" s="1"/>
      <c r="P1786" s="1"/>
      <c r="Q1786" s="1" t="s">
        <v>1307</v>
      </c>
      <c r="R1786" s="1" t="s">
        <v>1307</v>
      </c>
      <c r="S1786" s="5">
        <v>5</v>
      </c>
    </row>
    <row r="1787" spans="1:19" x14ac:dyDescent="0.25">
      <c r="A1787" s="1" t="s">
        <v>1071</v>
      </c>
      <c r="B1787" s="1" t="s">
        <v>1307</v>
      </c>
      <c r="C1787" s="5">
        <v>3</v>
      </c>
      <c r="D1787" s="1" t="s">
        <v>35</v>
      </c>
      <c r="E1787" s="1" t="s">
        <v>1312</v>
      </c>
      <c r="F1787" s="5" t="s">
        <v>24</v>
      </c>
      <c r="G1787" s="5">
        <v>6</v>
      </c>
      <c r="H1787" s="5">
        <v>14</v>
      </c>
      <c r="I1787" s="5" t="b">
        <v>1</v>
      </c>
      <c r="J1787" s="1" t="s">
        <v>1289</v>
      </c>
      <c r="K1787" s="1" t="s">
        <v>32</v>
      </c>
      <c r="L1787" s="1"/>
      <c r="M1787" s="1"/>
      <c r="N1787" s="1"/>
      <c r="O1787" s="1"/>
      <c r="P1787" s="1"/>
      <c r="Q1787" s="1" t="s">
        <v>1307</v>
      </c>
      <c r="R1787" s="1" t="s">
        <v>1307</v>
      </c>
      <c r="S1787" s="5">
        <v>7</v>
      </c>
    </row>
    <row r="1788" spans="1:19" x14ac:dyDescent="0.25">
      <c r="A1788" s="1" t="s">
        <v>1071</v>
      </c>
      <c r="B1788" s="1" t="s">
        <v>1307</v>
      </c>
      <c r="C1788" s="5">
        <v>3</v>
      </c>
      <c r="D1788" s="1" t="s">
        <v>1125</v>
      </c>
      <c r="E1788" s="1" t="s">
        <v>965</v>
      </c>
      <c r="F1788" s="5" t="s">
        <v>26</v>
      </c>
      <c r="G1788" s="5">
        <v>10</v>
      </c>
      <c r="H1788" s="5">
        <v>20</v>
      </c>
      <c r="I1788" s="5" t="b">
        <v>0</v>
      </c>
      <c r="J1788" s="1" t="s">
        <v>1237</v>
      </c>
      <c r="K1788" s="1" t="s">
        <v>32</v>
      </c>
      <c r="L1788" s="1"/>
      <c r="M1788" s="1"/>
      <c r="N1788" s="1"/>
      <c r="O1788" s="1"/>
      <c r="P1788" s="1"/>
      <c r="Q1788" s="1" t="s">
        <v>1307</v>
      </c>
      <c r="R1788" s="1" t="s">
        <v>1307</v>
      </c>
      <c r="S1788" s="5">
        <v>8</v>
      </c>
    </row>
    <row r="1789" spans="1:19" x14ac:dyDescent="0.25">
      <c r="A1789" s="1" t="s">
        <v>1071</v>
      </c>
      <c r="B1789" s="1" t="s">
        <v>1307</v>
      </c>
      <c r="C1789" s="5">
        <v>3</v>
      </c>
      <c r="D1789" s="1" t="s">
        <v>1254</v>
      </c>
      <c r="E1789" s="1" t="s">
        <v>1294</v>
      </c>
      <c r="F1789" s="5" t="s">
        <v>27</v>
      </c>
      <c r="G1789" s="5">
        <v>5</v>
      </c>
      <c r="H1789" s="5">
        <v>8</v>
      </c>
      <c r="I1789" s="5" t="b">
        <v>0</v>
      </c>
      <c r="J1789" s="1" t="s">
        <v>1256</v>
      </c>
      <c r="K1789" s="1" t="s">
        <v>32</v>
      </c>
      <c r="L1789" s="1"/>
      <c r="M1789" s="1"/>
      <c r="N1789" s="1"/>
      <c r="O1789" s="1"/>
      <c r="P1789" s="1"/>
      <c r="Q1789" s="1" t="s">
        <v>1307</v>
      </c>
      <c r="R1789" s="1" t="s">
        <v>1307</v>
      </c>
      <c r="S1789" s="5">
        <v>9</v>
      </c>
    </row>
    <row r="1790" spans="1:19" x14ac:dyDescent="0.25">
      <c r="A1790" s="1" t="s">
        <v>1071</v>
      </c>
      <c r="B1790" s="1" t="s">
        <v>1307</v>
      </c>
      <c r="C1790" s="5">
        <v>3</v>
      </c>
      <c r="D1790" s="1" t="s">
        <v>1393</v>
      </c>
      <c r="E1790" s="1" t="s">
        <v>965</v>
      </c>
      <c r="F1790" s="5" t="s">
        <v>26</v>
      </c>
      <c r="G1790" s="5">
        <v>10</v>
      </c>
      <c r="H1790" s="5">
        <v>20</v>
      </c>
      <c r="I1790" s="5" t="b">
        <v>0</v>
      </c>
      <c r="J1790" s="1" t="s">
        <v>1238</v>
      </c>
      <c r="K1790" s="1" t="s">
        <v>32</v>
      </c>
      <c r="L1790" s="1" t="s">
        <v>716</v>
      </c>
      <c r="M1790" s="1" t="s">
        <v>1138</v>
      </c>
      <c r="N1790" s="1"/>
      <c r="O1790" s="1"/>
      <c r="P1790" s="1"/>
      <c r="Q1790" s="1" t="s">
        <v>1307</v>
      </c>
      <c r="R1790" s="1" t="s">
        <v>1307</v>
      </c>
      <c r="S1790" s="5">
        <v>11</v>
      </c>
    </row>
    <row r="1791" spans="1:19" x14ac:dyDescent="0.25">
      <c r="A1791" s="1" t="s">
        <v>1071</v>
      </c>
      <c r="B1791" s="1" t="s">
        <v>1307</v>
      </c>
      <c r="C1791" s="5">
        <v>3</v>
      </c>
      <c r="D1791" s="1" t="s">
        <v>1392</v>
      </c>
      <c r="E1791" s="1" t="s">
        <v>1262</v>
      </c>
      <c r="F1791" s="5" t="s">
        <v>27</v>
      </c>
      <c r="G1791" s="5">
        <v>35</v>
      </c>
      <c r="H1791" s="5">
        <v>40</v>
      </c>
      <c r="I1791" s="5" t="b">
        <v>0</v>
      </c>
      <c r="J1791" s="1" t="s">
        <v>1390</v>
      </c>
      <c r="K1791" s="1" t="s">
        <v>32</v>
      </c>
      <c r="L1791" s="1" t="s">
        <v>716</v>
      </c>
      <c r="M1791" s="1" t="s">
        <v>1138</v>
      </c>
      <c r="N1791" s="1"/>
      <c r="O1791" s="1"/>
      <c r="P1791" s="1"/>
      <c r="Q1791" s="1" t="s">
        <v>1307</v>
      </c>
      <c r="R1791" s="1" t="s">
        <v>1307</v>
      </c>
      <c r="S1791" s="5">
        <v>16</v>
      </c>
    </row>
    <row r="1792" spans="1:19" x14ac:dyDescent="0.25">
      <c r="A1792" s="1" t="s">
        <v>1071</v>
      </c>
      <c r="B1792" s="1" t="s">
        <v>1307</v>
      </c>
      <c r="C1792" s="5">
        <v>4</v>
      </c>
      <c r="D1792" s="1" t="s">
        <v>11</v>
      </c>
      <c r="E1792" s="1" t="s">
        <v>925</v>
      </c>
      <c r="F1792" s="5" t="s">
        <v>24</v>
      </c>
      <c r="G1792" s="5">
        <v>30</v>
      </c>
      <c r="H1792" s="5">
        <v>40</v>
      </c>
      <c r="I1792" s="5" t="b">
        <v>1</v>
      </c>
      <c r="J1792" s="1" t="s">
        <v>0</v>
      </c>
      <c r="K1792" s="1" t="s">
        <v>32</v>
      </c>
      <c r="L1792" s="1" t="s">
        <v>716</v>
      </c>
      <c r="M1792" s="1" t="s">
        <v>1138</v>
      </c>
      <c r="N1792" s="1"/>
      <c r="O1792" s="1"/>
      <c r="P1792" s="1"/>
      <c r="Q1792" s="1" t="s">
        <v>1307</v>
      </c>
      <c r="R1792" s="1" t="s">
        <v>1307</v>
      </c>
      <c r="S1792" s="5">
        <v>1</v>
      </c>
    </row>
    <row r="1793" spans="1:19" x14ac:dyDescent="0.25">
      <c r="A1793" s="1" t="s">
        <v>1071</v>
      </c>
      <c r="B1793" s="1" t="s">
        <v>1307</v>
      </c>
      <c r="C1793" s="5">
        <v>4</v>
      </c>
      <c r="D1793" s="1" t="s">
        <v>1228</v>
      </c>
      <c r="E1793" s="1" t="s">
        <v>1243</v>
      </c>
      <c r="F1793" s="5" t="s">
        <v>25</v>
      </c>
      <c r="G1793" s="5">
        <v>-0.5</v>
      </c>
      <c r="H1793" s="5">
        <v>2</v>
      </c>
      <c r="I1793" s="5" t="b">
        <v>1</v>
      </c>
      <c r="J1793" s="1" t="s">
        <v>1229</v>
      </c>
      <c r="K1793" s="1" t="s">
        <v>32</v>
      </c>
      <c r="L1793" s="1"/>
      <c r="M1793" s="1"/>
      <c r="N1793" s="1"/>
      <c r="O1793" s="1"/>
      <c r="P1793" s="1"/>
      <c r="Q1793" s="1" t="s">
        <v>1307</v>
      </c>
      <c r="R1793" s="1" t="s">
        <v>1307</v>
      </c>
      <c r="S1793" s="5">
        <v>2</v>
      </c>
    </row>
    <row r="1794" spans="1:19" x14ac:dyDescent="0.25">
      <c r="A1794" s="1" t="s">
        <v>1071</v>
      </c>
      <c r="B1794" s="1" t="s">
        <v>1307</v>
      </c>
      <c r="C1794" s="5">
        <v>4</v>
      </c>
      <c r="D1794" s="1" t="s">
        <v>13</v>
      </c>
      <c r="E1794" s="1" t="s">
        <v>942</v>
      </c>
      <c r="F1794" s="5" t="s">
        <v>25</v>
      </c>
      <c r="G1794" s="5">
        <v>3</v>
      </c>
      <c r="H1794" s="5">
        <v>8</v>
      </c>
      <c r="I1794" s="5" t="b">
        <v>1</v>
      </c>
      <c r="J1794" s="1" t="s">
        <v>10</v>
      </c>
      <c r="K1794" s="1" t="s">
        <v>32</v>
      </c>
      <c r="L1794" s="1"/>
      <c r="M1794" s="1"/>
      <c r="N1794" s="1"/>
      <c r="O1794" s="1"/>
      <c r="P1794" s="1"/>
      <c r="Q1794" s="1" t="s">
        <v>1307</v>
      </c>
      <c r="R1794" s="1" t="s">
        <v>1307</v>
      </c>
      <c r="S1794" s="5">
        <v>3</v>
      </c>
    </row>
    <row r="1795" spans="1:19" x14ac:dyDescent="0.25">
      <c r="A1795" s="1" t="s">
        <v>1071</v>
      </c>
      <c r="B1795" s="1" t="s">
        <v>1307</v>
      </c>
      <c r="C1795" s="5">
        <v>4</v>
      </c>
      <c r="D1795" s="1" t="s">
        <v>29</v>
      </c>
      <c r="E1795" s="1" t="s">
        <v>924</v>
      </c>
      <c r="F1795" s="5" t="s">
        <v>25</v>
      </c>
      <c r="G1795" s="5">
        <v>1</v>
      </c>
      <c r="H1795" s="5">
        <v>4</v>
      </c>
      <c r="I1795" s="5" t="b">
        <v>1</v>
      </c>
      <c r="J1795" s="1" t="s">
        <v>1121</v>
      </c>
      <c r="K1795" s="1" t="s">
        <v>32</v>
      </c>
      <c r="L1795" s="1"/>
      <c r="M1795" s="1"/>
      <c r="N1795" s="1"/>
      <c r="O1795" s="1"/>
      <c r="P1795" s="1"/>
      <c r="Q1795" s="1" t="s">
        <v>1307</v>
      </c>
      <c r="R1795" s="1" t="s">
        <v>1307</v>
      </c>
      <c r="S1795" s="5">
        <v>5</v>
      </c>
    </row>
    <row r="1796" spans="1:19" x14ac:dyDescent="0.25">
      <c r="A1796" s="1" t="s">
        <v>1071</v>
      </c>
      <c r="B1796" s="1" t="s">
        <v>1307</v>
      </c>
      <c r="C1796" s="5">
        <v>4</v>
      </c>
      <c r="D1796" s="1" t="s">
        <v>35</v>
      </c>
      <c r="E1796" s="1" t="s">
        <v>1313</v>
      </c>
      <c r="F1796" s="5" t="s">
        <v>25</v>
      </c>
      <c r="G1796" s="5">
        <v>0</v>
      </c>
      <c r="H1796" s="5">
        <v>5</v>
      </c>
      <c r="I1796" s="5" t="b">
        <v>1</v>
      </c>
      <c r="J1796" s="1" t="s">
        <v>1289</v>
      </c>
      <c r="K1796" s="1" t="s">
        <v>32</v>
      </c>
      <c r="L1796" s="1" t="s">
        <v>716</v>
      </c>
      <c r="M1796" s="1" t="s">
        <v>1138</v>
      </c>
      <c r="N1796" s="1"/>
      <c r="O1796" s="1"/>
      <c r="P1796" s="1"/>
      <c r="Q1796" s="1" t="s">
        <v>1307</v>
      </c>
      <c r="R1796" s="1" t="s">
        <v>1307</v>
      </c>
      <c r="S1796" s="5">
        <v>7</v>
      </c>
    </row>
    <row r="1797" spans="1:19" x14ac:dyDescent="0.25">
      <c r="A1797" s="1" t="s">
        <v>1071</v>
      </c>
      <c r="B1797" s="1" t="s">
        <v>1307</v>
      </c>
      <c r="C1797" s="5">
        <v>4</v>
      </c>
      <c r="D1797" s="1" t="s">
        <v>1125</v>
      </c>
      <c r="E1797" s="1" t="s">
        <v>917</v>
      </c>
      <c r="F1797" s="5" t="s">
        <v>26</v>
      </c>
      <c r="G1797" s="5">
        <v>20</v>
      </c>
      <c r="H1797" s="5">
        <v>30</v>
      </c>
      <c r="I1797" s="5" t="b">
        <v>0</v>
      </c>
      <c r="J1797" s="1" t="s">
        <v>1237</v>
      </c>
      <c r="K1797" s="1" t="s">
        <v>32</v>
      </c>
      <c r="L1797" s="1" t="s">
        <v>716</v>
      </c>
      <c r="M1797" s="1" t="s">
        <v>1138</v>
      </c>
      <c r="N1797" s="1"/>
      <c r="O1797" s="1"/>
      <c r="P1797" s="1"/>
      <c r="Q1797" s="1" t="s">
        <v>1307</v>
      </c>
      <c r="R1797" s="1" t="s">
        <v>1307</v>
      </c>
      <c r="S1797" s="5">
        <v>8</v>
      </c>
    </row>
    <row r="1798" spans="1:19" x14ac:dyDescent="0.25">
      <c r="A1798" s="1" t="s">
        <v>1071</v>
      </c>
      <c r="B1798" s="1" t="s">
        <v>1307</v>
      </c>
      <c r="C1798" s="5">
        <v>4</v>
      </c>
      <c r="D1798" s="1" t="s">
        <v>1393</v>
      </c>
      <c r="E1798" s="1" t="s">
        <v>1247</v>
      </c>
      <c r="F1798" s="5" t="s">
        <v>27</v>
      </c>
      <c r="G1798" s="5">
        <v>30</v>
      </c>
      <c r="H1798" s="5">
        <v>35</v>
      </c>
      <c r="I1798" s="5" t="b">
        <v>0</v>
      </c>
      <c r="J1798" s="1" t="s">
        <v>1238</v>
      </c>
      <c r="K1798" s="1" t="s">
        <v>32</v>
      </c>
      <c r="L1798" s="1" t="s">
        <v>716</v>
      </c>
      <c r="M1798" s="1" t="s">
        <v>1138</v>
      </c>
      <c r="N1798" s="1"/>
      <c r="O1798" s="1"/>
      <c r="P1798" s="1"/>
      <c r="Q1798" s="1" t="s">
        <v>1307</v>
      </c>
      <c r="R1798" s="1" t="s">
        <v>1307</v>
      </c>
      <c r="S1798" s="5">
        <v>11</v>
      </c>
    </row>
    <row r="1799" spans="1:19" x14ac:dyDescent="0.25">
      <c r="A1799" s="1" t="s">
        <v>1071</v>
      </c>
      <c r="B1799" s="1" t="s">
        <v>1307</v>
      </c>
      <c r="C1799" s="5">
        <v>4</v>
      </c>
      <c r="D1799" s="1" t="s">
        <v>1392</v>
      </c>
      <c r="E1799" s="1" t="s">
        <v>928</v>
      </c>
      <c r="F1799" s="5" t="s">
        <v>26</v>
      </c>
      <c r="G1799" s="5">
        <v>40</v>
      </c>
      <c r="H1799" s="5">
        <v>50</v>
      </c>
      <c r="I1799" s="5" t="b">
        <v>0</v>
      </c>
      <c r="J1799" s="1" t="s">
        <v>1390</v>
      </c>
      <c r="K1799" s="1" t="s">
        <v>32</v>
      </c>
      <c r="L1799" s="1" t="s">
        <v>716</v>
      </c>
      <c r="M1799" s="1" t="s">
        <v>1138</v>
      </c>
      <c r="N1799" s="1"/>
      <c r="O1799" s="1"/>
      <c r="P1799" s="1"/>
      <c r="Q1799" s="1" t="s">
        <v>1307</v>
      </c>
      <c r="R1799" s="1" t="s">
        <v>1307</v>
      </c>
      <c r="S1799" s="5">
        <v>16</v>
      </c>
    </row>
    <row r="1800" spans="1:19" x14ac:dyDescent="0.25">
      <c r="A1800" s="1" t="s">
        <v>1071</v>
      </c>
      <c r="B1800" s="1" t="s">
        <v>1307</v>
      </c>
      <c r="C1800" s="5">
        <v>5</v>
      </c>
      <c r="D1800" s="1" t="s">
        <v>11</v>
      </c>
      <c r="E1800" s="1" t="s">
        <v>1314</v>
      </c>
      <c r="F1800" s="5" t="s">
        <v>25</v>
      </c>
      <c r="G1800" s="5">
        <v>23</v>
      </c>
      <c r="H1800" s="5">
        <v>30</v>
      </c>
      <c r="I1800" s="5" t="b">
        <v>1</v>
      </c>
      <c r="J1800" s="1" t="s">
        <v>0</v>
      </c>
      <c r="K1800" s="1" t="s">
        <v>32</v>
      </c>
      <c r="L1800" s="1" t="s">
        <v>716</v>
      </c>
      <c r="M1800" s="1" t="s">
        <v>1138</v>
      </c>
      <c r="N1800" s="1"/>
      <c r="O1800" s="1"/>
      <c r="P1800" s="1"/>
      <c r="Q1800" s="1" t="s">
        <v>1307</v>
      </c>
      <c r="R1800" s="1" t="s">
        <v>1307</v>
      </c>
      <c r="S1800" s="5">
        <v>1</v>
      </c>
    </row>
    <row r="1801" spans="1:19" x14ac:dyDescent="0.25">
      <c r="A1801" s="1" t="s">
        <v>1071</v>
      </c>
      <c r="B1801" s="1" t="s">
        <v>1307</v>
      </c>
      <c r="C1801" s="5">
        <v>5</v>
      </c>
      <c r="D1801" s="1" t="s">
        <v>13</v>
      </c>
      <c r="E1801" s="1" t="s">
        <v>923</v>
      </c>
      <c r="F1801" s="5" t="s">
        <v>25</v>
      </c>
      <c r="G1801" s="5">
        <v>0</v>
      </c>
      <c r="H1801" s="5">
        <v>3</v>
      </c>
      <c r="I1801" s="5" t="b">
        <v>1</v>
      </c>
      <c r="J1801" s="1" t="s">
        <v>10</v>
      </c>
      <c r="K1801" s="1" t="s">
        <v>32</v>
      </c>
      <c r="L1801" s="1" t="s">
        <v>716</v>
      </c>
      <c r="M1801" s="1" t="s">
        <v>1138</v>
      </c>
      <c r="N1801" s="1"/>
      <c r="O1801" s="1"/>
      <c r="P1801" s="1"/>
      <c r="Q1801" s="1" t="s">
        <v>1307</v>
      </c>
      <c r="R1801" s="1" t="s">
        <v>1307</v>
      </c>
      <c r="S1801" s="5">
        <v>3</v>
      </c>
    </row>
    <row r="1802" spans="1:19" x14ac:dyDescent="0.25">
      <c r="A1802" s="1" t="s">
        <v>1071</v>
      </c>
      <c r="B1802" s="1" t="s">
        <v>1307</v>
      </c>
      <c r="C1802" s="5">
        <v>5</v>
      </c>
      <c r="D1802" s="1" t="s">
        <v>1125</v>
      </c>
      <c r="E1802" s="1" t="s">
        <v>918</v>
      </c>
      <c r="F1802" s="5" t="s">
        <v>26</v>
      </c>
      <c r="G1802" s="5">
        <v>50</v>
      </c>
      <c r="H1802" s="5">
        <v>60</v>
      </c>
      <c r="I1802" s="5" t="b">
        <v>0</v>
      </c>
      <c r="J1802" s="1" t="s">
        <v>1237</v>
      </c>
      <c r="K1802" s="1" t="s">
        <v>32</v>
      </c>
      <c r="L1802" s="1" t="s">
        <v>716</v>
      </c>
      <c r="M1802" s="1" t="s">
        <v>1138</v>
      </c>
      <c r="N1802" s="1"/>
      <c r="O1802" s="1"/>
      <c r="P1802" s="1"/>
      <c r="Q1802" s="1" t="s">
        <v>1307</v>
      </c>
      <c r="R1802" s="1" t="s">
        <v>1307</v>
      </c>
      <c r="S1802" s="5">
        <v>8</v>
      </c>
    </row>
    <row r="1803" spans="1:19" x14ac:dyDescent="0.25">
      <c r="A1803" s="1" t="s">
        <v>1071</v>
      </c>
      <c r="B1803" s="1" t="s">
        <v>1298</v>
      </c>
      <c r="C1803" s="5">
        <v>2</v>
      </c>
      <c r="D1803" s="1" t="s">
        <v>11</v>
      </c>
      <c r="E1803" s="1" t="s">
        <v>961</v>
      </c>
      <c r="F1803" s="5" t="s">
        <v>24</v>
      </c>
      <c r="G1803" s="5">
        <v>45</v>
      </c>
      <c r="H1803" s="5">
        <v>55</v>
      </c>
      <c r="I1803" s="5" t="b">
        <v>1</v>
      </c>
      <c r="J1803" s="1" t="s">
        <v>0</v>
      </c>
      <c r="K1803" s="1" t="s">
        <v>32</v>
      </c>
      <c r="L1803" s="1"/>
      <c r="M1803" s="1"/>
      <c r="N1803" s="1"/>
      <c r="O1803" s="1"/>
      <c r="P1803" s="1"/>
      <c r="Q1803" s="1" t="s">
        <v>1298</v>
      </c>
      <c r="R1803" s="1" t="s">
        <v>1298</v>
      </c>
      <c r="S1803" s="5">
        <v>1</v>
      </c>
    </row>
    <row r="1804" spans="1:19" x14ac:dyDescent="0.25">
      <c r="A1804" s="1" t="s">
        <v>1071</v>
      </c>
      <c r="B1804" s="1" t="s">
        <v>1298</v>
      </c>
      <c r="C1804" s="5">
        <v>2</v>
      </c>
      <c r="D1804" s="1" t="s">
        <v>1228</v>
      </c>
      <c r="E1804" s="1" t="s">
        <v>964</v>
      </c>
      <c r="F1804" s="5" t="s">
        <v>25</v>
      </c>
      <c r="G1804" s="5">
        <v>2</v>
      </c>
      <c r="H1804" s="5">
        <v>3</v>
      </c>
      <c r="I1804" s="5" t="b">
        <v>1</v>
      </c>
      <c r="J1804" s="1" t="s">
        <v>1229</v>
      </c>
      <c r="K1804" s="1" t="s">
        <v>32</v>
      </c>
      <c r="L1804" s="1"/>
      <c r="M1804" s="1"/>
      <c r="N1804" s="1"/>
      <c r="O1804" s="1"/>
      <c r="P1804" s="1"/>
      <c r="Q1804" s="1" t="s">
        <v>1298</v>
      </c>
      <c r="R1804" s="1" t="s">
        <v>1298</v>
      </c>
      <c r="S1804" s="5">
        <v>2</v>
      </c>
    </row>
    <row r="1805" spans="1:19" x14ac:dyDescent="0.25">
      <c r="A1805" s="1" t="s">
        <v>1071</v>
      </c>
      <c r="B1805" s="1" t="s">
        <v>1298</v>
      </c>
      <c r="C1805" s="5">
        <v>2</v>
      </c>
      <c r="D1805" s="1" t="s">
        <v>13</v>
      </c>
      <c r="E1805" s="1" t="s">
        <v>933</v>
      </c>
      <c r="F1805" s="5" t="s">
        <v>25</v>
      </c>
      <c r="G1805" s="5">
        <v>15</v>
      </c>
      <c r="H1805" s="5">
        <v>20</v>
      </c>
      <c r="I1805" s="5" t="b">
        <v>1</v>
      </c>
      <c r="J1805" s="1" t="s">
        <v>10</v>
      </c>
      <c r="K1805" s="1" t="s">
        <v>32</v>
      </c>
      <c r="L1805" s="1"/>
      <c r="M1805" s="1"/>
      <c r="N1805" s="1"/>
      <c r="O1805" s="1"/>
      <c r="P1805" s="1"/>
      <c r="Q1805" s="1" t="s">
        <v>1298</v>
      </c>
      <c r="R1805" s="1" t="s">
        <v>1298</v>
      </c>
      <c r="S1805" s="5">
        <v>3</v>
      </c>
    </row>
    <row r="1806" spans="1:19" x14ac:dyDescent="0.25">
      <c r="A1806" s="1" t="s">
        <v>1071</v>
      </c>
      <c r="B1806" s="1" t="s">
        <v>1298</v>
      </c>
      <c r="C1806" s="5">
        <v>2</v>
      </c>
      <c r="D1806" s="1" t="s">
        <v>1231</v>
      </c>
      <c r="E1806" s="1" t="s">
        <v>924</v>
      </c>
      <c r="F1806" s="5" t="s">
        <v>25</v>
      </c>
      <c r="G1806" s="5">
        <v>1</v>
      </c>
      <c r="H1806" s="5">
        <v>4</v>
      </c>
      <c r="I1806" s="5" t="b">
        <v>1</v>
      </c>
      <c r="J1806" s="1" t="s">
        <v>1232</v>
      </c>
      <c r="K1806" s="1" t="s">
        <v>32</v>
      </c>
      <c r="L1806" s="1"/>
      <c r="M1806" s="1"/>
      <c r="N1806" s="1"/>
      <c r="O1806" s="1"/>
      <c r="P1806" s="1"/>
      <c r="Q1806" s="1" t="s">
        <v>1298</v>
      </c>
      <c r="R1806" s="1" t="s">
        <v>1298</v>
      </c>
      <c r="S1806" s="5">
        <v>4</v>
      </c>
    </row>
    <row r="1807" spans="1:19" x14ac:dyDescent="0.25">
      <c r="A1807" s="1" t="s">
        <v>1071</v>
      </c>
      <c r="B1807" s="1" t="s">
        <v>1298</v>
      </c>
      <c r="C1807" s="5">
        <v>2</v>
      </c>
      <c r="D1807" s="1" t="s">
        <v>29</v>
      </c>
      <c r="E1807" s="1" t="s">
        <v>1299</v>
      </c>
      <c r="F1807" s="5" t="s">
        <v>25</v>
      </c>
      <c r="G1807" s="5">
        <v>9</v>
      </c>
      <c r="H1807" s="5">
        <v>16</v>
      </c>
      <c r="I1807" s="5" t="b">
        <v>1</v>
      </c>
      <c r="J1807" s="1" t="s">
        <v>1121</v>
      </c>
      <c r="K1807" s="1" t="s">
        <v>32</v>
      </c>
      <c r="L1807" s="1"/>
      <c r="M1807" s="1"/>
      <c r="N1807" s="1"/>
      <c r="O1807" s="1"/>
      <c r="P1807" s="1"/>
      <c r="Q1807" s="1" t="s">
        <v>1298</v>
      </c>
      <c r="R1807" s="1" t="s">
        <v>1298</v>
      </c>
      <c r="S1807" s="5">
        <v>5</v>
      </c>
    </row>
    <row r="1808" spans="1:19" x14ac:dyDescent="0.25">
      <c r="A1808" s="1" t="s">
        <v>1071</v>
      </c>
      <c r="B1808" s="1" t="s">
        <v>1298</v>
      </c>
      <c r="C1808" s="5">
        <v>2</v>
      </c>
      <c r="D1808" s="1" t="s">
        <v>35</v>
      </c>
      <c r="E1808" s="1" t="s">
        <v>927</v>
      </c>
      <c r="F1808" s="5" t="s">
        <v>24</v>
      </c>
      <c r="G1808" s="5">
        <v>15</v>
      </c>
      <c r="H1808" s="5">
        <v>25</v>
      </c>
      <c r="I1808" s="5" t="b">
        <v>1</v>
      </c>
      <c r="J1808" s="1" t="s">
        <v>1289</v>
      </c>
      <c r="K1808" s="1" t="s">
        <v>32</v>
      </c>
      <c r="L1808" s="1"/>
      <c r="M1808" s="1"/>
      <c r="N1808" s="1"/>
      <c r="O1808" s="1"/>
      <c r="P1808" s="1"/>
      <c r="Q1808" s="1" t="s">
        <v>1298</v>
      </c>
      <c r="R1808" s="1" t="s">
        <v>1298</v>
      </c>
      <c r="S1808" s="5">
        <v>7</v>
      </c>
    </row>
    <row r="1809" spans="1:19" x14ac:dyDescent="0.25">
      <c r="A1809" s="1" t="s">
        <v>1071</v>
      </c>
      <c r="B1809" s="1" t="s">
        <v>1298</v>
      </c>
      <c r="C1809" s="5">
        <v>2</v>
      </c>
      <c r="D1809" s="1" t="s">
        <v>1125</v>
      </c>
      <c r="E1809" s="1" t="s">
        <v>1301</v>
      </c>
      <c r="F1809" s="5" t="s">
        <v>26</v>
      </c>
      <c r="G1809" s="5">
        <v>1</v>
      </c>
      <c r="H1809" s="5">
        <v>3</v>
      </c>
      <c r="I1809" s="5" t="b">
        <v>0</v>
      </c>
      <c r="J1809" s="1" t="s">
        <v>1237</v>
      </c>
      <c r="K1809" s="1" t="s">
        <v>32</v>
      </c>
      <c r="L1809" s="1"/>
      <c r="M1809" s="1"/>
      <c r="N1809" s="1"/>
      <c r="O1809" s="1"/>
      <c r="P1809" s="1"/>
      <c r="Q1809" s="1" t="s">
        <v>1298</v>
      </c>
      <c r="R1809" s="1" t="s">
        <v>1298</v>
      </c>
      <c r="S1809" s="5">
        <v>8</v>
      </c>
    </row>
    <row r="1810" spans="1:19" x14ac:dyDescent="0.25">
      <c r="A1810" s="1" t="s">
        <v>1071</v>
      </c>
      <c r="B1810" s="1" t="s">
        <v>1298</v>
      </c>
      <c r="C1810" s="5">
        <v>2</v>
      </c>
      <c r="D1810" s="1" t="s">
        <v>1254</v>
      </c>
      <c r="E1810" s="1" t="s">
        <v>959</v>
      </c>
      <c r="F1810" s="5" t="s">
        <v>27</v>
      </c>
      <c r="G1810" s="5">
        <v>1</v>
      </c>
      <c r="H1810" s="5">
        <v>2</v>
      </c>
      <c r="I1810" s="5" t="b">
        <v>0</v>
      </c>
      <c r="J1810" s="1" t="s">
        <v>1256</v>
      </c>
      <c r="K1810" s="1" t="s">
        <v>32</v>
      </c>
      <c r="L1810" s="1"/>
      <c r="M1810" s="1"/>
      <c r="N1810" s="1"/>
      <c r="O1810" s="1"/>
      <c r="P1810" s="1"/>
      <c r="Q1810" s="1" t="s">
        <v>1298</v>
      </c>
      <c r="R1810" s="1" t="s">
        <v>1298</v>
      </c>
      <c r="S1810" s="5">
        <v>9</v>
      </c>
    </row>
    <row r="1811" spans="1:19" x14ac:dyDescent="0.25">
      <c r="A1811" s="1" t="s">
        <v>1071</v>
      </c>
      <c r="B1811" s="1" t="s">
        <v>1298</v>
      </c>
      <c r="C1811" s="5">
        <v>2</v>
      </c>
      <c r="D1811" s="1" t="s">
        <v>1161</v>
      </c>
      <c r="E1811" s="1" t="s">
        <v>1239</v>
      </c>
      <c r="F1811" s="5" t="s">
        <v>27</v>
      </c>
      <c r="G1811" s="5">
        <v>0</v>
      </c>
      <c r="H1811" s="5">
        <v>1</v>
      </c>
      <c r="I1811" s="5" t="b">
        <v>0</v>
      </c>
      <c r="J1811" s="1" t="s">
        <v>1240</v>
      </c>
      <c r="K1811" s="1" t="s">
        <v>32</v>
      </c>
      <c r="L1811" s="1"/>
      <c r="M1811" s="1"/>
      <c r="N1811" s="1"/>
      <c r="O1811" s="1"/>
      <c r="P1811" s="1"/>
      <c r="Q1811" s="1" t="s">
        <v>1298</v>
      </c>
      <c r="R1811" s="1" t="s">
        <v>1298</v>
      </c>
      <c r="S1811" s="5">
        <v>10</v>
      </c>
    </row>
    <row r="1812" spans="1:19" x14ac:dyDescent="0.25">
      <c r="A1812" s="1" t="s">
        <v>1071</v>
      </c>
      <c r="B1812" s="1" t="s">
        <v>1298</v>
      </c>
      <c r="C1812" s="5">
        <v>2</v>
      </c>
      <c r="D1812" s="1" t="s">
        <v>1393</v>
      </c>
      <c r="E1812" s="1" t="s">
        <v>971</v>
      </c>
      <c r="F1812" s="5" t="s">
        <v>26</v>
      </c>
      <c r="G1812" s="5">
        <v>15</v>
      </c>
      <c r="H1812" s="5">
        <v>25</v>
      </c>
      <c r="I1812" s="5" t="b">
        <v>0</v>
      </c>
      <c r="J1812" s="1" t="s">
        <v>1238</v>
      </c>
      <c r="K1812" s="1" t="s">
        <v>32</v>
      </c>
      <c r="L1812" s="1"/>
      <c r="M1812" s="1"/>
      <c r="N1812" s="1"/>
      <c r="O1812" s="1"/>
      <c r="P1812" s="1"/>
      <c r="Q1812" s="1" t="s">
        <v>1298</v>
      </c>
      <c r="R1812" s="1" t="s">
        <v>1298</v>
      </c>
      <c r="S1812" s="5">
        <v>11</v>
      </c>
    </row>
    <row r="1813" spans="1:19" x14ac:dyDescent="0.25">
      <c r="A1813" s="1" t="s">
        <v>1071</v>
      </c>
      <c r="B1813" s="1" t="s">
        <v>1298</v>
      </c>
      <c r="C1813" s="5">
        <v>2</v>
      </c>
      <c r="D1813" s="1" t="s">
        <v>342</v>
      </c>
      <c r="E1813" s="1" t="s">
        <v>1300</v>
      </c>
      <c r="F1813" s="5" t="s">
        <v>24</v>
      </c>
      <c r="G1813" s="5">
        <v>4</v>
      </c>
      <c r="H1813" s="5">
        <v>4.4000000000000004</v>
      </c>
      <c r="I1813" s="5" t="b">
        <v>1</v>
      </c>
      <c r="J1813" s="1" t="s">
        <v>480</v>
      </c>
      <c r="K1813" s="1" t="s">
        <v>32</v>
      </c>
      <c r="L1813" s="1"/>
      <c r="M1813" s="1"/>
      <c r="N1813" s="1"/>
      <c r="O1813" s="1"/>
      <c r="P1813" s="1"/>
      <c r="Q1813" s="1" t="s">
        <v>1298</v>
      </c>
      <c r="R1813" s="1" t="s">
        <v>1298</v>
      </c>
      <c r="S1813" s="5">
        <v>12</v>
      </c>
    </row>
    <row r="1814" spans="1:19" x14ac:dyDescent="0.25">
      <c r="A1814" s="1" t="s">
        <v>1071</v>
      </c>
      <c r="B1814" s="1" t="s">
        <v>1298</v>
      </c>
      <c r="C1814" s="5">
        <v>2</v>
      </c>
      <c r="D1814" s="1" t="s">
        <v>183</v>
      </c>
      <c r="E1814" s="1" t="s">
        <v>917</v>
      </c>
      <c r="F1814" s="5" t="s">
        <v>26</v>
      </c>
      <c r="G1814" s="5">
        <v>20</v>
      </c>
      <c r="H1814" s="5">
        <v>30</v>
      </c>
      <c r="I1814" s="5" t="b">
        <v>0</v>
      </c>
      <c r="J1814" s="1" t="s">
        <v>1266</v>
      </c>
      <c r="K1814" s="1" t="s">
        <v>32</v>
      </c>
      <c r="L1814" s="1"/>
      <c r="M1814" s="1"/>
      <c r="N1814" s="1"/>
      <c r="O1814" s="1"/>
      <c r="P1814" s="1"/>
      <c r="Q1814" s="1" t="s">
        <v>1298</v>
      </c>
      <c r="R1814" s="1" t="s">
        <v>1298</v>
      </c>
      <c r="S1814" s="5">
        <v>17</v>
      </c>
    </row>
    <row r="1815" spans="1:19" x14ac:dyDescent="0.25">
      <c r="A1815" s="1" t="s">
        <v>1071</v>
      </c>
      <c r="B1815" s="1" t="s">
        <v>1298</v>
      </c>
      <c r="C1815" s="5">
        <v>3</v>
      </c>
      <c r="D1815" s="1" t="s">
        <v>11</v>
      </c>
      <c r="E1815" s="1" t="s">
        <v>925</v>
      </c>
      <c r="F1815" s="5" t="s">
        <v>24</v>
      </c>
      <c r="G1815" s="5">
        <v>30</v>
      </c>
      <c r="H1815" s="5">
        <v>40</v>
      </c>
      <c r="I1815" s="5" t="b">
        <v>1</v>
      </c>
      <c r="J1815" s="1" t="s">
        <v>0</v>
      </c>
      <c r="K1815" s="1" t="s">
        <v>32</v>
      </c>
      <c r="L1815" s="1"/>
      <c r="M1815" s="1"/>
      <c r="N1815" s="1"/>
      <c r="O1815" s="1"/>
      <c r="P1815" s="1"/>
      <c r="Q1815" s="1" t="s">
        <v>1298</v>
      </c>
      <c r="R1815" s="1" t="s">
        <v>1298</v>
      </c>
      <c r="S1815" s="5">
        <v>1</v>
      </c>
    </row>
    <row r="1816" spans="1:19" x14ac:dyDescent="0.25">
      <c r="A1816" s="1" t="s">
        <v>1071</v>
      </c>
      <c r="B1816" s="1" t="s">
        <v>1298</v>
      </c>
      <c r="C1816" s="5">
        <v>3</v>
      </c>
      <c r="D1816" s="1" t="s">
        <v>1228</v>
      </c>
      <c r="E1816" s="1" t="s">
        <v>964</v>
      </c>
      <c r="F1816" s="5" t="s">
        <v>25</v>
      </c>
      <c r="G1816" s="5">
        <v>2</v>
      </c>
      <c r="H1816" s="5">
        <v>3</v>
      </c>
      <c r="I1816" s="5" t="b">
        <v>1</v>
      </c>
      <c r="J1816" s="1" t="s">
        <v>1229</v>
      </c>
      <c r="K1816" s="1" t="s">
        <v>32</v>
      </c>
      <c r="L1816" s="1"/>
      <c r="M1816" s="1"/>
      <c r="N1816" s="1"/>
      <c r="O1816" s="1"/>
      <c r="P1816" s="1"/>
      <c r="Q1816" s="1" t="s">
        <v>1298</v>
      </c>
      <c r="R1816" s="1" t="s">
        <v>1298</v>
      </c>
      <c r="S1816" s="5">
        <v>2</v>
      </c>
    </row>
    <row r="1817" spans="1:19" x14ac:dyDescent="0.25">
      <c r="A1817" s="1" t="s">
        <v>1071</v>
      </c>
      <c r="B1817" s="1" t="s">
        <v>1298</v>
      </c>
      <c r="C1817" s="5">
        <v>3</v>
      </c>
      <c r="D1817" s="1" t="s">
        <v>13</v>
      </c>
      <c r="E1817" s="1" t="s">
        <v>981</v>
      </c>
      <c r="F1817" s="5" t="s">
        <v>25</v>
      </c>
      <c r="G1817" s="5">
        <v>8</v>
      </c>
      <c r="H1817" s="5">
        <v>15</v>
      </c>
      <c r="I1817" s="5" t="b">
        <v>1</v>
      </c>
      <c r="J1817" s="1" t="s">
        <v>10</v>
      </c>
      <c r="K1817" s="1" t="s">
        <v>32</v>
      </c>
      <c r="L1817" s="1"/>
      <c r="M1817" s="1"/>
      <c r="N1817" s="1"/>
      <c r="O1817" s="1"/>
      <c r="P1817" s="1"/>
      <c r="Q1817" s="1" t="s">
        <v>1298</v>
      </c>
      <c r="R1817" s="1" t="s">
        <v>1298</v>
      </c>
      <c r="S1817" s="5">
        <v>3</v>
      </c>
    </row>
    <row r="1818" spans="1:19" x14ac:dyDescent="0.25">
      <c r="A1818" s="1" t="s">
        <v>1071</v>
      </c>
      <c r="B1818" s="1" t="s">
        <v>1298</v>
      </c>
      <c r="C1818" s="5">
        <v>3</v>
      </c>
      <c r="D1818" s="1" t="s">
        <v>29</v>
      </c>
      <c r="E1818" s="1" t="s">
        <v>942</v>
      </c>
      <c r="F1818" s="5" t="s">
        <v>25</v>
      </c>
      <c r="G1818" s="5">
        <v>3</v>
      </c>
      <c r="H1818" s="5">
        <v>8</v>
      </c>
      <c r="I1818" s="5" t="b">
        <v>1</v>
      </c>
      <c r="J1818" s="1" t="s">
        <v>1121</v>
      </c>
      <c r="K1818" s="1" t="s">
        <v>32</v>
      </c>
      <c r="L1818" s="1"/>
      <c r="M1818" s="1"/>
      <c r="N1818" s="1"/>
      <c r="O1818" s="1"/>
      <c r="P1818" s="1"/>
      <c r="Q1818" s="1" t="s">
        <v>1298</v>
      </c>
      <c r="R1818" s="1" t="s">
        <v>1298</v>
      </c>
      <c r="S1818" s="5">
        <v>5</v>
      </c>
    </row>
    <row r="1819" spans="1:19" x14ac:dyDescent="0.25">
      <c r="A1819" s="1" t="s">
        <v>1071</v>
      </c>
      <c r="B1819" s="1" t="s">
        <v>1298</v>
      </c>
      <c r="C1819" s="5">
        <v>3</v>
      </c>
      <c r="D1819" s="1" t="s">
        <v>35</v>
      </c>
      <c r="E1819" s="1" t="s">
        <v>958</v>
      </c>
      <c r="F1819" s="5" t="s">
        <v>25</v>
      </c>
      <c r="G1819" s="5">
        <v>3</v>
      </c>
      <c r="H1819" s="5">
        <v>10</v>
      </c>
      <c r="I1819" s="5" t="b">
        <v>1</v>
      </c>
      <c r="J1819" s="1" t="s">
        <v>1289</v>
      </c>
      <c r="K1819" s="1" t="s">
        <v>32</v>
      </c>
      <c r="L1819" s="1"/>
      <c r="M1819" s="1"/>
      <c r="N1819" s="1"/>
      <c r="O1819" s="1"/>
      <c r="P1819" s="1"/>
      <c r="Q1819" s="1" t="s">
        <v>1298</v>
      </c>
      <c r="R1819" s="1" t="s">
        <v>1298</v>
      </c>
      <c r="S1819" s="5">
        <v>7</v>
      </c>
    </row>
    <row r="1820" spans="1:19" x14ac:dyDescent="0.25">
      <c r="A1820" s="1" t="s">
        <v>1071</v>
      </c>
      <c r="B1820" s="1" t="s">
        <v>1298</v>
      </c>
      <c r="C1820" s="5">
        <v>3</v>
      </c>
      <c r="D1820" s="1" t="s">
        <v>1125</v>
      </c>
      <c r="E1820" s="1" t="s">
        <v>1302</v>
      </c>
      <c r="F1820" s="5" t="s">
        <v>27</v>
      </c>
      <c r="G1820" s="5">
        <v>3</v>
      </c>
      <c r="H1820" s="5">
        <v>8</v>
      </c>
      <c r="I1820" s="5" t="b">
        <v>0</v>
      </c>
      <c r="J1820" s="1" t="s">
        <v>1237</v>
      </c>
      <c r="K1820" s="1" t="s">
        <v>32</v>
      </c>
      <c r="L1820" s="1"/>
      <c r="M1820" s="1"/>
      <c r="N1820" s="1"/>
      <c r="O1820" s="1"/>
      <c r="P1820" s="1"/>
      <c r="Q1820" s="1" t="s">
        <v>1298</v>
      </c>
      <c r="R1820" s="1" t="s">
        <v>1298</v>
      </c>
      <c r="S1820" s="5">
        <v>8</v>
      </c>
    </row>
    <row r="1821" spans="1:19" x14ac:dyDescent="0.25">
      <c r="A1821" s="1" t="s">
        <v>1071</v>
      </c>
      <c r="B1821" s="1" t="s">
        <v>1298</v>
      </c>
      <c r="C1821" s="5">
        <v>3</v>
      </c>
      <c r="D1821" s="1" t="s">
        <v>1254</v>
      </c>
      <c r="E1821" s="1" t="s">
        <v>1236</v>
      </c>
      <c r="F1821" s="5" t="s">
        <v>27</v>
      </c>
      <c r="G1821" s="5">
        <v>2</v>
      </c>
      <c r="H1821" s="5">
        <v>5</v>
      </c>
      <c r="I1821" s="5" t="b">
        <v>0</v>
      </c>
      <c r="J1821" s="1" t="s">
        <v>1256</v>
      </c>
      <c r="K1821" s="1" t="s">
        <v>32</v>
      </c>
      <c r="L1821" s="1"/>
      <c r="M1821" s="1"/>
      <c r="N1821" s="1"/>
      <c r="O1821" s="1"/>
      <c r="P1821" s="1"/>
      <c r="Q1821" s="1" t="s">
        <v>1298</v>
      </c>
      <c r="R1821" s="1" t="s">
        <v>1298</v>
      </c>
      <c r="S1821" s="5">
        <v>9</v>
      </c>
    </row>
    <row r="1822" spans="1:19" x14ac:dyDescent="0.25">
      <c r="A1822" s="1" t="s">
        <v>1071</v>
      </c>
      <c r="B1822" s="1" t="s">
        <v>1298</v>
      </c>
      <c r="C1822" s="5">
        <v>3</v>
      </c>
      <c r="D1822" s="1" t="s">
        <v>1393</v>
      </c>
      <c r="E1822" s="1" t="s">
        <v>960</v>
      </c>
      <c r="F1822" s="5" t="s">
        <v>26</v>
      </c>
      <c r="G1822" s="5">
        <v>25</v>
      </c>
      <c r="H1822" s="5">
        <v>35</v>
      </c>
      <c r="I1822" s="5" t="b">
        <v>0</v>
      </c>
      <c r="J1822" s="1" t="s">
        <v>1238</v>
      </c>
      <c r="K1822" s="1" t="s">
        <v>32</v>
      </c>
      <c r="L1822" s="1"/>
      <c r="M1822" s="1"/>
      <c r="N1822" s="1"/>
      <c r="O1822" s="1"/>
      <c r="P1822" s="1"/>
      <c r="Q1822" s="1" t="s">
        <v>1298</v>
      </c>
      <c r="R1822" s="1" t="s">
        <v>1298</v>
      </c>
      <c r="S1822" s="5">
        <v>11</v>
      </c>
    </row>
    <row r="1823" spans="1:19" x14ac:dyDescent="0.25">
      <c r="A1823" s="1" t="s">
        <v>1071</v>
      </c>
      <c r="B1823" s="1" t="s">
        <v>1298</v>
      </c>
      <c r="C1823" s="5">
        <v>3</v>
      </c>
      <c r="D1823" s="1" t="s">
        <v>342</v>
      </c>
      <c r="E1823" s="1" t="s">
        <v>1303</v>
      </c>
      <c r="F1823" s="5" t="s">
        <v>25</v>
      </c>
      <c r="G1823" s="5">
        <v>3.5</v>
      </c>
      <c r="H1823" s="5">
        <v>3.8</v>
      </c>
      <c r="I1823" s="5" t="b">
        <v>1</v>
      </c>
      <c r="J1823" s="1" t="s">
        <v>480</v>
      </c>
      <c r="K1823" s="1" t="s">
        <v>32</v>
      </c>
      <c r="L1823" s="1"/>
      <c r="M1823" s="1"/>
      <c r="N1823" s="1"/>
      <c r="O1823" s="1"/>
      <c r="P1823" s="1"/>
      <c r="Q1823" s="1" t="s">
        <v>1298</v>
      </c>
      <c r="R1823" s="1" t="s">
        <v>1298</v>
      </c>
      <c r="S1823" s="5">
        <v>12</v>
      </c>
    </row>
    <row r="1824" spans="1:19" x14ac:dyDescent="0.25">
      <c r="A1824" s="1" t="s">
        <v>1071</v>
      </c>
      <c r="B1824" s="1" t="s">
        <v>1298</v>
      </c>
      <c r="C1824" s="5">
        <v>3</v>
      </c>
      <c r="D1824" s="1" t="s">
        <v>183</v>
      </c>
      <c r="E1824" s="1" t="s">
        <v>915</v>
      </c>
      <c r="F1824" s="5" t="s">
        <v>26</v>
      </c>
      <c r="G1824" s="5">
        <v>30</v>
      </c>
      <c r="H1824" s="5">
        <v>40</v>
      </c>
      <c r="I1824" s="5" t="b">
        <v>0</v>
      </c>
      <c r="J1824" s="1" t="s">
        <v>1266</v>
      </c>
      <c r="K1824" s="1" t="s">
        <v>32</v>
      </c>
      <c r="L1824" s="1"/>
      <c r="M1824" s="1"/>
      <c r="N1824" s="1"/>
      <c r="O1824" s="1"/>
      <c r="P1824" s="1"/>
      <c r="Q1824" s="1" t="s">
        <v>1298</v>
      </c>
      <c r="R1824" s="1" t="s">
        <v>1298</v>
      </c>
      <c r="S1824" s="5">
        <v>17</v>
      </c>
    </row>
    <row r="1825" spans="1:19" x14ac:dyDescent="0.25">
      <c r="A1825" s="1" t="s">
        <v>1071</v>
      </c>
      <c r="B1825" s="1" t="s">
        <v>1298</v>
      </c>
      <c r="C1825" s="5">
        <v>4</v>
      </c>
      <c r="D1825" s="1" t="s">
        <v>11</v>
      </c>
      <c r="E1825" s="1" t="s">
        <v>954</v>
      </c>
      <c r="F1825" s="5" t="s">
        <v>25</v>
      </c>
      <c r="G1825" s="5">
        <v>20</v>
      </c>
      <c r="H1825" s="5">
        <v>25</v>
      </c>
      <c r="I1825" s="5" t="b">
        <v>1</v>
      </c>
      <c r="J1825" s="1" t="s">
        <v>0</v>
      </c>
      <c r="K1825" s="1" t="s">
        <v>32</v>
      </c>
      <c r="L1825" s="1"/>
      <c r="M1825" s="1"/>
      <c r="N1825" s="1"/>
      <c r="O1825" s="1"/>
      <c r="P1825" s="1"/>
      <c r="Q1825" s="1" t="s">
        <v>1298</v>
      </c>
      <c r="R1825" s="1" t="s">
        <v>1298</v>
      </c>
      <c r="S1825" s="5">
        <v>1</v>
      </c>
    </row>
    <row r="1826" spans="1:19" x14ac:dyDescent="0.25">
      <c r="A1826" s="1" t="s">
        <v>1071</v>
      </c>
      <c r="B1826" s="1" t="s">
        <v>1298</v>
      </c>
      <c r="C1826" s="5">
        <v>4</v>
      </c>
      <c r="D1826" s="1" t="s">
        <v>1228</v>
      </c>
      <c r="E1826" s="1" t="s">
        <v>1243</v>
      </c>
      <c r="F1826" s="5" t="s">
        <v>25</v>
      </c>
      <c r="G1826" s="5">
        <v>-0.5</v>
      </c>
      <c r="H1826" s="5">
        <v>2</v>
      </c>
      <c r="I1826" s="5" t="b">
        <v>1</v>
      </c>
      <c r="J1826" s="1" t="s">
        <v>1229</v>
      </c>
      <c r="K1826" s="1" t="s">
        <v>32</v>
      </c>
      <c r="L1826" s="1"/>
      <c r="M1826" s="1"/>
      <c r="N1826" s="1"/>
      <c r="O1826" s="1"/>
      <c r="P1826" s="1"/>
      <c r="Q1826" s="1" t="s">
        <v>1298</v>
      </c>
      <c r="R1826" s="1" t="s">
        <v>1298</v>
      </c>
      <c r="S1826" s="5">
        <v>2</v>
      </c>
    </row>
    <row r="1827" spans="1:19" x14ac:dyDescent="0.25">
      <c r="A1827" s="1" t="s">
        <v>1071</v>
      </c>
      <c r="B1827" s="1" t="s">
        <v>1298</v>
      </c>
      <c r="C1827" s="5">
        <v>4</v>
      </c>
      <c r="D1827" s="1" t="s">
        <v>13</v>
      </c>
      <c r="E1827" s="1" t="s">
        <v>942</v>
      </c>
      <c r="F1827" s="5" t="s">
        <v>25</v>
      </c>
      <c r="G1827" s="5">
        <v>3</v>
      </c>
      <c r="H1827" s="5">
        <v>8</v>
      </c>
      <c r="I1827" s="5" t="b">
        <v>1</v>
      </c>
      <c r="J1827" s="1" t="s">
        <v>10</v>
      </c>
      <c r="K1827" s="1" t="s">
        <v>32</v>
      </c>
      <c r="L1827" s="1"/>
      <c r="M1827" s="1"/>
      <c r="N1827" s="1"/>
      <c r="O1827" s="1"/>
      <c r="P1827" s="1"/>
      <c r="Q1827" s="1" t="s">
        <v>1298</v>
      </c>
      <c r="R1827" s="1" t="s">
        <v>1298</v>
      </c>
      <c r="S1827" s="5">
        <v>3</v>
      </c>
    </row>
    <row r="1828" spans="1:19" x14ac:dyDescent="0.25">
      <c r="A1828" s="1" t="s">
        <v>1071</v>
      </c>
      <c r="B1828" s="1" t="s">
        <v>1298</v>
      </c>
      <c r="C1828" s="5">
        <v>4</v>
      </c>
      <c r="D1828" s="1" t="s">
        <v>35</v>
      </c>
      <c r="E1828" s="1" t="s">
        <v>923</v>
      </c>
      <c r="F1828" s="5" t="s">
        <v>25</v>
      </c>
      <c r="G1828" s="5">
        <v>0</v>
      </c>
      <c r="H1828" s="5">
        <v>3</v>
      </c>
      <c r="I1828" s="5" t="b">
        <v>1</v>
      </c>
      <c r="J1828" s="1" t="s">
        <v>1289</v>
      </c>
      <c r="K1828" s="1" t="s">
        <v>32</v>
      </c>
      <c r="L1828" s="1" t="s">
        <v>716</v>
      </c>
      <c r="M1828" s="1" t="s">
        <v>1138</v>
      </c>
      <c r="N1828" s="1"/>
      <c r="O1828" s="1"/>
      <c r="P1828" s="1"/>
      <c r="Q1828" s="1" t="s">
        <v>1298</v>
      </c>
      <c r="R1828" s="1" t="s">
        <v>1298</v>
      </c>
      <c r="S1828" s="5">
        <v>7</v>
      </c>
    </row>
    <row r="1829" spans="1:19" x14ac:dyDescent="0.25">
      <c r="A1829" s="1" t="s">
        <v>1071</v>
      </c>
      <c r="B1829" s="1" t="s">
        <v>1298</v>
      </c>
      <c r="C1829" s="5">
        <v>4</v>
      </c>
      <c r="D1829" s="1" t="s">
        <v>1125</v>
      </c>
      <c r="E1829" s="1" t="s">
        <v>965</v>
      </c>
      <c r="F1829" s="5" t="s">
        <v>26</v>
      </c>
      <c r="G1829" s="5">
        <v>10</v>
      </c>
      <c r="H1829" s="5">
        <v>20</v>
      </c>
      <c r="I1829" s="5" t="b">
        <v>0</v>
      </c>
      <c r="J1829" s="1" t="s">
        <v>1237</v>
      </c>
      <c r="K1829" s="1" t="s">
        <v>32</v>
      </c>
      <c r="L1829" s="1" t="s">
        <v>716</v>
      </c>
      <c r="M1829" s="1" t="s">
        <v>1138</v>
      </c>
      <c r="N1829" s="1"/>
      <c r="O1829" s="1"/>
      <c r="P1829" s="1"/>
      <c r="Q1829" s="1" t="s">
        <v>1298</v>
      </c>
      <c r="R1829" s="1" t="s">
        <v>1298</v>
      </c>
      <c r="S1829" s="5">
        <v>8</v>
      </c>
    </row>
    <row r="1830" spans="1:19" x14ac:dyDescent="0.25">
      <c r="A1830" s="1" t="s">
        <v>1071</v>
      </c>
      <c r="B1830" s="1" t="s">
        <v>1298</v>
      </c>
      <c r="C1830" s="5">
        <v>4</v>
      </c>
      <c r="D1830" s="1" t="s">
        <v>1254</v>
      </c>
      <c r="E1830" s="1" t="s">
        <v>1294</v>
      </c>
      <c r="F1830" s="5" t="s">
        <v>27</v>
      </c>
      <c r="G1830" s="5">
        <v>5</v>
      </c>
      <c r="H1830" s="5">
        <v>8</v>
      </c>
      <c r="I1830" s="5" t="b">
        <v>0</v>
      </c>
      <c r="J1830" s="1" t="s">
        <v>1256</v>
      </c>
      <c r="K1830" s="1" t="s">
        <v>32</v>
      </c>
      <c r="L1830" s="1" t="s">
        <v>716</v>
      </c>
      <c r="M1830" s="1" t="s">
        <v>1138</v>
      </c>
      <c r="N1830" s="1"/>
      <c r="O1830" s="1"/>
      <c r="P1830" s="1"/>
      <c r="Q1830" s="1" t="s">
        <v>1298</v>
      </c>
      <c r="R1830" s="1" t="s">
        <v>1298</v>
      </c>
      <c r="S1830" s="5">
        <v>9</v>
      </c>
    </row>
    <row r="1831" spans="1:19" x14ac:dyDescent="0.25">
      <c r="A1831" s="1" t="s">
        <v>1071</v>
      </c>
      <c r="B1831" s="1" t="s">
        <v>1298</v>
      </c>
      <c r="C1831" s="5">
        <v>4</v>
      </c>
      <c r="D1831" s="1" t="s">
        <v>1393</v>
      </c>
      <c r="E1831" s="1" t="s">
        <v>928</v>
      </c>
      <c r="F1831" s="5" t="s">
        <v>26</v>
      </c>
      <c r="G1831" s="5">
        <v>40</v>
      </c>
      <c r="H1831" s="5">
        <v>50</v>
      </c>
      <c r="I1831" s="5" t="b">
        <v>0</v>
      </c>
      <c r="J1831" s="1" t="s">
        <v>1238</v>
      </c>
      <c r="K1831" s="1" t="s">
        <v>32</v>
      </c>
      <c r="L1831" s="1" t="s">
        <v>716</v>
      </c>
      <c r="M1831" s="1" t="s">
        <v>1138</v>
      </c>
      <c r="N1831" s="1"/>
      <c r="O1831" s="1"/>
      <c r="P1831" s="1"/>
      <c r="Q1831" s="1" t="s">
        <v>1298</v>
      </c>
      <c r="R1831" s="1" t="s">
        <v>1298</v>
      </c>
      <c r="S1831" s="5">
        <v>11</v>
      </c>
    </row>
    <row r="1832" spans="1:19" x14ac:dyDescent="0.25">
      <c r="A1832" s="1" t="s">
        <v>1071</v>
      </c>
      <c r="B1832" s="1" t="s">
        <v>1298</v>
      </c>
      <c r="C1832" s="5">
        <v>4</v>
      </c>
      <c r="D1832" s="1" t="s">
        <v>342</v>
      </c>
      <c r="E1832" s="1" t="s">
        <v>1304</v>
      </c>
      <c r="F1832" s="5" t="s">
        <v>24</v>
      </c>
      <c r="G1832" s="5">
        <v>2.2999999999999998</v>
      </c>
      <c r="H1832" s="5">
        <v>3</v>
      </c>
      <c r="I1832" s="5" t="b">
        <v>1</v>
      </c>
      <c r="J1832" s="1" t="s">
        <v>480</v>
      </c>
      <c r="K1832" s="1" t="s">
        <v>32</v>
      </c>
      <c r="L1832" s="1" t="s">
        <v>716</v>
      </c>
      <c r="M1832" s="1" t="s">
        <v>1138</v>
      </c>
      <c r="N1832" s="1"/>
      <c r="O1832" s="1"/>
      <c r="P1832" s="1"/>
      <c r="Q1832" s="1" t="s">
        <v>1298</v>
      </c>
      <c r="R1832" s="1" t="s">
        <v>1298</v>
      </c>
      <c r="S1832" s="5">
        <v>12</v>
      </c>
    </row>
    <row r="1833" spans="1:19" x14ac:dyDescent="0.25">
      <c r="A1833" s="1" t="s">
        <v>1071</v>
      </c>
      <c r="B1833" s="1" t="s">
        <v>1298</v>
      </c>
      <c r="C1833" s="5">
        <v>5</v>
      </c>
      <c r="D1833" s="1" t="s">
        <v>11</v>
      </c>
      <c r="E1833" s="1" t="s">
        <v>946</v>
      </c>
      <c r="F1833" s="5" t="s">
        <v>24</v>
      </c>
      <c r="G1833" s="5">
        <v>10</v>
      </c>
      <c r="H1833" s="5">
        <v>20</v>
      </c>
      <c r="I1833" s="5" t="b">
        <v>1</v>
      </c>
      <c r="J1833" s="1" t="s">
        <v>0</v>
      </c>
      <c r="K1833" s="1" t="s">
        <v>32</v>
      </c>
      <c r="L1833" s="1" t="s">
        <v>716</v>
      </c>
      <c r="M1833" s="1" t="s">
        <v>1138</v>
      </c>
      <c r="N1833" s="1"/>
      <c r="O1833" s="1"/>
      <c r="P1833" s="1"/>
      <c r="Q1833" s="1" t="s">
        <v>1298</v>
      </c>
      <c r="R1833" s="1" t="s">
        <v>1298</v>
      </c>
      <c r="S1833" s="5">
        <v>1</v>
      </c>
    </row>
    <row r="1834" spans="1:19" x14ac:dyDescent="0.25">
      <c r="A1834" s="1" t="s">
        <v>1071</v>
      </c>
      <c r="B1834" s="1" t="s">
        <v>1298</v>
      </c>
      <c r="C1834" s="5">
        <v>5</v>
      </c>
      <c r="D1834" s="1" t="s">
        <v>13</v>
      </c>
      <c r="E1834" s="1" t="s">
        <v>962</v>
      </c>
      <c r="F1834" s="5" t="s">
        <v>24</v>
      </c>
      <c r="G1834" s="5">
        <v>0</v>
      </c>
      <c r="H1834" s="5">
        <v>2</v>
      </c>
      <c r="I1834" s="5" t="b">
        <v>1</v>
      </c>
      <c r="J1834" s="1" t="s">
        <v>10</v>
      </c>
      <c r="K1834" s="1" t="s">
        <v>32</v>
      </c>
      <c r="L1834" s="1"/>
      <c r="M1834" s="1"/>
      <c r="N1834" s="1"/>
      <c r="O1834" s="1"/>
      <c r="P1834" s="1"/>
      <c r="Q1834" s="1" t="s">
        <v>1298</v>
      </c>
      <c r="R1834" s="1" t="s">
        <v>1298</v>
      </c>
      <c r="S1834" s="5">
        <v>3</v>
      </c>
    </row>
    <row r="1835" spans="1:19" x14ac:dyDescent="0.25">
      <c r="A1835" s="1" t="s">
        <v>1071</v>
      </c>
      <c r="B1835" s="1" t="s">
        <v>1298</v>
      </c>
      <c r="C1835" s="5">
        <v>5</v>
      </c>
      <c r="D1835" s="1" t="s">
        <v>1125</v>
      </c>
      <c r="E1835" s="1" t="s">
        <v>960</v>
      </c>
      <c r="F1835" s="5" t="s">
        <v>26</v>
      </c>
      <c r="G1835" s="5">
        <v>25</v>
      </c>
      <c r="H1835" s="5">
        <v>35</v>
      </c>
      <c r="I1835" s="5" t="b">
        <v>0</v>
      </c>
      <c r="J1835" s="1" t="s">
        <v>1237</v>
      </c>
      <c r="K1835" s="1" t="s">
        <v>32</v>
      </c>
      <c r="L1835" s="1" t="s">
        <v>716</v>
      </c>
      <c r="M1835" s="1" t="s">
        <v>1138</v>
      </c>
      <c r="N1835" s="1"/>
      <c r="O1835" s="1"/>
      <c r="P1835" s="1"/>
      <c r="Q1835" s="1" t="s">
        <v>1298</v>
      </c>
      <c r="R1835" s="1" t="s">
        <v>1298</v>
      </c>
      <c r="S1835" s="5">
        <v>8</v>
      </c>
    </row>
    <row r="1836" spans="1:19" x14ac:dyDescent="0.25">
      <c r="A1836" s="1" t="s">
        <v>1071</v>
      </c>
      <c r="B1836" s="1" t="s">
        <v>1298</v>
      </c>
      <c r="C1836" s="5">
        <v>5</v>
      </c>
      <c r="D1836" s="1" t="s">
        <v>1254</v>
      </c>
      <c r="E1836" s="1" t="s">
        <v>1306</v>
      </c>
      <c r="F1836" s="5" t="s">
        <v>27</v>
      </c>
      <c r="G1836" s="5">
        <v>7</v>
      </c>
      <c r="H1836" s="5">
        <v>10</v>
      </c>
      <c r="I1836" s="5" t="b">
        <v>0</v>
      </c>
      <c r="J1836" s="1" t="s">
        <v>1256</v>
      </c>
      <c r="K1836" s="1" t="s">
        <v>32</v>
      </c>
      <c r="L1836" s="1" t="s">
        <v>716</v>
      </c>
      <c r="M1836" s="1" t="s">
        <v>1138</v>
      </c>
      <c r="N1836" s="1"/>
      <c r="O1836" s="1"/>
      <c r="P1836" s="1"/>
      <c r="Q1836" s="1" t="s">
        <v>1298</v>
      </c>
      <c r="R1836" s="1" t="s">
        <v>1298</v>
      </c>
      <c r="S1836" s="5">
        <v>9</v>
      </c>
    </row>
    <row r="1837" spans="1:19" x14ac:dyDescent="0.25">
      <c r="A1837" s="1" t="s">
        <v>1071</v>
      </c>
      <c r="B1837" s="1" t="s">
        <v>1298</v>
      </c>
      <c r="C1837" s="5">
        <v>5</v>
      </c>
      <c r="D1837" s="1" t="s">
        <v>342</v>
      </c>
      <c r="E1837" s="1" t="s">
        <v>1305</v>
      </c>
      <c r="F1837" s="5" t="s">
        <v>24</v>
      </c>
      <c r="G1837" s="5">
        <v>1.5</v>
      </c>
      <c r="H1837" s="5">
        <v>2.2999999999999998</v>
      </c>
      <c r="I1837" s="5" t="b">
        <v>1</v>
      </c>
      <c r="J1837" s="1" t="s">
        <v>480</v>
      </c>
      <c r="K1837" s="1" t="s">
        <v>32</v>
      </c>
      <c r="L1837" s="1" t="s">
        <v>716</v>
      </c>
      <c r="M1837" s="1" t="s">
        <v>1138</v>
      </c>
      <c r="N1837" s="1"/>
      <c r="O1837" s="1"/>
      <c r="P1837" s="1"/>
      <c r="Q1837" s="1" t="s">
        <v>1298</v>
      </c>
      <c r="R1837" s="1" t="s">
        <v>1298</v>
      </c>
      <c r="S1837" s="5">
        <v>12</v>
      </c>
    </row>
    <row r="1838" spans="1:19" x14ac:dyDescent="0.25">
      <c r="A1838" s="1" t="s">
        <v>1071</v>
      </c>
      <c r="B1838" s="1" t="s">
        <v>1264</v>
      </c>
      <c r="C1838" s="5">
        <v>2</v>
      </c>
      <c r="D1838" s="1" t="s">
        <v>1228</v>
      </c>
      <c r="E1838" s="1" t="s">
        <v>964</v>
      </c>
      <c r="F1838" s="5" t="s">
        <v>25</v>
      </c>
      <c r="G1838" s="5">
        <v>2</v>
      </c>
      <c r="H1838" s="5">
        <v>3</v>
      </c>
      <c r="I1838" s="5" t="b">
        <v>1</v>
      </c>
      <c r="J1838" s="1" t="s">
        <v>1229</v>
      </c>
      <c r="K1838" s="1" t="s">
        <v>32</v>
      </c>
      <c r="L1838" s="1"/>
      <c r="M1838" s="1"/>
      <c r="N1838" s="1"/>
      <c r="O1838" s="1"/>
      <c r="P1838" s="1"/>
      <c r="Q1838" s="1" t="s">
        <v>1264</v>
      </c>
      <c r="R1838" s="1" t="s">
        <v>1264</v>
      </c>
      <c r="S1838" s="5">
        <v>2</v>
      </c>
    </row>
    <row r="1839" spans="1:19" x14ac:dyDescent="0.25">
      <c r="A1839" s="1" t="s">
        <v>1071</v>
      </c>
      <c r="B1839" s="1" t="s">
        <v>1264</v>
      </c>
      <c r="C1839" s="5">
        <v>2</v>
      </c>
      <c r="D1839" s="1" t="s">
        <v>13</v>
      </c>
      <c r="E1839" s="1" t="s">
        <v>927</v>
      </c>
      <c r="F1839" s="5" t="s">
        <v>24</v>
      </c>
      <c r="G1839" s="5">
        <v>15</v>
      </c>
      <c r="H1839" s="5">
        <v>25</v>
      </c>
      <c r="I1839" s="5" t="b">
        <v>1</v>
      </c>
      <c r="J1839" s="1" t="s">
        <v>10</v>
      </c>
      <c r="K1839" s="1" t="s">
        <v>32</v>
      </c>
      <c r="L1839" s="1"/>
      <c r="M1839" s="1"/>
      <c r="N1839" s="1"/>
      <c r="O1839" s="1"/>
      <c r="P1839" s="1"/>
      <c r="Q1839" s="1" t="s">
        <v>1264</v>
      </c>
      <c r="R1839" s="1" t="s">
        <v>1264</v>
      </c>
      <c r="S1839" s="5">
        <v>3</v>
      </c>
    </row>
    <row r="1840" spans="1:19" x14ac:dyDescent="0.25">
      <c r="A1840" s="1" t="s">
        <v>1071</v>
      </c>
      <c r="B1840" s="1" t="s">
        <v>1264</v>
      </c>
      <c r="C1840" s="5">
        <v>2</v>
      </c>
      <c r="D1840" s="1" t="s">
        <v>1231</v>
      </c>
      <c r="E1840" s="1" t="s">
        <v>942</v>
      </c>
      <c r="F1840" s="5" t="s">
        <v>25</v>
      </c>
      <c r="G1840" s="5">
        <v>3</v>
      </c>
      <c r="H1840" s="5">
        <v>8</v>
      </c>
      <c r="I1840" s="5" t="b">
        <v>1</v>
      </c>
      <c r="J1840" s="1" t="s">
        <v>1232</v>
      </c>
      <c r="K1840" s="1" t="s">
        <v>32</v>
      </c>
      <c r="L1840" s="1"/>
      <c r="M1840" s="1"/>
      <c r="N1840" s="1"/>
      <c r="O1840" s="1"/>
      <c r="P1840" s="1"/>
      <c r="Q1840" s="1" t="s">
        <v>1264</v>
      </c>
      <c r="R1840" s="1" t="s">
        <v>1264</v>
      </c>
      <c r="S1840" s="5">
        <v>4</v>
      </c>
    </row>
    <row r="1841" spans="1:19" x14ac:dyDescent="0.25">
      <c r="A1841" s="1" t="s">
        <v>1071</v>
      </c>
      <c r="B1841" s="1" t="s">
        <v>1264</v>
      </c>
      <c r="C1841" s="5">
        <v>2</v>
      </c>
      <c r="D1841" s="1" t="s">
        <v>29</v>
      </c>
      <c r="E1841" s="1" t="s">
        <v>1083</v>
      </c>
      <c r="F1841" s="5" t="s">
        <v>25</v>
      </c>
      <c r="G1841" s="5">
        <v>13</v>
      </c>
      <c r="H1841" s="5">
        <v>20</v>
      </c>
      <c r="I1841" s="5" t="b">
        <v>1</v>
      </c>
      <c r="J1841" s="1" t="s">
        <v>1121</v>
      </c>
      <c r="K1841" s="1" t="s">
        <v>32</v>
      </c>
      <c r="L1841" s="1"/>
      <c r="M1841" s="1"/>
      <c r="N1841" s="1"/>
      <c r="O1841" s="1"/>
      <c r="P1841" s="1"/>
      <c r="Q1841" s="1" t="s">
        <v>1264</v>
      </c>
      <c r="R1841" s="1" t="s">
        <v>1264</v>
      </c>
      <c r="S1841" s="5">
        <v>5</v>
      </c>
    </row>
    <row r="1842" spans="1:19" x14ac:dyDescent="0.25">
      <c r="A1842" s="1" t="s">
        <v>1071</v>
      </c>
      <c r="B1842" s="1" t="s">
        <v>1264</v>
      </c>
      <c r="C1842" s="5">
        <v>2</v>
      </c>
      <c r="D1842" s="1" t="s">
        <v>1122</v>
      </c>
      <c r="E1842" s="1" t="s">
        <v>927</v>
      </c>
      <c r="F1842" s="5" t="s">
        <v>24</v>
      </c>
      <c r="G1842" s="5">
        <v>15</v>
      </c>
      <c r="H1842" s="5">
        <v>25</v>
      </c>
      <c r="I1842" s="5" t="b">
        <v>1</v>
      </c>
      <c r="J1842" s="1" t="s">
        <v>1124</v>
      </c>
      <c r="K1842" s="1" t="s">
        <v>32</v>
      </c>
      <c r="L1842" s="1"/>
      <c r="M1842" s="1"/>
      <c r="N1842" s="1"/>
      <c r="O1842" s="1"/>
      <c r="P1842" s="1"/>
      <c r="Q1842" s="1" t="s">
        <v>1264</v>
      </c>
      <c r="R1842" s="1" t="s">
        <v>1264</v>
      </c>
      <c r="S1842" s="5">
        <v>6</v>
      </c>
    </row>
    <row r="1843" spans="1:19" x14ac:dyDescent="0.25">
      <c r="A1843" s="1" t="s">
        <v>1071</v>
      </c>
      <c r="B1843" s="1" t="s">
        <v>1264</v>
      </c>
      <c r="C1843" s="5">
        <v>2</v>
      </c>
      <c r="D1843" s="1" t="s">
        <v>1161</v>
      </c>
      <c r="E1843" s="1" t="s">
        <v>1239</v>
      </c>
      <c r="F1843" s="5" t="s">
        <v>27</v>
      </c>
      <c r="G1843" s="5">
        <v>0</v>
      </c>
      <c r="H1843" s="5">
        <v>1</v>
      </c>
      <c r="I1843" s="5" t="b">
        <v>0</v>
      </c>
      <c r="J1843" s="1" t="s">
        <v>1240</v>
      </c>
      <c r="K1843" s="1" t="s">
        <v>32</v>
      </c>
      <c r="L1843" s="1"/>
      <c r="M1843" s="1"/>
      <c r="N1843" s="1"/>
      <c r="O1843" s="1"/>
      <c r="P1843" s="1"/>
      <c r="Q1843" s="1" t="s">
        <v>1264</v>
      </c>
      <c r="R1843" s="1" t="s">
        <v>1264</v>
      </c>
      <c r="S1843" s="5">
        <v>10</v>
      </c>
    </row>
    <row r="1844" spans="1:19" x14ac:dyDescent="0.25">
      <c r="A1844" s="1" t="s">
        <v>1071</v>
      </c>
      <c r="B1844" s="1" t="s">
        <v>1264</v>
      </c>
      <c r="C1844" s="5">
        <v>2</v>
      </c>
      <c r="D1844" s="1" t="s">
        <v>311</v>
      </c>
      <c r="E1844" s="1" t="s">
        <v>960</v>
      </c>
      <c r="F1844" s="5" t="s">
        <v>26</v>
      </c>
      <c r="G1844" s="5">
        <v>25</v>
      </c>
      <c r="H1844" s="5">
        <v>35</v>
      </c>
      <c r="I1844" s="5" t="b">
        <v>0</v>
      </c>
      <c r="J1844" s="1" t="s">
        <v>1258</v>
      </c>
      <c r="K1844" s="1" t="s">
        <v>32</v>
      </c>
      <c r="L1844" s="1"/>
      <c r="M1844" s="1"/>
      <c r="N1844" s="1"/>
      <c r="O1844" s="1"/>
      <c r="P1844" s="1"/>
      <c r="Q1844" s="1" t="s">
        <v>1264</v>
      </c>
      <c r="R1844" s="1" t="s">
        <v>1264</v>
      </c>
      <c r="S1844" s="5">
        <v>13</v>
      </c>
    </row>
    <row r="1845" spans="1:19" x14ac:dyDescent="0.25">
      <c r="A1845" s="1" t="s">
        <v>1071</v>
      </c>
      <c r="B1845" s="1" t="s">
        <v>1264</v>
      </c>
      <c r="C1845" s="5">
        <v>2</v>
      </c>
      <c r="D1845" s="1" t="s">
        <v>183</v>
      </c>
      <c r="E1845" s="1" t="s">
        <v>917</v>
      </c>
      <c r="F1845" s="5" t="s">
        <v>26</v>
      </c>
      <c r="G1845" s="5">
        <v>20</v>
      </c>
      <c r="H1845" s="5">
        <v>30</v>
      </c>
      <c r="I1845" s="5" t="b">
        <v>0</v>
      </c>
      <c r="J1845" s="1" t="s">
        <v>1266</v>
      </c>
      <c r="K1845" s="1" t="s">
        <v>32</v>
      </c>
      <c r="L1845" s="1"/>
      <c r="M1845" s="1"/>
      <c r="N1845" s="1"/>
      <c r="O1845" s="1"/>
      <c r="P1845" s="1"/>
      <c r="Q1845" s="1" t="s">
        <v>1264</v>
      </c>
      <c r="R1845" s="1" t="s">
        <v>1264</v>
      </c>
      <c r="S1845" s="5">
        <v>17</v>
      </c>
    </row>
    <row r="1846" spans="1:19" x14ac:dyDescent="0.25">
      <c r="A1846" s="1" t="s">
        <v>1071</v>
      </c>
      <c r="B1846" s="1" t="s">
        <v>1264</v>
      </c>
      <c r="C1846" s="5">
        <v>2</v>
      </c>
      <c r="D1846" s="1" t="s">
        <v>498</v>
      </c>
      <c r="E1846" s="1" t="s">
        <v>948</v>
      </c>
      <c r="F1846" s="5" t="s">
        <v>25</v>
      </c>
      <c r="G1846" s="5">
        <v>5</v>
      </c>
      <c r="H1846" s="5">
        <v>10</v>
      </c>
      <c r="I1846" s="5" t="b">
        <v>1</v>
      </c>
      <c r="J1846" s="1" t="s">
        <v>1265</v>
      </c>
      <c r="K1846" s="1" t="s">
        <v>32</v>
      </c>
      <c r="L1846" s="1"/>
      <c r="M1846" s="1"/>
      <c r="N1846" s="1"/>
      <c r="O1846" s="1"/>
      <c r="P1846" s="1"/>
      <c r="Q1846" s="1" t="s">
        <v>1264</v>
      </c>
      <c r="R1846" s="1" t="s">
        <v>1264</v>
      </c>
      <c r="S1846" s="5">
        <v>19</v>
      </c>
    </row>
    <row r="1847" spans="1:19" x14ac:dyDescent="0.25">
      <c r="A1847" s="1" t="s">
        <v>1071</v>
      </c>
      <c r="B1847" s="1" t="s">
        <v>1264</v>
      </c>
      <c r="C1847" s="5">
        <v>3</v>
      </c>
      <c r="D1847" s="1" t="s">
        <v>1228</v>
      </c>
      <c r="E1847" s="1" t="s">
        <v>964</v>
      </c>
      <c r="F1847" s="5" t="s">
        <v>25</v>
      </c>
      <c r="G1847" s="5">
        <v>2</v>
      </c>
      <c r="H1847" s="5">
        <v>3</v>
      </c>
      <c r="I1847" s="5" t="b">
        <v>1</v>
      </c>
      <c r="J1847" s="1" t="s">
        <v>1229</v>
      </c>
      <c r="K1847" s="1" t="s">
        <v>32</v>
      </c>
      <c r="L1847" s="1"/>
      <c r="M1847" s="1"/>
      <c r="N1847" s="1"/>
      <c r="O1847" s="1"/>
      <c r="P1847" s="1"/>
      <c r="Q1847" s="1" t="s">
        <v>1264</v>
      </c>
      <c r="R1847" s="1" t="s">
        <v>1264</v>
      </c>
      <c r="S1847" s="5">
        <v>2</v>
      </c>
    </row>
    <row r="1848" spans="1:19" x14ac:dyDescent="0.25">
      <c r="A1848" s="1" t="s">
        <v>1071</v>
      </c>
      <c r="B1848" s="1" t="s">
        <v>1264</v>
      </c>
      <c r="C1848" s="5">
        <v>3</v>
      </c>
      <c r="D1848" s="1" t="s">
        <v>13</v>
      </c>
      <c r="E1848" s="1" t="s">
        <v>1267</v>
      </c>
      <c r="F1848" s="5" t="s">
        <v>24</v>
      </c>
      <c r="G1848" s="5">
        <v>5</v>
      </c>
      <c r="H1848" s="5">
        <v>15</v>
      </c>
      <c r="I1848" s="5" t="b">
        <v>1</v>
      </c>
      <c r="J1848" s="1" t="s">
        <v>10</v>
      </c>
      <c r="K1848" s="1" t="s">
        <v>32</v>
      </c>
      <c r="L1848" s="1"/>
      <c r="M1848" s="1"/>
      <c r="N1848" s="1"/>
      <c r="O1848" s="1"/>
      <c r="P1848" s="1"/>
      <c r="Q1848" s="1" t="s">
        <v>1264</v>
      </c>
      <c r="R1848" s="1" t="s">
        <v>1264</v>
      </c>
      <c r="S1848" s="5">
        <v>3</v>
      </c>
    </row>
    <row r="1849" spans="1:19" x14ac:dyDescent="0.25">
      <c r="A1849" s="1" t="s">
        <v>1071</v>
      </c>
      <c r="B1849" s="1" t="s">
        <v>1264</v>
      </c>
      <c r="C1849" s="5">
        <v>3</v>
      </c>
      <c r="D1849" s="1" t="s">
        <v>1231</v>
      </c>
      <c r="E1849" s="1" t="s">
        <v>725</v>
      </c>
      <c r="F1849" s="5" t="s">
        <v>25</v>
      </c>
      <c r="G1849" s="5">
        <v>0</v>
      </c>
      <c r="H1849" s="5">
        <v>1</v>
      </c>
      <c r="I1849" s="5" t="b">
        <v>1</v>
      </c>
      <c r="J1849" s="1" t="s">
        <v>1232</v>
      </c>
      <c r="K1849" s="1" t="s">
        <v>32</v>
      </c>
      <c r="L1849" s="1"/>
      <c r="M1849" s="1"/>
      <c r="N1849" s="1"/>
      <c r="O1849" s="1"/>
      <c r="P1849" s="1"/>
      <c r="Q1849" s="1" t="s">
        <v>1264</v>
      </c>
      <c r="R1849" s="1" t="s">
        <v>1264</v>
      </c>
      <c r="S1849" s="5">
        <v>4</v>
      </c>
    </row>
    <row r="1850" spans="1:19" x14ac:dyDescent="0.25">
      <c r="A1850" s="1" t="s">
        <v>1071</v>
      </c>
      <c r="B1850" s="1" t="s">
        <v>1264</v>
      </c>
      <c r="C1850" s="5">
        <v>3</v>
      </c>
      <c r="D1850" s="1" t="s">
        <v>29</v>
      </c>
      <c r="E1850" s="1" t="s">
        <v>1268</v>
      </c>
      <c r="F1850" s="5" t="s">
        <v>24</v>
      </c>
      <c r="G1850" s="5">
        <v>3</v>
      </c>
      <c r="H1850" s="5">
        <v>13</v>
      </c>
      <c r="I1850" s="5" t="b">
        <v>1</v>
      </c>
      <c r="J1850" s="1" t="s">
        <v>1121</v>
      </c>
      <c r="K1850" s="1" t="s">
        <v>32</v>
      </c>
      <c r="L1850" s="1"/>
      <c r="M1850" s="1"/>
      <c r="N1850" s="1"/>
      <c r="O1850" s="1"/>
      <c r="P1850" s="1"/>
      <c r="Q1850" s="1" t="s">
        <v>1264</v>
      </c>
      <c r="R1850" s="1" t="s">
        <v>1264</v>
      </c>
      <c r="S1850" s="5">
        <v>5</v>
      </c>
    </row>
    <row r="1851" spans="1:19" x14ac:dyDescent="0.25">
      <c r="A1851" s="1" t="s">
        <v>1071</v>
      </c>
      <c r="B1851" s="1" t="s">
        <v>1264</v>
      </c>
      <c r="C1851" s="5">
        <v>3</v>
      </c>
      <c r="D1851" s="1" t="s">
        <v>1122</v>
      </c>
      <c r="E1851" s="1" t="s">
        <v>948</v>
      </c>
      <c r="F1851" s="5" t="s">
        <v>25</v>
      </c>
      <c r="G1851" s="5">
        <v>5</v>
      </c>
      <c r="H1851" s="5">
        <v>10</v>
      </c>
      <c r="I1851" s="5" t="b">
        <v>1</v>
      </c>
      <c r="J1851" s="1" t="s">
        <v>1124</v>
      </c>
      <c r="K1851" s="1" t="s">
        <v>32</v>
      </c>
      <c r="L1851" s="1"/>
      <c r="M1851" s="1"/>
      <c r="N1851" s="1"/>
      <c r="O1851" s="1"/>
      <c r="P1851" s="1"/>
      <c r="Q1851" s="1" t="s">
        <v>1264</v>
      </c>
      <c r="R1851" s="1" t="s">
        <v>1264</v>
      </c>
      <c r="S1851" s="5">
        <v>6</v>
      </c>
    </row>
    <row r="1852" spans="1:19" x14ac:dyDescent="0.25">
      <c r="A1852" s="1" t="s">
        <v>1071</v>
      </c>
      <c r="B1852" s="1" t="s">
        <v>1264</v>
      </c>
      <c r="C1852" s="5">
        <v>3</v>
      </c>
      <c r="D1852" s="1" t="s">
        <v>311</v>
      </c>
      <c r="E1852" s="1" t="s">
        <v>930</v>
      </c>
      <c r="F1852" s="5" t="s">
        <v>26</v>
      </c>
      <c r="G1852" s="5">
        <v>35</v>
      </c>
      <c r="H1852" s="5">
        <v>45</v>
      </c>
      <c r="I1852" s="5" t="b">
        <v>0</v>
      </c>
      <c r="J1852" s="1" t="s">
        <v>1258</v>
      </c>
      <c r="K1852" s="1" t="s">
        <v>32</v>
      </c>
      <c r="L1852" s="1"/>
      <c r="M1852" s="1"/>
      <c r="N1852" s="1"/>
      <c r="O1852" s="1"/>
      <c r="P1852" s="1"/>
      <c r="Q1852" s="1" t="s">
        <v>1264</v>
      </c>
      <c r="R1852" s="1" t="s">
        <v>1264</v>
      </c>
      <c r="S1852" s="5">
        <v>13</v>
      </c>
    </row>
    <row r="1853" spans="1:19" x14ac:dyDescent="0.25">
      <c r="A1853" s="1" t="s">
        <v>1071</v>
      </c>
      <c r="B1853" s="1" t="s">
        <v>1264</v>
      </c>
      <c r="C1853" s="5">
        <v>3</v>
      </c>
      <c r="D1853" s="1" t="s">
        <v>498</v>
      </c>
      <c r="E1853" s="1" t="s">
        <v>924</v>
      </c>
      <c r="F1853" s="5" t="s">
        <v>25</v>
      </c>
      <c r="G1853" s="5">
        <v>1</v>
      </c>
      <c r="H1853" s="5">
        <v>4</v>
      </c>
      <c r="I1853" s="5" t="b">
        <v>1</v>
      </c>
      <c r="J1853" s="1" t="s">
        <v>1265</v>
      </c>
      <c r="K1853" s="1" t="s">
        <v>32</v>
      </c>
      <c r="L1853" s="1"/>
      <c r="M1853" s="1"/>
      <c r="N1853" s="1"/>
      <c r="O1853" s="1"/>
      <c r="P1853" s="1"/>
      <c r="Q1853" s="1" t="s">
        <v>1264</v>
      </c>
      <c r="R1853" s="1" t="s">
        <v>1264</v>
      </c>
      <c r="S1853" s="5">
        <v>19</v>
      </c>
    </row>
    <row r="1854" spans="1:19" x14ac:dyDescent="0.25">
      <c r="A1854" s="1" t="s">
        <v>1071</v>
      </c>
      <c r="B1854" s="1" t="s">
        <v>1264</v>
      </c>
      <c r="C1854" s="5">
        <v>4</v>
      </c>
      <c r="D1854" s="1" t="s">
        <v>1228</v>
      </c>
      <c r="E1854" s="1" t="s">
        <v>1243</v>
      </c>
      <c r="F1854" s="5" t="s">
        <v>25</v>
      </c>
      <c r="G1854" s="5">
        <v>-0.5</v>
      </c>
      <c r="H1854" s="5">
        <v>2</v>
      </c>
      <c r="I1854" s="5" t="b">
        <v>1</v>
      </c>
      <c r="J1854" s="1" t="s">
        <v>1229</v>
      </c>
      <c r="K1854" s="1" t="s">
        <v>32</v>
      </c>
      <c r="L1854" s="1"/>
      <c r="M1854" s="1"/>
      <c r="N1854" s="1"/>
      <c r="O1854" s="1"/>
      <c r="P1854" s="1"/>
      <c r="Q1854" s="1" t="s">
        <v>1264</v>
      </c>
      <c r="R1854" s="1" t="s">
        <v>1264</v>
      </c>
      <c r="S1854" s="5">
        <v>2</v>
      </c>
    </row>
    <row r="1855" spans="1:19" x14ac:dyDescent="0.25">
      <c r="A1855" s="1" t="s">
        <v>1071</v>
      </c>
      <c r="B1855" s="1" t="s">
        <v>1264</v>
      </c>
      <c r="C1855" s="5">
        <v>4</v>
      </c>
      <c r="D1855" s="1" t="s">
        <v>13</v>
      </c>
      <c r="E1855" s="1" t="s">
        <v>904</v>
      </c>
      <c r="F1855" s="5" t="s">
        <v>24</v>
      </c>
      <c r="G1855" s="5">
        <v>1</v>
      </c>
      <c r="H1855" s="5">
        <v>5</v>
      </c>
      <c r="I1855" s="5" t="b">
        <v>1</v>
      </c>
      <c r="J1855" s="1" t="s">
        <v>10</v>
      </c>
      <c r="K1855" s="1" t="s">
        <v>32</v>
      </c>
      <c r="L1855" s="1"/>
      <c r="M1855" s="1"/>
      <c r="N1855" s="1"/>
      <c r="O1855" s="1"/>
      <c r="P1855" s="1"/>
      <c r="Q1855" s="1" t="s">
        <v>1264</v>
      </c>
      <c r="R1855" s="1" t="s">
        <v>1264</v>
      </c>
      <c r="S1855" s="5">
        <v>3</v>
      </c>
    </row>
    <row r="1856" spans="1:19" x14ac:dyDescent="0.25">
      <c r="A1856" s="1" t="s">
        <v>1071</v>
      </c>
      <c r="B1856" s="1" t="s">
        <v>1264</v>
      </c>
      <c r="C1856" s="5">
        <v>4</v>
      </c>
      <c r="D1856" s="1" t="s">
        <v>29</v>
      </c>
      <c r="E1856" s="1" t="s">
        <v>923</v>
      </c>
      <c r="F1856" s="5" t="s">
        <v>25</v>
      </c>
      <c r="G1856" s="5">
        <v>0</v>
      </c>
      <c r="H1856" s="5">
        <v>3</v>
      </c>
      <c r="I1856" s="5" t="b">
        <v>1</v>
      </c>
      <c r="J1856" s="1" t="s">
        <v>1121</v>
      </c>
      <c r="K1856" s="1" t="s">
        <v>32</v>
      </c>
      <c r="L1856" s="1"/>
      <c r="M1856" s="1"/>
      <c r="N1856" s="1"/>
      <c r="O1856" s="1"/>
      <c r="P1856" s="1"/>
      <c r="Q1856" s="1" t="s">
        <v>1264</v>
      </c>
      <c r="R1856" s="1" t="s">
        <v>1264</v>
      </c>
      <c r="S1856" s="5">
        <v>5</v>
      </c>
    </row>
    <row r="1857" spans="1:19" x14ac:dyDescent="0.25">
      <c r="A1857" s="1" t="s">
        <v>1071</v>
      </c>
      <c r="B1857" s="1" t="s">
        <v>1264</v>
      </c>
      <c r="C1857" s="5">
        <v>5</v>
      </c>
      <c r="D1857" s="1" t="s">
        <v>13</v>
      </c>
      <c r="E1857" s="1" t="s">
        <v>725</v>
      </c>
      <c r="F1857" s="5" t="s">
        <v>25</v>
      </c>
      <c r="G1857" s="5">
        <v>0</v>
      </c>
      <c r="H1857" s="5">
        <v>1</v>
      </c>
      <c r="I1857" s="5" t="b">
        <v>1</v>
      </c>
      <c r="J1857" s="1" t="s">
        <v>10</v>
      </c>
      <c r="K1857" s="1" t="s">
        <v>32</v>
      </c>
      <c r="L1857" s="1"/>
      <c r="M1857" s="1"/>
      <c r="N1857" s="1"/>
      <c r="O1857" s="1"/>
      <c r="P1857" s="1"/>
      <c r="Q1857" s="1" t="s">
        <v>1264</v>
      </c>
      <c r="R1857" s="1" t="s">
        <v>1264</v>
      </c>
      <c r="S1857" s="5">
        <v>3</v>
      </c>
    </row>
    <row r="1858" spans="1:19" x14ac:dyDescent="0.25">
      <c r="A1858" s="1" t="s">
        <v>1071</v>
      </c>
      <c r="B1858" s="1" t="s">
        <v>1269</v>
      </c>
      <c r="C1858" s="5">
        <v>2</v>
      </c>
      <c r="D1858" s="1" t="s">
        <v>1228</v>
      </c>
      <c r="E1858" s="1" t="s">
        <v>964</v>
      </c>
      <c r="F1858" s="5" t="s">
        <v>25</v>
      </c>
      <c r="G1858" s="5">
        <v>2</v>
      </c>
      <c r="H1858" s="5">
        <v>3</v>
      </c>
      <c r="I1858" s="5" t="b">
        <v>1</v>
      </c>
      <c r="J1858" s="1" t="s">
        <v>1229</v>
      </c>
      <c r="K1858" s="1" t="s">
        <v>32</v>
      </c>
      <c r="L1858" s="1"/>
      <c r="M1858" s="1"/>
      <c r="N1858" s="1"/>
      <c r="O1858" s="1"/>
      <c r="P1858" s="1"/>
      <c r="Q1858" s="1" t="s">
        <v>1269</v>
      </c>
      <c r="R1858" s="1" t="s">
        <v>1269</v>
      </c>
      <c r="S1858" s="5">
        <v>2</v>
      </c>
    </row>
    <row r="1859" spans="1:19" x14ac:dyDescent="0.25">
      <c r="A1859" s="1" t="s">
        <v>1071</v>
      </c>
      <c r="B1859" s="1" t="s">
        <v>1269</v>
      </c>
      <c r="C1859" s="5">
        <v>2</v>
      </c>
      <c r="D1859" s="1" t="s">
        <v>13</v>
      </c>
      <c r="E1859" s="1" t="s">
        <v>927</v>
      </c>
      <c r="F1859" s="5" t="s">
        <v>24</v>
      </c>
      <c r="G1859" s="5">
        <v>15</v>
      </c>
      <c r="H1859" s="5">
        <v>25</v>
      </c>
      <c r="I1859" s="5" t="b">
        <v>1</v>
      </c>
      <c r="J1859" s="1" t="s">
        <v>10</v>
      </c>
      <c r="K1859" s="1" t="s">
        <v>32</v>
      </c>
      <c r="L1859" s="1"/>
      <c r="M1859" s="1"/>
      <c r="N1859" s="1"/>
      <c r="O1859" s="1"/>
      <c r="P1859" s="1"/>
      <c r="Q1859" s="1" t="s">
        <v>1269</v>
      </c>
      <c r="R1859" s="1" t="s">
        <v>1269</v>
      </c>
      <c r="S1859" s="5">
        <v>3</v>
      </c>
    </row>
    <row r="1860" spans="1:19" x14ac:dyDescent="0.25">
      <c r="A1860" s="1" t="s">
        <v>1071</v>
      </c>
      <c r="B1860" s="1" t="s">
        <v>1269</v>
      </c>
      <c r="C1860" s="5">
        <v>2</v>
      </c>
      <c r="D1860" s="1" t="s">
        <v>1231</v>
      </c>
      <c r="E1860" s="1" t="s">
        <v>988</v>
      </c>
      <c r="F1860" s="5" t="s">
        <v>25</v>
      </c>
      <c r="G1860" s="5">
        <v>3</v>
      </c>
      <c r="H1860" s="5">
        <v>6</v>
      </c>
      <c r="I1860" s="5" t="b">
        <v>1</v>
      </c>
      <c r="J1860" s="1" t="s">
        <v>1232</v>
      </c>
      <c r="K1860" s="1" t="s">
        <v>32</v>
      </c>
      <c r="L1860" s="1"/>
      <c r="M1860" s="1"/>
      <c r="N1860" s="1"/>
      <c r="O1860" s="1"/>
      <c r="P1860" s="1"/>
      <c r="Q1860" s="1" t="s">
        <v>1269</v>
      </c>
      <c r="R1860" s="1" t="s">
        <v>1269</v>
      </c>
      <c r="S1860" s="5">
        <v>4</v>
      </c>
    </row>
    <row r="1861" spans="1:19" x14ac:dyDescent="0.25">
      <c r="A1861" s="1" t="s">
        <v>1071</v>
      </c>
      <c r="B1861" s="1" t="s">
        <v>1269</v>
      </c>
      <c r="C1861" s="5">
        <v>2</v>
      </c>
      <c r="D1861" s="1" t="s">
        <v>29</v>
      </c>
      <c r="E1861" s="1" t="s">
        <v>1083</v>
      </c>
      <c r="F1861" s="5" t="s">
        <v>25</v>
      </c>
      <c r="G1861" s="5">
        <v>13</v>
      </c>
      <c r="H1861" s="5">
        <v>20</v>
      </c>
      <c r="I1861" s="5" t="b">
        <v>1</v>
      </c>
      <c r="J1861" s="1" t="s">
        <v>1121</v>
      </c>
      <c r="K1861" s="1" t="s">
        <v>32</v>
      </c>
      <c r="L1861" s="1"/>
      <c r="M1861" s="1"/>
      <c r="N1861" s="1"/>
      <c r="O1861" s="1"/>
      <c r="P1861" s="1"/>
      <c r="Q1861" s="1" t="s">
        <v>1269</v>
      </c>
      <c r="R1861" s="1" t="s">
        <v>1269</v>
      </c>
      <c r="S1861" s="5">
        <v>5</v>
      </c>
    </row>
    <row r="1862" spans="1:19" x14ac:dyDescent="0.25">
      <c r="A1862" s="1" t="s">
        <v>1071</v>
      </c>
      <c r="B1862" s="1" t="s">
        <v>1269</v>
      </c>
      <c r="C1862" s="5">
        <v>2</v>
      </c>
      <c r="D1862" s="1" t="s">
        <v>1122</v>
      </c>
      <c r="E1862" s="1" t="s">
        <v>946</v>
      </c>
      <c r="F1862" s="5" t="s">
        <v>24</v>
      </c>
      <c r="G1862" s="5">
        <v>10</v>
      </c>
      <c r="H1862" s="5">
        <v>20</v>
      </c>
      <c r="I1862" s="5" t="b">
        <v>1</v>
      </c>
      <c r="J1862" s="1" t="s">
        <v>1124</v>
      </c>
      <c r="K1862" s="1" t="s">
        <v>32</v>
      </c>
      <c r="L1862" s="1"/>
      <c r="M1862" s="1"/>
      <c r="N1862" s="1"/>
      <c r="O1862" s="1"/>
      <c r="P1862" s="1"/>
      <c r="Q1862" s="1" t="s">
        <v>1269</v>
      </c>
      <c r="R1862" s="1" t="s">
        <v>1269</v>
      </c>
      <c r="S1862" s="5">
        <v>6</v>
      </c>
    </row>
    <row r="1863" spans="1:19" x14ac:dyDescent="0.25">
      <c r="A1863" s="1" t="s">
        <v>1071</v>
      </c>
      <c r="B1863" s="1" t="s">
        <v>1269</v>
      </c>
      <c r="C1863" s="5">
        <v>2</v>
      </c>
      <c r="D1863" s="1" t="s">
        <v>1161</v>
      </c>
      <c r="E1863" s="1" t="s">
        <v>1239</v>
      </c>
      <c r="F1863" s="5" t="s">
        <v>27</v>
      </c>
      <c r="G1863" s="5">
        <v>0</v>
      </c>
      <c r="H1863" s="5">
        <v>1</v>
      </c>
      <c r="I1863" s="5" t="b">
        <v>0</v>
      </c>
      <c r="J1863" s="1" t="s">
        <v>1240</v>
      </c>
      <c r="K1863" s="1" t="s">
        <v>32</v>
      </c>
      <c r="L1863" s="1"/>
      <c r="M1863" s="1"/>
      <c r="N1863" s="1"/>
      <c r="O1863" s="1"/>
      <c r="P1863" s="1"/>
      <c r="Q1863" s="1" t="s">
        <v>1269</v>
      </c>
      <c r="R1863" s="1" t="s">
        <v>1269</v>
      </c>
      <c r="S1863" s="5">
        <v>10</v>
      </c>
    </row>
    <row r="1864" spans="1:19" x14ac:dyDescent="0.25">
      <c r="A1864" s="1" t="s">
        <v>1071</v>
      </c>
      <c r="B1864" s="1" t="s">
        <v>1269</v>
      </c>
      <c r="C1864" s="5">
        <v>2</v>
      </c>
      <c r="D1864" s="1" t="s">
        <v>311</v>
      </c>
      <c r="E1864" s="1" t="s">
        <v>936</v>
      </c>
      <c r="F1864" s="5" t="s">
        <v>26</v>
      </c>
      <c r="G1864" s="5">
        <v>45</v>
      </c>
      <c r="H1864" s="5">
        <v>55</v>
      </c>
      <c r="I1864" s="5" t="b">
        <v>0</v>
      </c>
      <c r="J1864" s="1" t="s">
        <v>1258</v>
      </c>
      <c r="K1864" s="1" t="s">
        <v>32</v>
      </c>
      <c r="L1864" s="1"/>
      <c r="M1864" s="1"/>
      <c r="N1864" s="1"/>
      <c r="O1864" s="1"/>
      <c r="P1864" s="1"/>
      <c r="Q1864" s="1" t="s">
        <v>1269</v>
      </c>
      <c r="R1864" s="1" t="s">
        <v>1269</v>
      </c>
      <c r="S1864" s="5">
        <v>13</v>
      </c>
    </row>
    <row r="1865" spans="1:19" x14ac:dyDescent="0.25">
      <c r="A1865" s="1" t="s">
        <v>1071</v>
      </c>
      <c r="B1865" s="1" t="s">
        <v>1269</v>
      </c>
      <c r="C1865" s="5">
        <v>2</v>
      </c>
      <c r="D1865" s="1" t="s">
        <v>183</v>
      </c>
      <c r="E1865" s="1" t="s">
        <v>960</v>
      </c>
      <c r="F1865" s="5" t="s">
        <v>26</v>
      </c>
      <c r="G1865" s="5">
        <v>25</v>
      </c>
      <c r="H1865" s="5">
        <v>35</v>
      </c>
      <c r="I1865" s="5" t="b">
        <v>0</v>
      </c>
      <c r="J1865" s="1" t="s">
        <v>1266</v>
      </c>
      <c r="K1865" s="1" t="s">
        <v>32</v>
      </c>
      <c r="L1865" s="1"/>
      <c r="M1865" s="1"/>
      <c r="N1865" s="1"/>
      <c r="O1865" s="1"/>
      <c r="P1865" s="1"/>
      <c r="Q1865" s="1" t="s">
        <v>1269</v>
      </c>
      <c r="R1865" s="1" t="s">
        <v>1269</v>
      </c>
      <c r="S1865" s="5">
        <v>17</v>
      </c>
    </row>
    <row r="1866" spans="1:19" x14ac:dyDescent="0.25">
      <c r="A1866" s="1" t="s">
        <v>1071</v>
      </c>
      <c r="B1866" s="1" t="s">
        <v>1269</v>
      </c>
      <c r="C1866" s="5">
        <v>3</v>
      </c>
      <c r="D1866" s="1" t="s">
        <v>1228</v>
      </c>
      <c r="E1866" s="1" t="s">
        <v>964</v>
      </c>
      <c r="F1866" s="5" t="s">
        <v>25</v>
      </c>
      <c r="G1866" s="5">
        <v>2</v>
      </c>
      <c r="H1866" s="5">
        <v>3</v>
      </c>
      <c r="I1866" s="5" t="b">
        <v>1</v>
      </c>
      <c r="J1866" s="1" t="s">
        <v>1229</v>
      </c>
      <c r="K1866" s="1" t="s">
        <v>32</v>
      </c>
      <c r="L1866" s="1"/>
      <c r="M1866" s="1"/>
      <c r="N1866" s="1"/>
      <c r="O1866" s="1"/>
      <c r="P1866" s="1"/>
      <c r="Q1866" s="1" t="s">
        <v>1269</v>
      </c>
      <c r="R1866" s="1" t="s">
        <v>1269</v>
      </c>
      <c r="S1866" s="5">
        <v>2</v>
      </c>
    </row>
    <row r="1867" spans="1:19" x14ac:dyDescent="0.25">
      <c r="A1867" s="1" t="s">
        <v>1071</v>
      </c>
      <c r="B1867" s="1" t="s">
        <v>1269</v>
      </c>
      <c r="C1867" s="5">
        <v>3</v>
      </c>
      <c r="D1867" s="1" t="s">
        <v>13</v>
      </c>
      <c r="E1867" s="1" t="s">
        <v>1270</v>
      </c>
      <c r="F1867" s="5" t="s">
        <v>25</v>
      </c>
      <c r="G1867" s="5">
        <v>6</v>
      </c>
      <c r="H1867" s="5">
        <v>15</v>
      </c>
      <c r="I1867" s="5" t="b">
        <v>1</v>
      </c>
      <c r="J1867" s="1" t="s">
        <v>10</v>
      </c>
      <c r="K1867" s="1" t="s">
        <v>32</v>
      </c>
      <c r="L1867" s="1"/>
      <c r="M1867" s="1"/>
      <c r="N1867" s="1"/>
      <c r="O1867" s="1"/>
      <c r="P1867" s="1"/>
      <c r="Q1867" s="1" t="s">
        <v>1269</v>
      </c>
      <c r="R1867" s="1" t="s">
        <v>1269</v>
      </c>
      <c r="S1867" s="5">
        <v>3</v>
      </c>
    </row>
    <row r="1868" spans="1:19" x14ac:dyDescent="0.25">
      <c r="A1868" s="1" t="s">
        <v>1071</v>
      </c>
      <c r="B1868" s="1" t="s">
        <v>1269</v>
      </c>
      <c r="C1868" s="5">
        <v>3</v>
      </c>
      <c r="D1868" s="1" t="s">
        <v>1231</v>
      </c>
      <c r="E1868" s="1" t="s">
        <v>923</v>
      </c>
      <c r="F1868" s="5" t="s">
        <v>25</v>
      </c>
      <c r="G1868" s="5">
        <v>0</v>
      </c>
      <c r="H1868" s="5">
        <v>3</v>
      </c>
      <c r="I1868" s="5" t="b">
        <v>1</v>
      </c>
      <c r="J1868" s="1" t="s">
        <v>1232</v>
      </c>
      <c r="K1868" s="1" t="s">
        <v>32</v>
      </c>
      <c r="L1868" s="1"/>
      <c r="M1868" s="1"/>
      <c r="N1868" s="1"/>
      <c r="O1868" s="1"/>
      <c r="P1868" s="1"/>
      <c r="Q1868" s="1" t="s">
        <v>1269</v>
      </c>
      <c r="R1868" s="1" t="s">
        <v>1269</v>
      </c>
      <c r="S1868" s="5">
        <v>4</v>
      </c>
    </row>
    <row r="1869" spans="1:19" x14ac:dyDescent="0.25">
      <c r="A1869" s="1" t="s">
        <v>1071</v>
      </c>
      <c r="B1869" s="1" t="s">
        <v>1269</v>
      </c>
      <c r="C1869" s="5">
        <v>3</v>
      </c>
      <c r="D1869" s="1" t="s">
        <v>29</v>
      </c>
      <c r="E1869" s="1" t="s">
        <v>1271</v>
      </c>
      <c r="F1869" s="5" t="s">
        <v>25</v>
      </c>
      <c r="G1869" s="5">
        <v>4</v>
      </c>
      <c r="H1869" s="5">
        <v>11</v>
      </c>
      <c r="I1869" s="5" t="b">
        <v>1</v>
      </c>
      <c r="J1869" s="1" t="s">
        <v>1121</v>
      </c>
      <c r="K1869" s="1" t="s">
        <v>32</v>
      </c>
      <c r="L1869" s="1"/>
      <c r="M1869" s="1"/>
      <c r="N1869" s="1"/>
      <c r="O1869" s="1"/>
      <c r="P1869" s="1"/>
      <c r="Q1869" s="1" t="s">
        <v>1269</v>
      </c>
      <c r="R1869" s="1" t="s">
        <v>1269</v>
      </c>
      <c r="S1869" s="5">
        <v>5</v>
      </c>
    </row>
    <row r="1870" spans="1:19" x14ac:dyDescent="0.25">
      <c r="A1870" s="1" t="s">
        <v>1071</v>
      </c>
      <c r="B1870" s="1" t="s">
        <v>1269</v>
      </c>
      <c r="C1870" s="5">
        <v>3</v>
      </c>
      <c r="D1870" s="1" t="s">
        <v>1122</v>
      </c>
      <c r="E1870" s="1" t="s">
        <v>1272</v>
      </c>
      <c r="F1870" s="5" t="s">
        <v>25</v>
      </c>
      <c r="G1870" s="5">
        <v>0</v>
      </c>
      <c r="H1870" s="5">
        <v>9</v>
      </c>
      <c r="I1870" s="5" t="b">
        <v>1</v>
      </c>
      <c r="J1870" s="1" t="s">
        <v>1124</v>
      </c>
      <c r="K1870" s="1" t="s">
        <v>32</v>
      </c>
      <c r="L1870" s="1"/>
      <c r="M1870" s="1"/>
      <c r="N1870" s="1"/>
      <c r="O1870" s="1"/>
      <c r="P1870" s="1"/>
      <c r="Q1870" s="1" t="s">
        <v>1269</v>
      </c>
      <c r="R1870" s="1" t="s">
        <v>1269</v>
      </c>
      <c r="S1870" s="5">
        <v>6</v>
      </c>
    </row>
    <row r="1871" spans="1:19" x14ac:dyDescent="0.25">
      <c r="A1871" s="1" t="s">
        <v>1071</v>
      </c>
      <c r="B1871" s="1" t="s">
        <v>1269</v>
      </c>
      <c r="C1871" s="5">
        <v>4</v>
      </c>
      <c r="D1871" s="1" t="s">
        <v>1228</v>
      </c>
      <c r="E1871" s="1" t="s">
        <v>1243</v>
      </c>
      <c r="F1871" s="5" t="s">
        <v>25</v>
      </c>
      <c r="G1871" s="5">
        <v>-0.5</v>
      </c>
      <c r="H1871" s="5">
        <v>2</v>
      </c>
      <c r="I1871" s="5" t="b">
        <v>1</v>
      </c>
      <c r="J1871" s="1" t="s">
        <v>1229</v>
      </c>
      <c r="K1871" s="1" t="s">
        <v>32</v>
      </c>
      <c r="L1871" s="1"/>
      <c r="M1871" s="1"/>
      <c r="N1871" s="1"/>
      <c r="O1871" s="1"/>
      <c r="P1871" s="1"/>
      <c r="Q1871" s="1" t="s">
        <v>1269</v>
      </c>
      <c r="R1871" s="1" t="s">
        <v>1269</v>
      </c>
      <c r="S1871" s="5">
        <v>2</v>
      </c>
    </row>
    <row r="1872" spans="1:19" x14ac:dyDescent="0.25">
      <c r="A1872" s="1" t="s">
        <v>1071</v>
      </c>
      <c r="B1872" s="1" t="s">
        <v>1269</v>
      </c>
      <c r="C1872" s="5">
        <v>4</v>
      </c>
      <c r="D1872" s="1" t="s">
        <v>13</v>
      </c>
      <c r="E1872" s="1" t="s">
        <v>1273</v>
      </c>
      <c r="F1872" s="5" t="s">
        <v>25</v>
      </c>
      <c r="G1872" s="5">
        <v>1</v>
      </c>
      <c r="H1872" s="5">
        <v>6</v>
      </c>
      <c r="I1872" s="5" t="b">
        <v>1</v>
      </c>
      <c r="J1872" s="1" t="s">
        <v>10</v>
      </c>
      <c r="K1872" s="1" t="s">
        <v>32</v>
      </c>
      <c r="L1872" s="1"/>
      <c r="M1872" s="1"/>
      <c r="N1872" s="1"/>
      <c r="O1872" s="1"/>
      <c r="P1872" s="1"/>
      <c r="Q1872" s="1" t="s">
        <v>1269</v>
      </c>
      <c r="R1872" s="1" t="s">
        <v>1269</v>
      </c>
      <c r="S1872" s="5">
        <v>3</v>
      </c>
    </row>
    <row r="1873" spans="1:19" x14ac:dyDescent="0.25">
      <c r="A1873" s="1" t="s">
        <v>1071</v>
      </c>
      <c r="B1873" s="1" t="s">
        <v>1269</v>
      </c>
      <c r="C1873" s="5">
        <v>4</v>
      </c>
      <c r="D1873" s="1" t="s">
        <v>29</v>
      </c>
      <c r="E1873" s="1" t="s">
        <v>923</v>
      </c>
      <c r="F1873" s="5" t="s">
        <v>25</v>
      </c>
      <c r="G1873" s="5">
        <v>0</v>
      </c>
      <c r="H1873" s="5">
        <v>3</v>
      </c>
      <c r="I1873" s="5" t="b">
        <v>1</v>
      </c>
      <c r="J1873" s="1" t="s">
        <v>1121</v>
      </c>
      <c r="K1873" s="1" t="s">
        <v>32</v>
      </c>
      <c r="L1873" s="1"/>
      <c r="M1873" s="1"/>
      <c r="N1873" s="1"/>
      <c r="O1873" s="1"/>
      <c r="P1873" s="1"/>
      <c r="Q1873" s="1" t="s">
        <v>1269</v>
      </c>
      <c r="R1873" s="1" t="s">
        <v>1269</v>
      </c>
      <c r="S1873" s="5">
        <v>5</v>
      </c>
    </row>
    <row r="1874" spans="1:19" x14ac:dyDescent="0.25">
      <c r="A1874" s="1" t="s">
        <v>1071</v>
      </c>
      <c r="B1874" s="1" t="s">
        <v>1269</v>
      </c>
      <c r="C1874" s="5">
        <v>5</v>
      </c>
      <c r="D1874" s="1" t="s">
        <v>13</v>
      </c>
      <c r="E1874" s="1" t="s">
        <v>725</v>
      </c>
      <c r="F1874" s="5" t="s">
        <v>25</v>
      </c>
      <c r="G1874" s="5">
        <v>0</v>
      </c>
      <c r="H1874" s="5">
        <v>1</v>
      </c>
      <c r="I1874" s="5" t="b">
        <v>1</v>
      </c>
      <c r="J1874" s="1" t="s">
        <v>10</v>
      </c>
      <c r="K1874" s="1" t="s">
        <v>32</v>
      </c>
      <c r="L1874" s="1"/>
      <c r="M1874" s="1"/>
      <c r="N1874" s="1"/>
      <c r="O1874" s="1"/>
      <c r="P1874" s="1"/>
      <c r="Q1874" s="1" t="s">
        <v>1269</v>
      </c>
      <c r="R1874" s="1" t="s">
        <v>1269</v>
      </c>
      <c r="S1874" s="5">
        <v>3</v>
      </c>
    </row>
    <row r="1875" spans="1:19" x14ac:dyDescent="0.25">
      <c r="A1875" s="1" t="s">
        <v>1071</v>
      </c>
      <c r="B1875" s="1" t="s">
        <v>1252</v>
      </c>
      <c r="C1875" s="5">
        <v>2</v>
      </c>
      <c r="D1875" s="1" t="s">
        <v>11</v>
      </c>
      <c r="E1875" s="1" t="s">
        <v>966</v>
      </c>
      <c r="F1875" s="5" t="s">
        <v>25</v>
      </c>
      <c r="G1875" s="5">
        <v>30</v>
      </c>
      <c r="H1875" s="5">
        <v>35</v>
      </c>
      <c r="I1875" s="5" t="b">
        <v>1</v>
      </c>
      <c r="J1875" s="1" t="s">
        <v>0</v>
      </c>
      <c r="K1875" s="1" t="s">
        <v>32</v>
      </c>
      <c r="L1875" s="1"/>
      <c r="M1875" s="1"/>
      <c r="N1875" s="1"/>
      <c r="O1875" s="1"/>
      <c r="P1875" s="1"/>
      <c r="Q1875" s="1" t="s">
        <v>1252</v>
      </c>
      <c r="R1875" s="1" t="s">
        <v>1252</v>
      </c>
      <c r="S1875" s="5">
        <v>1</v>
      </c>
    </row>
    <row r="1876" spans="1:19" x14ac:dyDescent="0.25">
      <c r="A1876" s="1" t="s">
        <v>1071</v>
      </c>
      <c r="B1876" s="1" t="s">
        <v>1252</v>
      </c>
      <c r="C1876" s="5">
        <v>2</v>
      </c>
      <c r="D1876" s="1" t="s">
        <v>1228</v>
      </c>
      <c r="E1876" s="1" t="s">
        <v>964</v>
      </c>
      <c r="F1876" s="5" t="s">
        <v>25</v>
      </c>
      <c r="G1876" s="5">
        <v>2</v>
      </c>
      <c r="H1876" s="5">
        <v>3</v>
      </c>
      <c r="I1876" s="5" t="b">
        <v>1</v>
      </c>
      <c r="J1876" s="1" t="s">
        <v>1229</v>
      </c>
      <c r="K1876" s="1" t="s">
        <v>32</v>
      </c>
      <c r="L1876" s="1"/>
      <c r="M1876" s="1"/>
      <c r="N1876" s="1"/>
      <c r="O1876" s="1"/>
      <c r="P1876" s="1"/>
      <c r="Q1876" s="1" t="s">
        <v>1252</v>
      </c>
      <c r="R1876" s="1" t="s">
        <v>1252</v>
      </c>
      <c r="S1876" s="5">
        <v>2</v>
      </c>
    </row>
    <row r="1877" spans="1:19" x14ac:dyDescent="0.25">
      <c r="A1877" s="1" t="s">
        <v>1071</v>
      </c>
      <c r="B1877" s="1" t="s">
        <v>1252</v>
      </c>
      <c r="C1877" s="5">
        <v>2</v>
      </c>
      <c r="D1877" s="1" t="s">
        <v>13</v>
      </c>
      <c r="E1877" s="1" t="s">
        <v>939</v>
      </c>
      <c r="F1877" s="5" t="s">
        <v>25</v>
      </c>
      <c r="G1877" s="5">
        <v>18</v>
      </c>
      <c r="H1877" s="5">
        <v>25</v>
      </c>
      <c r="I1877" s="5" t="b">
        <v>1</v>
      </c>
      <c r="J1877" s="1" t="s">
        <v>10</v>
      </c>
      <c r="K1877" s="1" t="s">
        <v>32</v>
      </c>
      <c r="L1877" s="1"/>
      <c r="M1877" s="1"/>
      <c r="N1877" s="1"/>
      <c r="O1877" s="1"/>
      <c r="P1877" s="1"/>
      <c r="Q1877" s="1" t="s">
        <v>1252</v>
      </c>
      <c r="R1877" s="1" t="s">
        <v>1252</v>
      </c>
      <c r="S1877" s="5">
        <v>3</v>
      </c>
    </row>
    <row r="1878" spans="1:19" x14ac:dyDescent="0.25">
      <c r="A1878" s="1" t="s">
        <v>1071</v>
      </c>
      <c r="B1878" s="1" t="s">
        <v>1252</v>
      </c>
      <c r="C1878" s="5">
        <v>2</v>
      </c>
      <c r="D1878" s="1" t="s">
        <v>29</v>
      </c>
      <c r="E1878" s="1" t="s">
        <v>1250</v>
      </c>
      <c r="F1878" s="5" t="s">
        <v>25</v>
      </c>
      <c r="G1878" s="5">
        <v>6</v>
      </c>
      <c r="H1878" s="5">
        <v>11</v>
      </c>
      <c r="I1878" s="5" t="b">
        <v>1</v>
      </c>
      <c r="J1878" s="1" t="s">
        <v>1121</v>
      </c>
      <c r="K1878" s="1" t="s">
        <v>32</v>
      </c>
      <c r="L1878" s="1"/>
      <c r="M1878" s="1"/>
      <c r="N1878" s="1"/>
      <c r="O1878" s="1"/>
      <c r="P1878" s="1"/>
      <c r="Q1878" s="1" t="s">
        <v>1252</v>
      </c>
      <c r="R1878" s="1" t="s">
        <v>1252</v>
      </c>
      <c r="S1878" s="5">
        <v>5</v>
      </c>
    </row>
    <row r="1879" spans="1:19" x14ac:dyDescent="0.25">
      <c r="A1879" s="1" t="s">
        <v>1071</v>
      </c>
      <c r="B1879" s="1" t="s">
        <v>1252</v>
      </c>
      <c r="C1879" s="5">
        <v>2</v>
      </c>
      <c r="D1879" s="1" t="s">
        <v>1122</v>
      </c>
      <c r="E1879" s="1" t="s">
        <v>1253</v>
      </c>
      <c r="F1879" s="5" t="s">
        <v>24</v>
      </c>
      <c r="G1879" s="5">
        <v>12</v>
      </c>
      <c r="H1879" s="5">
        <v>22</v>
      </c>
      <c r="I1879" s="5" t="b">
        <v>1</v>
      </c>
      <c r="J1879" s="1" t="s">
        <v>1124</v>
      </c>
      <c r="K1879" s="1" t="s">
        <v>32</v>
      </c>
      <c r="L1879" s="1"/>
      <c r="M1879" s="1"/>
      <c r="N1879" s="1"/>
      <c r="O1879" s="1"/>
      <c r="P1879" s="1"/>
      <c r="Q1879" s="1" t="s">
        <v>1252</v>
      </c>
      <c r="R1879" s="1" t="s">
        <v>1252</v>
      </c>
      <c r="S1879" s="5">
        <v>6</v>
      </c>
    </row>
    <row r="1880" spans="1:19" x14ac:dyDescent="0.25">
      <c r="A1880" s="1" t="s">
        <v>1071</v>
      </c>
      <c r="B1880" s="1" t="s">
        <v>1252</v>
      </c>
      <c r="C1880" s="5">
        <v>2</v>
      </c>
      <c r="D1880" s="1" t="s">
        <v>1125</v>
      </c>
      <c r="E1880" s="1" t="s">
        <v>1255</v>
      </c>
      <c r="F1880" s="5" t="s">
        <v>27</v>
      </c>
      <c r="G1880" s="5">
        <v>0</v>
      </c>
      <c r="H1880" s="5">
        <v>3</v>
      </c>
      <c r="I1880" s="5" t="b">
        <v>0</v>
      </c>
      <c r="J1880" s="1" t="s">
        <v>1237</v>
      </c>
      <c r="K1880" s="1" t="s">
        <v>32</v>
      </c>
      <c r="L1880" s="1"/>
      <c r="M1880" s="1"/>
      <c r="N1880" s="1"/>
      <c r="O1880" s="1"/>
      <c r="P1880" s="1"/>
      <c r="Q1880" s="1" t="s">
        <v>1252</v>
      </c>
      <c r="R1880" s="1" t="s">
        <v>1252</v>
      </c>
      <c r="S1880" s="5">
        <v>8</v>
      </c>
    </row>
    <row r="1881" spans="1:19" x14ac:dyDescent="0.25">
      <c r="A1881" s="1" t="s">
        <v>1071</v>
      </c>
      <c r="B1881" s="1" t="s">
        <v>1252</v>
      </c>
      <c r="C1881" s="5">
        <v>2</v>
      </c>
      <c r="D1881" s="1" t="s">
        <v>1254</v>
      </c>
      <c r="E1881" s="1" t="s">
        <v>1255</v>
      </c>
      <c r="F1881" s="5" t="s">
        <v>27</v>
      </c>
      <c r="G1881" s="5">
        <v>0</v>
      </c>
      <c r="H1881" s="5">
        <v>3</v>
      </c>
      <c r="I1881" s="5" t="b">
        <v>0</v>
      </c>
      <c r="J1881" s="1" t="s">
        <v>1256</v>
      </c>
      <c r="K1881" s="1" t="s">
        <v>32</v>
      </c>
      <c r="L1881" s="1"/>
      <c r="M1881" s="1"/>
      <c r="N1881" s="1"/>
      <c r="O1881" s="1"/>
      <c r="P1881" s="1"/>
      <c r="Q1881" s="1" t="s">
        <v>1252</v>
      </c>
      <c r="R1881" s="1" t="s">
        <v>1252</v>
      </c>
      <c r="S1881" s="5">
        <v>9</v>
      </c>
    </row>
    <row r="1882" spans="1:19" x14ac:dyDescent="0.25">
      <c r="A1882" s="1" t="s">
        <v>1071</v>
      </c>
      <c r="B1882" s="1" t="s">
        <v>1252</v>
      </c>
      <c r="C1882" s="5">
        <v>2</v>
      </c>
      <c r="D1882" s="1" t="s">
        <v>1161</v>
      </c>
      <c r="E1882" s="1" t="s">
        <v>1239</v>
      </c>
      <c r="F1882" s="5" t="s">
        <v>27</v>
      </c>
      <c r="G1882" s="5">
        <v>0</v>
      </c>
      <c r="H1882" s="5">
        <v>1</v>
      </c>
      <c r="I1882" s="5" t="b">
        <v>0</v>
      </c>
      <c r="J1882" s="1" t="s">
        <v>1240</v>
      </c>
      <c r="K1882" s="1" t="s">
        <v>32</v>
      </c>
      <c r="L1882" s="1"/>
      <c r="M1882" s="1"/>
      <c r="N1882" s="1"/>
      <c r="O1882" s="1"/>
      <c r="P1882" s="1"/>
      <c r="Q1882" s="1" t="s">
        <v>1252</v>
      </c>
      <c r="R1882" s="1" t="s">
        <v>1252</v>
      </c>
      <c r="S1882" s="5">
        <v>10</v>
      </c>
    </row>
    <row r="1883" spans="1:19" x14ac:dyDescent="0.25">
      <c r="A1883" s="1" t="s">
        <v>1071</v>
      </c>
      <c r="B1883" s="1" t="s">
        <v>1252</v>
      </c>
      <c r="C1883" s="5">
        <v>2</v>
      </c>
      <c r="D1883" s="1" t="s">
        <v>1393</v>
      </c>
      <c r="E1883" s="1" t="s">
        <v>1257</v>
      </c>
      <c r="F1883" s="5" t="s">
        <v>27</v>
      </c>
      <c r="G1883" s="5">
        <v>0</v>
      </c>
      <c r="H1883" s="5">
        <v>5</v>
      </c>
      <c r="I1883" s="5" t="b">
        <v>0</v>
      </c>
      <c r="J1883" s="1" t="s">
        <v>1238</v>
      </c>
      <c r="K1883" s="1" t="s">
        <v>32</v>
      </c>
      <c r="L1883" s="1"/>
      <c r="M1883" s="1"/>
      <c r="N1883" s="1"/>
      <c r="O1883" s="1"/>
      <c r="P1883" s="1"/>
      <c r="Q1883" s="1" t="s">
        <v>1252</v>
      </c>
      <c r="R1883" s="1" t="s">
        <v>1252</v>
      </c>
      <c r="S1883" s="5">
        <v>11</v>
      </c>
    </row>
    <row r="1884" spans="1:19" x14ac:dyDescent="0.25">
      <c r="A1884" s="1" t="s">
        <v>1071</v>
      </c>
      <c r="B1884" s="1" t="s">
        <v>1252</v>
      </c>
      <c r="C1884" s="5">
        <v>2</v>
      </c>
      <c r="D1884" s="1" t="s">
        <v>311</v>
      </c>
      <c r="E1884" s="1" t="s">
        <v>1247</v>
      </c>
      <c r="F1884" s="5" t="s">
        <v>27</v>
      </c>
      <c r="G1884" s="5">
        <v>30</v>
      </c>
      <c r="H1884" s="5">
        <v>35</v>
      </c>
      <c r="I1884" s="5" t="b">
        <v>0</v>
      </c>
      <c r="J1884" s="1" t="s">
        <v>1258</v>
      </c>
      <c r="K1884" s="1" t="s">
        <v>32</v>
      </c>
      <c r="L1884" s="1"/>
      <c r="M1884" s="1"/>
      <c r="N1884" s="1"/>
      <c r="O1884" s="1"/>
      <c r="P1884" s="1"/>
      <c r="Q1884" s="1" t="s">
        <v>1252</v>
      </c>
      <c r="R1884" s="1" t="s">
        <v>1252</v>
      </c>
      <c r="S1884" s="5">
        <v>13</v>
      </c>
    </row>
    <row r="1885" spans="1:19" x14ac:dyDescent="0.25">
      <c r="A1885" s="1" t="s">
        <v>1071</v>
      </c>
      <c r="B1885" s="1" t="s">
        <v>1252</v>
      </c>
      <c r="C1885" s="5">
        <v>3</v>
      </c>
      <c r="D1885" s="1" t="s">
        <v>11</v>
      </c>
      <c r="E1885" s="1" t="s">
        <v>932</v>
      </c>
      <c r="F1885" s="5" t="s">
        <v>25</v>
      </c>
      <c r="G1885" s="5">
        <v>25</v>
      </c>
      <c r="H1885" s="5">
        <v>30</v>
      </c>
      <c r="I1885" s="5" t="b">
        <v>1</v>
      </c>
      <c r="J1885" s="1" t="s">
        <v>0</v>
      </c>
      <c r="K1885" s="1" t="s">
        <v>32</v>
      </c>
      <c r="L1885" s="1"/>
      <c r="M1885" s="1"/>
      <c r="N1885" s="1"/>
      <c r="O1885" s="1"/>
      <c r="P1885" s="1"/>
      <c r="Q1885" s="1" t="s">
        <v>1252</v>
      </c>
      <c r="R1885" s="1" t="s">
        <v>1252</v>
      </c>
      <c r="S1885" s="5">
        <v>1</v>
      </c>
    </row>
    <row r="1886" spans="1:19" x14ac:dyDescent="0.25">
      <c r="A1886" s="1" t="s">
        <v>1071</v>
      </c>
      <c r="B1886" s="1" t="s">
        <v>1252</v>
      </c>
      <c r="C1886" s="5">
        <v>3</v>
      </c>
      <c r="D1886" s="1" t="s">
        <v>1228</v>
      </c>
      <c r="E1886" s="1" t="s">
        <v>964</v>
      </c>
      <c r="F1886" s="5" t="s">
        <v>25</v>
      </c>
      <c r="G1886" s="5">
        <v>2</v>
      </c>
      <c r="H1886" s="5">
        <v>3</v>
      </c>
      <c r="I1886" s="5" t="b">
        <v>1</v>
      </c>
      <c r="J1886" s="1" t="s">
        <v>1229</v>
      </c>
      <c r="K1886" s="1" t="s">
        <v>32</v>
      </c>
      <c r="L1886" s="1"/>
      <c r="M1886" s="1"/>
      <c r="N1886" s="1"/>
      <c r="O1886" s="1"/>
      <c r="P1886" s="1"/>
      <c r="Q1886" s="1" t="s">
        <v>1252</v>
      </c>
      <c r="R1886" s="1" t="s">
        <v>1252</v>
      </c>
      <c r="S1886" s="5">
        <v>2</v>
      </c>
    </row>
    <row r="1887" spans="1:19" x14ac:dyDescent="0.25">
      <c r="A1887" s="1" t="s">
        <v>1071</v>
      </c>
      <c r="B1887" s="1" t="s">
        <v>1252</v>
      </c>
      <c r="C1887" s="5">
        <v>3</v>
      </c>
      <c r="D1887" s="1" t="s">
        <v>13</v>
      </c>
      <c r="E1887" s="1" t="s">
        <v>1259</v>
      </c>
      <c r="F1887" s="5" t="s">
        <v>24</v>
      </c>
      <c r="G1887" s="5">
        <v>8</v>
      </c>
      <c r="H1887" s="5">
        <v>18</v>
      </c>
      <c r="I1887" s="5" t="b">
        <v>1</v>
      </c>
      <c r="J1887" s="1" t="s">
        <v>10</v>
      </c>
      <c r="K1887" s="1" t="s">
        <v>32</v>
      </c>
      <c r="L1887" s="1"/>
      <c r="M1887" s="1"/>
      <c r="N1887" s="1"/>
      <c r="O1887" s="1"/>
      <c r="P1887" s="1"/>
      <c r="Q1887" s="1" t="s">
        <v>1252</v>
      </c>
      <c r="R1887" s="1" t="s">
        <v>1252</v>
      </c>
      <c r="S1887" s="5">
        <v>3</v>
      </c>
    </row>
    <row r="1888" spans="1:19" x14ac:dyDescent="0.25">
      <c r="A1888" s="1" t="s">
        <v>1071</v>
      </c>
      <c r="B1888" s="1" t="s">
        <v>1252</v>
      </c>
      <c r="C1888" s="5">
        <v>3</v>
      </c>
      <c r="D1888" s="1" t="s">
        <v>29</v>
      </c>
      <c r="E1888" s="1" t="s">
        <v>976</v>
      </c>
      <c r="F1888" s="5" t="s">
        <v>24</v>
      </c>
      <c r="G1888" s="5">
        <v>2</v>
      </c>
      <c r="H1888" s="5">
        <v>6</v>
      </c>
      <c r="I1888" s="5" t="b">
        <v>1</v>
      </c>
      <c r="J1888" s="1" t="s">
        <v>1121</v>
      </c>
      <c r="K1888" s="1" t="s">
        <v>32</v>
      </c>
      <c r="L1888" s="1"/>
      <c r="M1888" s="1"/>
      <c r="N1888" s="1"/>
      <c r="O1888" s="1"/>
      <c r="P1888" s="1"/>
      <c r="Q1888" s="1" t="s">
        <v>1252</v>
      </c>
      <c r="R1888" s="1" t="s">
        <v>1252</v>
      </c>
      <c r="S1888" s="5">
        <v>5</v>
      </c>
    </row>
    <row r="1889" spans="1:19" x14ac:dyDescent="0.25">
      <c r="A1889" s="1" t="s">
        <v>1071</v>
      </c>
      <c r="B1889" s="1" t="s">
        <v>1252</v>
      </c>
      <c r="C1889" s="5">
        <v>3</v>
      </c>
      <c r="D1889" s="1" t="s">
        <v>1122</v>
      </c>
      <c r="E1889" s="1" t="s">
        <v>1260</v>
      </c>
      <c r="F1889" s="5" t="s">
        <v>25</v>
      </c>
      <c r="G1889" s="5">
        <v>5</v>
      </c>
      <c r="H1889" s="5">
        <v>12</v>
      </c>
      <c r="I1889" s="5" t="b">
        <v>1</v>
      </c>
      <c r="J1889" s="1" t="s">
        <v>1124</v>
      </c>
      <c r="K1889" s="1" t="s">
        <v>32</v>
      </c>
      <c r="L1889" s="1"/>
      <c r="M1889" s="1"/>
      <c r="N1889" s="1"/>
      <c r="O1889" s="1"/>
      <c r="P1889" s="1"/>
      <c r="Q1889" s="1" t="s">
        <v>1252</v>
      </c>
      <c r="R1889" s="1" t="s">
        <v>1252</v>
      </c>
      <c r="S1889" s="5">
        <v>6</v>
      </c>
    </row>
    <row r="1890" spans="1:19" x14ac:dyDescent="0.25">
      <c r="A1890" s="1" t="s">
        <v>1071</v>
      </c>
      <c r="B1890" s="1" t="s">
        <v>1252</v>
      </c>
      <c r="C1890" s="5">
        <v>3</v>
      </c>
      <c r="D1890" s="1" t="s">
        <v>1125</v>
      </c>
      <c r="E1890" s="1" t="s">
        <v>977</v>
      </c>
      <c r="F1890" s="5" t="s">
        <v>27</v>
      </c>
      <c r="G1890" s="5">
        <v>2</v>
      </c>
      <c r="H1890" s="5">
        <v>7</v>
      </c>
      <c r="I1890" s="5" t="b">
        <v>0</v>
      </c>
      <c r="J1890" s="1" t="s">
        <v>1237</v>
      </c>
      <c r="K1890" s="1" t="s">
        <v>32</v>
      </c>
      <c r="L1890" s="1"/>
      <c r="M1890" s="1"/>
      <c r="N1890" s="1"/>
      <c r="O1890" s="1"/>
      <c r="P1890" s="1"/>
      <c r="Q1890" s="1" t="s">
        <v>1252</v>
      </c>
      <c r="R1890" s="1" t="s">
        <v>1252</v>
      </c>
      <c r="S1890" s="5">
        <v>8</v>
      </c>
    </row>
    <row r="1891" spans="1:19" x14ac:dyDescent="0.25">
      <c r="A1891" s="1" t="s">
        <v>1071</v>
      </c>
      <c r="B1891" s="1" t="s">
        <v>1252</v>
      </c>
      <c r="C1891" s="5">
        <v>3</v>
      </c>
      <c r="D1891" s="1" t="s">
        <v>1254</v>
      </c>
      <c r="E1891" s="1" t="s">
        <v>1261</v>
      </c>
      <c r="F1891" s="5" t="s">
        <v>26</v>
      </c>
      <c r="G1891" s="5">
        <v>3</v>
      </c>
      <c r="H1891" s="5">
        <v>5</v>
      </c>
      <c r="I1891" s="5" t="b">
        <v>0</v>
      </c>
      <c r="J1891" s="1" t="s">
        <v>1256</v>
      </c>
      <c r="K1891" s="1" t="s">
        <v>32</v>
      </c>
      <c r="L1891" s="1"/>
      <c r="M1891" s="1"/>
      <c r="N1891" s="1"/>
      <c r="O1891" s="1"/>
      <c r="P1891" s="1"/>
      <c r="Q1891" s="1" t="s">
        <v>1252</v>
      </c>
      <c r="R1891" s="1" t="s">
        <v>1252</v>
      </c>
      <c r="S1891" s="5">
        <v>9</v>
      </c>
    </row>
    <row r="1892" spans="1:19" x14ac:dyDescent="0.25">
      <c r="A1892" s="1" t="s">
        <v>1071</v>
      </c>
      <c r="B1892" s="1" t="s">
        <v>1252</v>
      </c>
      <c r="C1892" s="5">
        <v>3</v>
      </c>
      <c r="D1892" s="1" t="s">
        <v>1393</v>
      </c>
      <c r="E1892" s="1" t="s">
        <v>963</v>
      </c>
      <c r="F1892" s="5" t="s">
        <v>27</v>
      </c>
      <c r="G1892" s="5">
        <v>5</v>
      </c>
      <c r="H1892" s="5">
        <v>10</v>
      </c>
      <c r="I1892" s="5" t="b">
        <v>0</v>
      </c>
      <c r="J1892" s="1" t="s">
        <v>1238</v>
      </c>
      <c r="K1892" s="1" t="s">
        <v>32</v>
      </c>
      <c r="L1892" s="1"/>
      <c r="M1892" s="1"/>
      <c r="N1892" s="1"/>
      <c r="O1892" s="1"/>
      <c r="P1892" s="1"/>
      <c r="Q1892" s="1" t="s">
        <v>1252</v>
      </c>
      <c r="R1892" s="1" t="s">
        <v>1252</v>
      </c>
      <c r="S1892" s="5">
        <v>11</v>
      </c>
    </row>
    <row r="1893" spans="1:19" x14ac:dyDescent="0.25">
      <c r="A1893" s="1" t="s">
        <v>1071</v>
      </c>
      <c r="B1893" s="1" t="s">
        <v>1252</v>
      </c>
      <c r="C1893" s="5">
        <v>3</v>
      </c>
      <c r="D1893" s="1" t="s">
        <v>311</v>
      </c>
      <c r="E1893" s="1" t="s">
        <v>1262</v>
      </c>
      <c r="F1893" s="5" t="s">
        <v>27</v>
      </c>
      <c r="G1893" s="5">
        <v>35</v>
      </c>
      <c r="H1893" s="5">
        <v>40</v>
      </c>
      <c r="I1893" s="5" t="b">
        <v>0</v>
      </c>
      <c r="J1893" s="1" t="s">
        <v>1258</v>
      </c>
      <c r="K1893" s="1" t="s">
        <v>32</v>
      </c>
      <c r="L1893" s="1"/>
      <c r="M1893" s="1"/>
      <c r="N1893" s="1"/>
      <c r="O1893" s="1"/>
      <c r="P1893" s="1"/>
      <c r="Q1893" s="1" t="s">
        <v>1252</v>
      </c>
      <c r="R1893" s="1" t="s">
        <v>1252</v>
      </c>
      <c r="S1893" s="5">
        <v>13</v>
      </c>
    </row>
    <row r="1894" spans="1:19" x14ac:dyDescent="0.25">
      <c r="A1894" s="1" t="s">
        <v>1071</v>
      </c>
      <c r="B1894" s="1" t="s">
        <v>1252</v>
      </c>
      <c r="C1894" s="5">
        <v>4</v>
      </c>
      <c r="D1894" s="1" t="s">
        <v>11</v>
      </c>
      <c r="E1894" s="1" t="s">
        <v>954</v>
      </c>
      <c r="F1894" s="5" t="s">
        <v>25</v>
      </c>
      <c r="G1894" s="5">
        <v>20</v>
      </c>
      <c r="H1894" s="5">
        <v>25</v>
      </c>
      <c r="I1894" s="5" t="b">
        <v>1</v>
      </c>
      <c r="J1894" s="1" t="s">
        <v>0</v>
      </c>
      <c r="K1894" s="1" t="s">
        <v>32</v>
      </c>
      <c r="L1894" s="1"/>
      <c r="M1894" s="1"/>
      <c r="N1894" s="1"/>
      <c r="O1894" s="1"/>
      <c r="P1894" s="1"/>
      <c r="Q1894" s="1" t="s">
        <v>1252</v>
      </c>
      <c r="R1894" s="1" t="s">
        <v>1252</v>
      </c>
      <c r="S1894" s="5">
        <v>1</v>
      </c>
    </row>
    <row r="1895" spans="1:19" x14ac:dyDescent="0.25">
      <c r="A1895" s="1" t="s">
        <v>1071</v>
      </c>
      <c r="B1895" s="1" t="s">
        <v>1252</v>
      </c>
      <c r="C1895" s="5">
        <v>4</v>
      </c>
      <c r="D1895" s="1" t="s">
        <v>1228</v>
      </c>
      <c r="E1895" s="1" t="s">
        <v>1243</v>
      </c>
      <c r="F1895" s="5" t="s">
        <v>25</v>
      </c>
      <c r="G1895" s="5">
        <v>-0.5</v>
      </c>
      <c r="H1895" s="5">
        <v>2</v>
      </c>
      <c r="I1895" s="5" t="b">
        <v>1</v>
      </c>
      <c r="J1895" s="1" t="s">
        <v>1229</v>
      </c>
      <c r="K1895" s="1" t="s">
        <v>32</v>
      </c>
      <c r="L1895" s="1"/>
      <c r="M1895" s="1"/>
      <c r="N1895" s="1"/>
      <c r="O1895" s="1"/>
      <c r="P1895" s="1"/>
      <c r="Q1895" s="1" t="s">
        <v>1252</v>
      </c>
      <c r="R1895" s="1" t="s">
        <v>1252</v>
      </c>
      <c r="S1895" s="5">
        <v>2</v>
      </c>
    </row>
    <row r="1896" spans="1:19" x14ac:dyDescent="0.25">
      <c r="A1896" s="1" t="s">
        <v>1071</v>
      </c>
      <c r="B1896" s="1" t="s">
        <v>1252</v>
      </c>
      <c r="C1896" s="5">
        <v>4</v>
      </c>
      <c r="D1896" s="1" t="s">
        <v>13</v>
      </c>
      <c r="E1896" s="1" t="s">
        <v>948</v>
      </c>
      <c r="F1896" s="5" t="s">
        <v>25</v>
      </c>
      <c r="G1896" s="5">
        <v>5</v>
      </c>
      <c r="H1896" s="5">
        <v>10</v>
      </c>
      <c r="I1896" s="5" t="b">
        <v>1</v>
      </c>
      <c r="J1896" s="1" t="s">
        <v>10</v>
      </c>
      <c r="K1896" s="1" t="s">
        <v>32</v>
      </c>
      <c r="L1896" s="1"/>
      <c r="M1896" s="1"/>
      <c r="N1896" s="1"/>
      <c r="O1896" s="1"/>
      <c r="P1896" s="1"/>
      <c r="Q1896" s="1" t="s">
        <v>1252</v>
      </c>
      <c r="R1896" s="1" t="s">
        <v>1252</v>
      </c>
      <c r="S1896" s="5">
        <v>3</v>
      </c>
    </row>
    <row r="1897" spans="1:19" x14ac:dyDescent="0.25">
      <c r="A1897" s="1" t="s">
        <v>1071</v>
      </c>
      <c r="B1897" s="1" t="s">
        <v>1252</v>
      </c>
      <c r="C1897" s="5">
        <v>4</v>
      </c>
      <c r="D1897" s="1" t="s">
        <v>29</v>
      </c>
      <c r="E1897" s="1" t="s">
        <v>962</v>
      </c>
      <c r="F1897" s="5" t="s">
        <v>24</v>
      </c>
      <c r="G1897" s="5">
        <v>0</v>
      </c>
      <c r="H1897" s="5">
        <v>2</v>
      </c>
      <c r="I1897" s="5" t="b">
        <v>1</v>
      </c>
      <c r="J1897" s="1" t="s">
        <v>1121</v>
      </c>
      <c r="K1897" s="1" t="s">
        <v>32</v>
      </c>
      <c r="L1897" s="1" t="s">
        <v>716</v>
      </c>
      <c r="M1897" s="1" t="s">
        <v>1138</v>
      </c>
      <c r="N1897" s="1"/>
      <c r="O1897" s="1"/>
      <c r="P1897" s="1"/>
      <c r="Q1897" s="1" t="s">
        <v>1252</v>
      </c>
      <c r="R1897" s="1" t="s">
        <v>1252</v>
      </c>
      <c r="S1897" s="5">
        <v>5</v>
      </c>
    </row>
    <row r="1898" spans="1:19" x14ac:dyDescent="0.25">
      <c r="A1898" s="1" t="s">
        <v>1071</v>
      </c>
      <c r="B1898" s="1" t="s">
        <v>1252</v>
      </c>
      <c r="C1898" s="5">
        <v>4</v>
      </c>
      <c r="D1898" s="1" t="s">
        <v>1125</v>
      </c>
      <c r="E1898" s="1" t="s">
        <v>917</v>
      </c>
      <c r="F1898" s="5" t="s">
        <v>26</v>
      </c>
      <c r="G1898" s="5">
        <v>20</v>
      </c>
      <c r="H1898" s="5">
        <v>30</v>
      </c>
      <c r="I1898" s="5" t="b">
        <v>0</v>
      </c>
      <c r="J1898" s="1" t="s">
        <v>1237</v>
      </c>
      <c r="K1898" s="1" t="s">
        <v>32</v>
      </c>
      <c r="L1898" s="1" t="s">
        <v>716</v>
      </c>
      <c r="M1898" s="1" t="s">
        <v>1138</v>
      </c>
      <c r="N1898" s="1"/>
      <c r="O1898" s="1"/>
      <c r="P1898" s="1"/>
      <c r="Q1898" s="1" t="s">
        <v>1252</v>
      </c>
      <c r="R1898" s="1" t="s">
        <v>1252</v>
      </c>
      <c r="S1898" s="5">
        <v>8</v>
      </c>
    </row>
    <row r="1899" spans="1:19" x14ac:dyDescent="0.25">
      <c r="A1899" s="1" t="s">
        <v>1071</v>
      </c>
      <c r="B1899" s="1" t="s">
        <v>1252</v>
      </c>
      <c r="C1899" s="5">
        <v>4</v>
      </c>
      <c r="D1899" s="1" t="s">
        <v>1254</v>
      </c>
      <c r="E1899" s="1" t="s">
        <v>1263</v>
      </c>
      <c r="F1899" s="5" t="s">
        <v>27</v>
      </c>
      <c r="G1899" s="5">
        <v>5</v>
      </c>
      <c r="H1899" s="5">
        <v>12</v>
      </c>
      <c r="I1899" s="5" t="b">
        <v>0</v>
      </c>
      <c r="J1899" s="1" t="s">
        <v>1256</v>
      </c>
      <c r="K1899" s="1" t="s">
        <v>32</v>
      </c>
      <c r="L1899" s="1" t="s">
        <v>716</v>
      </c>
      <c r="M1899" s="1" t="s">
        <v>1138</v>
      </c>
      <c r="N1899" s="1"/>
      <c r="O1899" s="1"/>
      <c r="P1899" s="1"/>
      <c r="Q1899" s="1" t="s">
        <v>1252</v>
      </c>
      <c r="R1899" s="1" t="s">
        <v>1252</v>
      </c>
      <c r="S1899" s="5">
        <v>9</v>
      </c>
    </row>
    <row r="1900" spans="1:19" x14ac:dyDescent="0.25">
      <c r="A1900" s="1" t="s">
        <v>1071</v>
      </c>
      <c r="B1900" s="1" t="s">
        <v>1252</v>
      </c>
      <c r="C1900" s="5">
        <v>4</v>
      </c>
      <c r="D1900" s="1" t="s">
        <v>1393</v>
      </c>
      <c r="E1900" s="1" t="s">
        <v>915</v>
      </c>
      <c r="F1900" s="5" t="s">
        <v>26</v>
      </c>
      <c r="G1900" s="5">
        <v>30</v>
      </c>
      <c r="H1900" s="5">
        <v>40</v>
      </c>
      <c r="I1900" s="5" t="b">
        <v>0</v>
      </c>
      <c r="J1900" s="1" t="s">
        <v>1238</v>
      </c>
      <c r="K1900" s="1" t="s">
        <v>32</v>
      </c>
      <c r="L1900" s="1" t="s">
        <v>716</v>
      </c>
      <c r="M1900" s="1" t="s">
        <v>1138</v>
      </c>
      <c r="N1900" s="1"/>
      <c r="O1900" s="1"/>
      <c r="P1900" s="1"/>
      <c r="Q1900" s="1" t="s">
        <v>1252</v>
      </c>
      <c r="R1900" s="1" t="s">
        <v>1252</v>
      </c>
      <c r="S1900" s="5">
        <v>11</v>
      </c>
    </row>
    <row r="1901" spans="1:19" x14ac:dyDescent="0.25">
      <c r="A1901" s="1" t="s">
        <v>1071</v>
      </c>
      <c r="B1901" s="1" t="s">
        <v>1252</v>
      </c>
      <c r="C1901" s="5">
        <v>4</v>
      </c>
      <c r="D1901" s="1" t="s">
        <v>311</v>
      </c>
      <c r="E1901" s="1" t="s">
        <v>968</v>
      </c>
      <c r="F1901" s="5" t="s">
        <v>27</v>
      </c>
      <c r="G1901" s="5">
        <v>40</v>
      </c>
      <c r="H1901" s="5">
        <v>45</v>
      </c>
      <c r="I1901" s="5" t="b">
        <v>0</v>
      </c>
      <c r="J1901" s="1" t="s">
        <v>1258</v>
      </c>
      <c r="K1901" s="1" t="s">
        <v>32</v>
      </c>
      <c r="L1901" s="1" t="s">
        <v>716</v>
      </c>
      <c r="M1901" s="1" t="s">
        <v>1138</v>
      </c>
      <c r="N1901" s="1"/>
      <c r="O1901" s="1"/>
      <c r="P1901" s="1"/>
      <c r="Q1901" s="1" t="s">
        <v>1252</v>
      </c>
      <c r="R1901" s="1" t="s">
        <v>1252</v>
      </c>
      <c r="S1901" s="5">
        <v>13</v>
      </c>
    </row>
    <row r="1902" spans="1:19" x14ac:dyDescent="0.25">
      <c r="A1902" s="1" t="s">
        <v>1071</v>
      </c>
      <c r="B1902" s="1" t="s">
        <v>1252</v>
      </c>
      <c r="C1902" s="5">
        <v>5</v>
      </c>
      <c r="D1902" s="1" t="s">
        <v>11</v>
      </c>
      <c r="E1902" s="1" t="s">
        <v>933</v>
      </c>
      <c r="F1902" s="5" t="s">
        <v>25</v>
      </c>
      <c r="G1902" s="5">
        <v>15</v>
      </c>
      <c r="H1902" s="5">
        <v>20</v>
      </c>
      <c r="I1902" s="5" t="b">
        <v>1</v>
      </c>
      <c r="J1902" s="1" t="s">
        <v>0</v>
      </c>
      <c r="K1902" s="1" t="s">
        <v>32</v>
      </c>
      <c r="L1902" s="1"/>
      <c r="M1902" s="1"/>
      <c r="N1902" s="1"/>
      <c r="O1902" s="1"/>
      <c r="P1902" s="1"/>
      <c r="Q1902" s="1" t="s">
        <v>1252</v>
      </c>
      <c r="R1902" s="1" t="s">
        <v>1252</v>
      </c>
      <c r="S1902" s="5">
        <v>1</v>
      </c>
    </row>
    <row r="1903" spans="1:19" x14ac:dyDescent="0.25">
      <c r="A1903" s="1" t="s">
        <v>1071</v>
      </c>
      <c r="B1903" s="1" t="s">
        <v>1252</v>
      </c>
      <c r="C1903" s="5">
        <v>5</v>
      </c>
      <c r="D1903" s="1" t="s">
        <v>1228</v>
      </c>
      <c r="E1903" s="1" t="s">
        <v>725</v>
      </c>
      <c r="F1903" s="5" t="s">
        <v>25</v>
      </c>
      <c r="G1903" s="5">
        <v>0</v>
      </c>
      <c r="H1903" s="5">
        <v>1</v>
      </c>
      <c r="I1903" s="5" t="b">
        <v>1</v>
      </c>
      <c r="J1903" s="1" t="s">
        <v>1229</v>
      </c>
      <c r="K1903" s="1" t="s">
        <v>32</v>
      </c>
      <c r="L1903" s="1"/>
      <c r="M1903" s="1"/>
      <c r="N1903" s="1"/>
      <c r="O1903" s="1"/>
      <c r="P1903" s="1"/>
      <c r="Q1903" s="1" t="s">
        <v>1252</v>
      </c>
      <c r="R1903" s="1" t="s">
        <v>1252</v>
      </c>
      <c r="S1903" s="5">
        <v>2</v>
      </c>
    </row>
    <row r="1904" spans="1:19" x14ac:dyDescent="0.25">
      <c r="A1904" s="1" t="s">
        <v>1071</v>
      </c>
      <c r="B1904" s="1" t="s">
        <v>1252</v>
      </c>
      <c r="C1904" s="5">
        <v>5</v>
      </c>
      <c r="D1904" s="1" t="s">
        <v>13</v>
      </c>
      <c r="E1904" s="1" t="s">
        <v>924</v>
      </c>
      <c r="F1904" s="5" t="s">
        <v>25</v>
      </c>
      <c r="G1904" s="5">
        <v>1</v>
      </c>
      <c r="H1904" s="5">
        <v>4</v>
      </c>
      <c r="I1904" s="5" t="b">
        <v>1</v>
      </c>
      <c r="J1904" s="1" t="s">
        <v>10</v>
      </c>
      <c r="K1904" s="1" t="s">
        <v>32</v>
      </c>
      <c r="L1904" s="1"/>
      <c r="M1904" s="1"/>
      <c r="N1904" s="1"/>
      <c r="O1904" s="1"/>
      <c r="P1904" s="1"/>
      <c r="Q1904" s="1" t="s">
        <v>1252</v>
      </c>
      <c r="R1904" s="1" t="s">
        <v>1252</v>
      </c>
      <c r="S1904" s="5">
        <v>3</v>
      </c>
    </row>
    <row r="1905" spans="1:19" x14ac:dyDescent="0.25">
      <c r="A1905" s="1" t="s">
        <v>1071</v>
      </c>
      <c r="B1905" s="1" t="s">
        <v>1227</v>
      </c>
      <c r="C1905" s="5">
        <v>2</v>
      </c>
      <c r="D1905" s="1" t="s">
        <v>11</v>
      </c>
      <c r="E1905" s="1" t="s">
        <v>994</v>
      </c>
      <c r="F1905" s="5" t="s">
        <v>25</v>
      </c>
      <c r="G1905" s="5">
        <v>45</v>
      </c>
      <c r="H1905" s="5">
        <v>50</v>
      </c>
      <c r="I1905" s="5" t="b">
        <v>1</v>
      </c>
      <c r="J1905" s="1" t="s">
        <v>0</v>
      </c>
      <c r="K1905" s="1" t="s">
        <v>32</v>
      </c>
      <c r="L1905" s="1"/>
      <c r="M1905" s="1"/>
      <c r="N1905" s="1"/>
      <c r="O1905" s="1"/>
      <c r="P1905" s="1"/>
      <c r="Q1905" s="1" t="s">
        <v>1227</v>
      </c>
      <c r="R1905" s="1" t="s">
        <v>1227</v>
      </c>
      <c r="S1905" s="5">
        <v>1</v>
      </c>
    </row>
    <row r="1906" spans="1:19" x14ac:dyDescent="0.25">
      <c r="A1906" s="1" t="s">
        <v>1071</v>
      </c>
      <c r="B1906" s="1" t="s">
        <v>1227</v>
      </c>
      <c r="C1906" s="5">
        <v>2</v>
      </c>
      <c r="D1906" s="1" t="s">
        <v>1228</v>
      </c>
      <c r="E1906" s="1" t="s">
        <v>964</v>
      </c>
      <c r="F1906" s="5" t="s">
        <v>25</v>
      </c>
      <c r="G1906" s="5">
        <v>2</v>
      </c>
      <c r="H1906" s="5">
        <v>3</v>
      </c>
      <c r="I1906" s="5" t="b">
        <v>1</v>
      </c>
      <c r="J1906" s="1" t="s">
        <v>1229</v>
      </c>
      <c r="K1906" s="1" t="s">
        <v>32</v>
      </c>
      <c r="L1906" s="1"/>
      <c r="M1906" s="1"/>
      <c r="N1906" s="1"/>
      <c r="O1906" s="1"/>
      <c r="P1906" s="1"/>
      <c r="Q1906" s="1" t="s">
        <v>1227</v>
      </c>
      <c r="R1906" s="1" t="s">
        <v>1227</v>
      </c>
      <c r="S1906" s="5">
        <v>2</v>
      </c>
    </row>
    <row r="1907" spans="1:19" x14ac:dyDescent="0.25">
      <c r="A1907" s="1" t="s">
        <v>1071</v>
      </c>
      <c r="B1907" s="1" t="s">
        <v>1227</v>
      </c>
      <c r="C1907" s="5">
        <v>2</v>
      </c>
      <c r="D1907" s="1" t="s">
        <v>13</v>
      </c>
      <c r="E1907" s="1" t="s">
        <v>1230</v>
      </c>
      <c r="F1907" s="5" t="s">
        <v>24</v>
      </c>
      <c r="G1907" s="5">
        <v>18</v>
      </c>
      <c r="H1907" s="5">
        <v>28</v>
      </c>
      <c r="I1907" s="5" t="b">
        <v>1</v>
      </c>
      <c r="J1907" s="1" t="s">
        <v>10</v>
      </c>
      <c r="K1907" s="1" t="s">
        <v>32</v>
      </c>
      <c r="L1907" s="1"/>
      <c r="M1907" s="1"/>
      <c r="N1907" s="1"/>
      <c r="O1907" s="1"/>
      <c r="P1907" s="1"/>
      <c r="Q1907" s="1" t="s">
        <v>1227</v>
      </c>
      <c r="R1907" s="1" t="s">
        <v>1227</v>
      </c>
      <c r="S1907" s="5">
        <v>3</v>
      </c>
    </row>
    <row r="1908" spans="1:19" x14ac:dyDescent="0.25">
      <c r="A1908" s="1" t="s">
        <v>1071</v>
      </c>
      <c r="B1908" s="1" t="s">
        <v>1227</v>
      </c>
      <c r="C1908" s="5">
        <v>2</v>
      </c>
      <c r="D1908" s="1" t="s">
        <v>1231</v>
      </c>
      <c r="E1908" s="1" t="s">
        <v>725</v>
      </c>
      <c r="F1908" s="5" t="s">
        <v>25</v>
      </c>
      <c r="G1908" s="5">
        <v>0</v>
      </c>
      <c r="H1908" s="5">
        <v>1</v>
      </c>
      <c r="I1908" s="5" t="b">
        <v>1</v>
      </c>
      <c r="J1908" s="1" t="s">
        <v>1232</v>
      </c>
      <c r="K1908" s="1" t="s">
        <v>32</v>
      </c>
      <c r="L1908" s="1"/>
      <c r="M1908" s="1"/>
      <c r="N1908" s="1"/>
      <c r="O1908" s="1"/>
      <c r="P1908" s="1"/>
      <c r="Q1908" s="1" t="s">
        <v>1227</v>
      </c>
      <c r="R1908" s="1" t="s">
        <v>1227</v>
      </c>
      <c r="S1908" s="5">
        <v>4</v>
      </c>
    </row>
    <row r="1909" spans="1:19" x14ac:dyDescent="0.25">
      <c r="A1909" s="1" t="s">
        <v>1071</v>
      </c>
      <c r="B1909" s="1" t="s">
        <v>1227</v>
      </c>
      <c r="C1909" s="5">
        <v>2</v>
      </c>
      <c r="D1909" s="1" t="s">
        <v>29</v>
      </c>
      <c r="E1909" s="1" t="s">
        <v>1233</v>
      </c>
      <c r="F1909" s="5" t="s">
        <v>24</v>
      </c>
      <c r="G1909" s="5">
        <v>7</v>
      </c>
      <c r="H1909" s="5">
        <v>17</v>
      </c>
      <c r="I1909" s="5" t="b">
        <v>1</v>
      </c>
      <c r="J1909" s="1" t="s">
        <v>1121</v>
      </c>
      <c r="K1909" s="1" t="s">
        <v>32</v>
      </c>
      <c r="L1909" s="1"/>
      <c r="M1909" s="1"/>
      <c r="N1909" s="1"/>
      <c r="O1909" s="1"/>
      <c r="P1909" s="1"/>
      <c r="Q1909" s="1" t="s">
        <v>1227</v>
      </c>
      <c r="R1909" s="1" t="s">
        <v>1227</v>
      </c>
      <c r="S1909" s="5">
        <v>5</v>
      </c>
    </row>
    <row r="1910" spans="1:19" x14ac:dyDescent="0.25">
      <c r="A1910" s="1" t="s">
        <v>1071</v>
      </c>
      <c r="B1910" s="1" t="s">
        <v>1227</v>
      </c>
      <c r="C1910" s="5">
        <v>2</v>
      </c>
      <c r="D1910" s="1" t="s">
        <v>1122</v>
      </c>
      <c r="E1910" s="1" t="s">
        <v>927</v>
      </c>
      <c r="F1910" s="5" t="s">
        <v>24</v>
      </c>
      <c r="G1910" s="5">
        <v>15</v>
      </c>
      <c r="H1910" s="5">
        <v>25</v>
      </c>
      <c r="I1910" s="5" t="b">
        <v>1</v>
      </c>
      <c r="J1910" s="1" t="s">
        <v>1124</v>
      </c>
      <c r="K1910" s="1" t="s">
        <v>32</v>
      </c>
      <c r="L1910" s="1"/>
      <c r="M1910" s="1"/>
      <c r="N1910" s="1"/>
      <c r="O1910" s="1"/>
      <c r="P1910" s="1"/>
      <c r="Q1910" s="1" t="s">
        <v>1227</v>
      </c>
      <c r="R1910" s="1" t="s">
        <v>1227</v>
      </c>
      <c r="S1910" s="5">
        <v>6</v>
      </c>
    </row>
    <row r="1911" spans="1:19" x14ac:dyDescent="0.25">
      <c r="A1911" s="1" t="s">
        <v>1071</v>
      </c>
      <c r="B1911" s="1" t="s">
        <v>1227</v>
      </c>
      <c r="C1911" s="5">
        <v>2</v>
      </c>
      <c r="D1911" s="1" t="s">
        <v>1125</v>
      </c>
      <c r="E1911" s="1" t="s">
        <v>1236</v>
      </c>
      <c r="F1911" s="5" t="s">
        <v>27</v>
      </c>
      <c r="G1911" s="5">
        <v>2</v>
      </c>
      <c r="H1911" s="5">
        <v>5</v>
      </c>
      <c r="I1911" s="5" t="b">
        <v>0</v>
      </c>
      <c r="J1911" s="1" t="s">
        <v>1237</v>
      </c>
      <c r="K1911" s="1" t="s">
        <v>32</v>
      </c>
      <c r="L1911" s="1"/>
      <c r="M1911" s="1"/>
      <c r="N1911" s="1"/>
      <c r="O1911" s="1"/>
      <c r="P1911" s="1"/>
      <c r="Q1911" s="1" t="s">
        <v>1227</v>
      </c>
      <c r="R1911" s="1" t="s">
        <v>1227</v>
      </c>
      <c r="S1911" s="5">
        <v>8</v>
      </c>
    </row>
    <row r="1912" spans="1:19" x14ac:dyDescent="0.25">
      <c r="A1912" s="1" t="s">
        <v>1071</v>
      </c>
      <c r="B1912" s="1" t="s">
        <v>1227</v>
      </c>
      <c r="C1912" s="5">
        <v>2</v>
      </c>
      <c r="D1912" s="1" t="s">
        <v>1161</v>
      </c>
      <c r="E1912" s="1" t="s">
        <v>1239</v>
      </c>
      <c r="F1912" s="5" t="s">
        <v>27</v>
      </c>
      <c r="G1912" s="5">
        <v>0</v>
      </c>
      <c r="H1912" s="5">
        <v>1</v>
      </c>
      <c r="I1912" s="5" t="b">
        <v>0</v>
      </c>
      <c r="J1912" s="1" t="s">
        <v>1240</v>
      </c>
      <c r="K1912" s="1" t="s">
        <v>32</v>
      </c>
      <c r="L1912" s="1"/>
      <c r="M1912" s="1"/>
      <c r="N1912" s="1"/>
      <c r="O1912" s="1"/>
      <c r="P1912" s="1"/>
      <c r="Q1912" s="1" t="s">
        <v>1227</v>
      </c>
      <c r="R1912" s="1" t="s">
        <v>1227</v>
      </c>
      <c r="S1912" s="5">
        <v>10</v>
      </c>
    </row>
    <row r="1913" spans="1:19" x14ac:dyDescent="0.25">
      <c r="A1913" s="1" t="s">
        <v>1071</v>
      </c>
      <c r="B1913" s="1" t="s">
        <v>1227</v>
      </c>
      <c r="C1913" s="5">
        <v>2</v>
      </c>
      <c r="D1913" s="1" t="s">
        <v>1393</v>
      </c>
      <c r="E1913" s="1" t="s">
        <v>963</v>
      </c>
      <c r="F1913" s="5" t="s">
        <v>27</v>
      </c>
      <c r="G1913" s="5">
        <v>5</v>
      </c>
      <c r="H1913" s="5">
        <v>10</v>
      </c>
      <c r="I1913" s="5" t="b">
        <v>0</v>
      </c>
      <c r="J1913" s="1" t="s">
        <v>1238</v>
      </c>
      <c r="K1913" s="1" t="s">
        <v>32</v>
      </c>
      <c r="L1913" s="1"/>
      <c r="M1913" s="1"/>
      <c r="N1913" s="1"/>
      <c r="O1913" s="1"/>
      <c r="P1913" s="1"/>
      <c r="Q1913" s="1" t="s">
        <v>1227</v>
      </c>
      <c r="R1913" s="1" t="s">
        <v>1227</v>
      </c>
      <c r="S1913" s="5">
        <v>11</v>
      </c>
    </row>
    <row r="1914" spans="1:19" x14ac:dyDescent="0.25">
      <c r="A1914" s="1" t="s">
        <v>1071</v>
      </c>
      <c r="B1914" s="1" t="s">
        <v>1227</v>
      </c>
      <c r="C1914" s="5">
        <v>2</v>
      </c>
      <c r="D1914" s="1" t="s">
        <v>314</v>
      </c>
      <c r="E1914" s="1" t="s">
        <v>1234</v>
      </c>
      <c r="F1914" s="5" t="s">
        <v>27</v>
      </c>
      <c r="G1914" s="5">
        <v>45</v>
      </c>
      <c r="H1914" s="5">
        <v>50</v>
      </c>
      <c r="I1914" s="5" t="b">
        <v>0</v>
      </c>
      <c r="J1914" s="1" t="s">
        <v>1235</v>
      </c>
      <c r="K1914" s="1" t="s">
        <v>32</v>
      </c>
      <c r="L1914" s="1"/>
      <c r="M1914" s="1"/>
      <c r="N1914" s="1"/>
      <c r="O1914" s="1"/>
      <c r="P1914" s="1"/>
      <c r="Q1914" s="1" t="s">
        <v>1227</v>
      </c>
      <c r="R1914" s="1" t="s">
        <v>1227</v>
      </c>
      <c r="S1914" s="5">
        <v>14</v>
      </c>
    </row>
    <row r="1915" spans="1:19" x14ac:dyDescent="0.25">
      <c r="A1915" s="1" t="s">
        <v>1071</v>
      </c>
      <c r="B1915" s="1" t="s">
        <v>1227</v>
      </c>
      <c r="C1915" s="5">
        <v>3</v>
      </c>
      <c r="D1915" s="1" t="s">
        <v>11</v>
      </c>
      <c r="E1915" s="1" t="s">
        <v>995</v>
      </c>
      <c r="F1915" s="5" t="s">
        <v>25</v>
      </c>
      <c r="G1915" s="5">
        <v>40</v>
      </c>
      <c r="H1915" s="5">
        <v>45</v>
      </c>
      <c r="I1915" s="5" t="b">
        <v>1</v>
      </c>
      <c r="J1915" s="1" t="s">
        <v>0</v>
      </c>
      <c r="K1915" s="1" t="s">
        <v>32</v>
      </c>
      <c r="L1915" s="1"/>
      <c r="M1915" s="1"/>
      <c r="N1915" s="1"/>
      <c r="O1915" s="1"/>
      <c r="P1915" s="1"/>
      <c r="Q1915" s="1" t="s">
        <v>1227</v>
      </c>
      <c r="R1915" s="1" t="s">
        <v>1227</v>
      </c>
      <c r="S1915" s="5">
        <v>1</v>
      </c>
    </row>
    <row r="1916" spans="1:19" x14ac:dyDescent="0.25">
      <c r="A1916" s="1" t="s">
        <v>1071</v>
      </c>
      <c r="B1916" s="1" t="s">
        <v>1227</v>
      </c>
      <c r="C1916" s="5">
        <v>3</v>
      </c>
      <c r="D1916" s="1" t="s">
        <v>1228</v>
      </c>
      <c r="E1916" s="1" t="s">
        <v>964</v>
      </c>
      <c r="F1916" s="5" t="s">
        <v>25</v>
      </c>
      <c r="G1916" s="5">
        <v>2</v>
      </c>
      <c r="H1916" s="5">
        <v>3</v>
      </c>
      <c r="I1916" s="5" t="b">
        <v>1</v>
      </c>
      <c r="J1916" s="1" t="s">
        <v>1229</v>
      </c>
      <c r="K1916" s="1" t="s">
        <v>32</v>
      </c>
      <c r="L1916" s="1"/>
      <c r="M1916" s="1"/>
      <c r="N1916" s="1"/>
      <c r="O1916" s="1"/>
      <c r="P1916" s="1"/>
      <c r="Q1916" s="1" t="s">
        <v>1227</v>
      </c>
      <c r="R1916" s="1" t="s">
        <v>1227</v>
      </c>
      <c r="S1916" s="5">
        <v>2</v>
      </c>
    </row>
    <row r="1917" spans="1:19" x14ac:dyDescent="0.25">
      <c r="A1917" s="1" t="s">
        <v>1071</v>
      </c>
      <c r="B1917" s="1" t="s">
        <v>1227</v>
      </c>
      <c r="C1917" s="5">
        <v>3</v>
      </c>
      <c r="D1917" s="1" t="s">
        <v>13</v>
      </c>
      <c r="E1917" s="1" t="s">
        <v>1241</v>
      </c>
      <c r="F1917" s="5" t="s">
        <v>25</v>
      </c>
      <c r="G1917" s="5">
        <v>11</v>
      </c>
      <c r="H1917" s="5">
        <v>18</v>
      </c>
      <c r="I1917" s="5" t="b">
        <v>1</v>
      </c>
      <c r="J1917" s="1" t="s">
        <v>10</v>
      </c>
      <c r="K1917" s="1" t="s">
        <v>32</v>
      </c>
      <c r="L1917" s="1"/>
      <c r="M1917" s="1"/>
      <c r="N1917" s="1"/>
      <c r="O1917" s="1"/>
      <c r="P1917" s="1"/>
      <c r="Q1917" s="1" t="s">
        <v>1227</v>
      </c>
      <c r="R1917" s="1" t="s">
        <v>1227</v>
      </c>
      <c r="S1917" s="5">
        <v>3</v>
      </c>
    </row>
    <row r="1918" spans="1:19" x14ac:dyDescent="0.25">
      <c r="A1918" s="1" t="s">
        <v>1071</v>
      </c>
      <c r="B1918" s="1" t="s">
        <v>1227</v>
      </c>
      <c r="C1918" s="5">
        <v>3</v>
      </c>
      <c r="D1918" s="1" t="s">
        <v>29</v>
      </c>
      <c r="E1918" s="1" t="s">
        <v>910</v>
      </c>
      <c r="F1918" s="5" t="s">
        <v>24</v>
      </c>
      <c r="G1918" s="5">
        <v>3</v>
      </c>
      <c r="H1918" s="5">
        <v>7</v>
      </c>
      <c r="I1918" s="5" t="b">
        <v>1</v>
      </c>
      <c r="J1918" s="1" t="s">
        <v>1121</v>
      </c>
      <c r="K1918" s="1" t="s">
        <v>32</v>
      </c>
      <c r="L1918" s="1"/>
      <c r="M1918" s="1"/>
      <c r="N1918" s="1"/>
      <c r="O1918" s="1"/>
      <c r="P1918" s="1"/>
      <c r="Q1918" s="1" t="s">
        <v>1227</v>
      </c>
      <c r="R1918" s="1" t="s">
        <v>1227</v>
      </c>
      <c r="S1918" s="5">
        <v>5</v>
      </c>
    </row>
    <row r="1919" spans="1:19" x14ac:dyDescent="0.25">
      <c r="A1919" s="1" t="s">
        <v>1071</v>
      </c>
      <c r="B1919" s="1" t="s">
        <v>1227</v>
      </c>
      <c r="C1919" s="5">
        <v>3</v>
      </c>
      <c r="D1919" s="1" t="s">
        <v>1122</v>
      </c>
      <c r="E1919" s="1" t="s">
        <v>904</v>
      </c>
      <c r="F1919" s="5" t="s">
        <v>24</v>
      </c>
      <c r="G1919" s="5">
        <v>1</v>
      </c>
      <c r="H1919" s="5">
        <v>5</v>
      </c>
      <c r="I1919" s="5" t="b">
        <v>1</v>
      </c>
      <c r="J1919" s="1" t="s">
        <v>1124</v>
      </c>
      <c r="K1919" s="1" t="s">
        <v>32</v>
      </c>
      <c r="L1919" s="1"/>
      <c r="M1919" s="1"/>
      <c r="N1919" s="1"/>
      <c r="O1919" s="1"/>
      <c r="P1919" s="1"/>
      <c r="Q1919" s="1" t="s">
        <v>1227</v>
      </c>
      <c r="R1919" s="1" t="s">
        <v>1227</v>
      </c>
      <c r="S1919" s="5">
        <v>6</v>
      </c>
    </row>
    <row r="1920" spans="1:19" x14ac:dyDescent="0.25">
      <c r="A1920" s="1" t="s">
        <v>1071</v>
      </c>
      <c r="B1920" s="1" t="s">
        <v>1227</v>
      </c>
      <c r="C1920" s="5">
        <v>3</v>
      </c>
      <c r="D1920" s="1" t="s">
        <v>1125</v>
      </c>
      <c r="E1920" s="1" t="s">
        <v>963</v>
      </c>
      <c r="F1920" s="5" t="s">
        <v>27</v>
      </c>
      <c r="G1920" s="5">
        <v>5</v>
      </c>
      <c r="H1920" s="5">
        <v>10</v>
      </c>
      <c r="I1920" s="5" t="b">
        <v>0</v>
      </c>
      <c r="J1920" s="1" t="s">
        <v>1237</v>
      </c>
      <c r="K1920" s="1" t="s">
        <v>32</v>
      </c>
      <c r="L1920" s="1"/>
      <c r="M1920" s="1"/>
      <c r="N1920" s="1"/>
      <c r="O1920" s="1"/>
      <c r="P1920" s="1"/>
      <c r="Q1920" s="1" t="s">
        <v>1227</v>
      </c>
      <c r="R1920" s="1" t="s">
        <v>1227</v>
      </c>
      <c r="S1920" s="5">
        <v>8</v>
      </c>
    </row>
    <row r="1921" spans="1:19" x14ac:dyDescent="0.25">
      <c r="A1921" s="1" t="s">
        <v>1071</v>
      </c>
      <c r="B1921" s="1" t="s">
        <v>1227</v>
      </c>
      <c r="C1921" s="5">
        <v>3</v>
      </c>
      <c r="D1921" s="1" t="s">
        <v>1393</v>
      </c>
      <c r="E1921" s="1" t="s">
        <v>965</v>
      </c>
      <c r="F1921" s="5" t="s">
        <v>26</v>
      </c>
      <c r="G1921" s="5">
        <v>10</v>
      </c>
      <c r="H1921" s="5">
        <v>20</v>
      </c>
      <c r="I1921" s="5" t="b">
        <v>0</v>
      </c>
      <c r="J1921" s="1" t="s">
        <v>1238</v>
      </c>
      <c r="K1921" s="1" t="s">
        <v>32</v>
      </c>
      <c r="L1921" s="1"/>
      <c r="M1921" s="1"/>
      <c r="N1921" s="1"/>
      <c r="O1921" s="1"/>
      <c r="P1921" s="1"/>
      <c r="Q1921" s="1" t="s">
        <v>1227</v>
      </c>
      <c r="R1921" s="1" t="s">
        <v>1227</v>
      </c>
      <c r="S1921" s="5">
        <v>11</v>
      </c>
    </row>
    <row r="1922" spans="1:19" x14ac:dyDescent="0.25">
      <c r="A1922" s="1" t="s">
        <v>1071</v>
      </c>
      <c r="B1922" s="1" t="s">
        <v>1227</v>
      </c>
      <c r="C1922" s="5">
        <v>3</v>
      </c>
      <c r="D1922" s="1" t="s">
        <v>314</v>
      </c>
      <c r="E1922" s="1" t="s">
        <v>1242</v>
      </c>
      <c r="F1922" s="5" t="s">
        <v>27</v>
      </c>
      <c r="G1922" s="5">
        <v>50</v>
      </c>
      <c r="H1922" s="5">
        <v>55</v>
      </c>
      <c r="I1922" s="5" t="b">
        <v>0</v>
      </c>
      <c r="J1922" s="1" t="s">
        <v>1235</v>
      </c>
      <c r="K1922" s="1" t="s">
        <v>32</v>
      </c>
      <c r="L1922" s="1"/>
      <c r="M1922" s="1"/>
      <c r="N1922" s="1"/>
      <c r="O1922" s="1"/>
      <c r="P1922" s="1"/>
      <c r="Q1922" s="1" t="s">
        <v>1227</v>
      </c>
      <c r="R1922" s="1" t="s">
        <v>1227</v>
      </c>
      <c r="S1922" s="5">
        <v>14</v>
      </c>
    </row>
    <row r="1923" spans="1:19" x14ac:dyDescent="0.25">
      <c r="A1923" s="1" t="s">
        <v>1071</v>
      </c>
      <c r="B1923" s="1" t="s">
        <v>1227</v>
      </c>
      <c r="C1923" s="5">
        <v>4</v>
      </c>
      <c r="D1923" s="1" t="s">
        <v>11</v>
      </c>
      <c r="E1923" s="1" t="s">
        <v>925</v>
      </c>
      <c r="F1923" s="5" t="s">
        <v>24</v>
      </c>
      <c r="G1923" s="5">
        <v>30</v>
      </c>
      <c r="H1923" s="5">
        <v>40</v>
      </c>
      <c r="I1923" s="5" t="b">
        <v>1</v>
      </c>
      <c r="J1923" s="1" t="s">
        <v>0</v>
      </c>
      <c r="K1923" s="1" t="s">
        <v>32</v>
      </c>
      <c r="L1923" s="1"/>
      <c r="M1923" s="1"/>
      <c r="N1923" s="1"/>
      <c r="O1923" s="1"/>
      <c r="P1923" s="1"/>
      <c r="Q1923" s="1" t="s">
        <v>1227</v>
      </c>
      <c r="R1923" s="1" t="s">
        <v>1227</v>
      </c>
      <c r="S1923" s="5">
        <v>1</v>
      </c>
    </row>
    <row r="1924" spans="1:19" x14ac:dyDescent="0.25">
      <c r="A1924" s="1" t="s">
        <v>1071</v>
      </c>
      <c r="B1924" s="1" t="s">
        <v>1227</v>
      </c>
      <c r="C1924" s="5">
        <v>4</v>
      </c>
      <c r="D1924" s="1" t="s">
        <v>1228</v>
      </c>
      <c r="E1924" s="1" t="s">
        <v>1243</v>
      </c>
      <c r="F1924" s="5" t="s">
        <v>25</v>
      </c>
      <c r="G1924" s="5">
        <v>-0.5</v>
      </c>
      <c r="H1924" s="5">
        <v>2</v>
      </c>
      <c r="I1924" s="5" t="b">
        <v>1</v>
      </c>
      <c r="J1924" s="1" t="s">
        <v>1229</v>
      </c>
      <c r="K1924" s="1" t="s">
        <v>32</v>
      </c>
      <c r="L1924" s="1"/>
      <c r="M1924" s="1"/>
      <c r="N1924" s="1"/>
      <c r="O1924" s="1"/>
      <c r="P1924" s="1"/>
      <c r="Q1924" s="1" t="s">
        <v>1227</v>
      </c>
      <c r="R1924" s="1" t="s">
        <v>1227</v>
      </c>
      <c r="S1924" s="5">
        <v>2</v>
      </c>
    </row>
    <row r="1925" spans="1:19" x14ac:dyDescent="0.25">
      <c r="A1925" s="1" t="s">
        <v>1071</v>
      </c>
      <c r="B1925" s="1" t="s">
        <v>1227</v>
      </c>
      <c r="C1925" s="5">
        <v>4</v>
      </c>
      <c r="D1925" s="1" t="s">
        <v>13</v>
      </c>
      <c r="E1925" s="1" t="s">
        <v>943</v>
      </c>
      <c r="F1925" s="5" t="s">
        <v>25</v>
      </c>
      <c r="G1925" s="5">
        <v>2</v>
      </c>
      <c r="H1925" s="5">
        <v>7</v>
      </c>
      <c r="I1925" s="5" t="b">
        <v>1</v>
      </c>
      <c r="J1925" s="1" t="s">
        <v>10</v>
      </c>
      <c r="K1925" s="1" t="s">
        <v>32</v>
      </c>
      <c r="L1925" s="1"/>
      <c r="M1925" s="1"/>
      <c r="N1925" s="1"/>
      <c r="O1925" s="1"/>
      <c r="P1925" s="1"/>
      <c r="Q1925" s="1" t="s">
        <v>1227</v>
      </c>
      <c r="R1925" s="1" t="s">
        <v>1227</v>
      </c>
      <c r="S1925" s="5">
        <v>3</v>
      </c>
    </row>
    <row r="1926" spans="1:19" x14ac:dyDescent="0.25">
      <c r="A1926" s="1" t="s">
        <v>1071</v>
      </c>
      <c r="B1926" s="1" t="s">
        <v>1227</v>
      </c>
      <c r="C1926" s="5">
        <v>4</v>
      </c>
      <c r="D1926" s="1" t="s">
        <v>29</v>
      </c>
      <c r="E1926" s="1" t="s">
        <v>962</v>
      </c>
      <c r="F1926" s="5" t="s">
        <v>24</v>
      </c>
      <c r="G1926" s="5">
        <v>0</v>
      </c>
      <c r="H1926" s="5">
        <v>2</v>
      </c>
      <c r="I1926" s="5" t="b">
        <v>1</v>
      </c>
      <c r="J1926" s="1" t="s">
        <v>1121</v>
      </c>
      <c r="K1926" s="1" t="s">
        <v>32</v>
      </c>
      <c r="L1926" s="1" t="s">
        <v>716</v>
      </c>
      <c r="M1926" s="1" t="s">
        <v>1138</v>
      </c>
      <c r="N1926" s="1"/>
      <c r="O1926" s="1"/>
      <c r="P1926" s="1"/>
      <c r="Q1926" s="1" t="s">
        <v>1227</v>
      </c>
      <c r="R1926" s="1" t="s">
        <v>1227</v>
      </c>
      <c r="S1926" s="5">
        <v>5</v>
      </c>
    </row>
    <row r="1927" spans="1:19" x14ac:dyDescent="0.25">
      <c r="A1927" s="1" t="s">
        <v>1071</v>
      </c>
      <c r="B1927" s="1" t="s">
        <v>1227</v>
      </c>
      <c r="C1927" s="5">
        <v>4</v>
      </c>
      <c r="D1927" s="1" t="s">
        <v>1125</v>
      </c>
      <c r="E1927" s="1" t="s">
        <v>971</v>
      </c>
      <c r="F1927" s="5" t="s">
        <v>26</v>
      </c>
      <c r="G1927" s="5">
        <v>15</v>
      </c>
      <c r="H1927" s="5">
        <v>25</v>
      </c>
      <c r="I1927" s="5" t="b">
        <v>0</v>
      </c>
      <c r="J1927" s="1" t="s">
        <v>1237</v>
      </c>
      <c r="K1927" s="1" t="s">
        <v>32</v>
      </c>
      <c r="L1927" s="1" t="s">
        <v>716</v>
      </c>
      <c r="M1927" s="1" t="s">
        <v>1138</v>
      </c>
      <c r="N1927" s="1"/>
      <c r="O1927" s="1"/>
      <c r="P1927" s="1"/>
      <c r="Q1927" s="1" t="s">
        <v>1227</v>
      </c>
      <c r="R1927" s="1" t="s">
        <v>1227</v>
      </c>
      <c r="S1927" s="5">
        <v>8</v>
      </c>
    </row>
    <row r="1928" spans="1:19" x14ac:dyDescent="0.25">
      <c r="A1928" s="1" t="s">
        <v>1071</v>
      </c>
      <c r="B1928" s="1" t="s">
        <v>1227</v>
      </c>
      <c r="C1928" s="5">
        <v>4</v>
      </c>
      <c r="D1928" s="1" t="s">
        <v>1393</v>
      </c>
      <c r="E1928" s="1" t="s">
        <v>915</v>
      </c>
      <c r="F1928" s="5" t="s">
        <v>26</v>
      </c>
      <c r="G1928" s="5">
        <v>30</v>
      </c>
      <c r="H1928" s="5">
        <v>40</v>
      </c>
      <c r="I1928" s="5" t="b">
        <v>0</v>
      </c>
      <c r="J1928" s="1" t="s">
        <v>1238</v>
      </c>
      <c r="K1928" s="1" t="s">
        <v>32</v>
      </c>
      <c r="L1928" s="1" t="s">
        <v>716</v>
      </c>
      <c r="M1928" s="1" t="s">
        <v>1138</v>
      </c>
      <c r="N1928" s="1"/>
      <c r="O1928" s="1"/>
      <c r="P1928" s="1"/>
      <c r="Q1928" s="1" t="s">
        <v>1227</v>
      </c>
      <c r="R1928" s="1" t="s">
        <v>1227</v>
      </c>
      <c r="S1928" s="5">
        <v>11</v>
      </c>
    </row>
    <row r="1929" spans="1:19" x14ac:dyDescent="0.25">
      <c r="A1929" s="1" t="s">
        <v>1071</v>
      </c>
      <c r="B1929" s="1" t="s">
        <v>1227</v>
      </c>
      <c r="C1929" s="5">
        <v>4</v>
      </c>
      <c r="D1929" s="1" t="s">
        <v>314</v>
      </c>
      <c r="E1929" s="1" t="s">
        <v>1244</v>
      </c>
      <c r="F1929" s="5" t="s">
        <v>27</v>
      </c>
      <c r="G1929" s="5">
        <v>55</v>
      </c>
      <c r="H1929" s="5">
        <v>60</v>
      </c>
      <c r="I1929" s="5" t="b">
        <v>0</v>
      </c>
      <c r="J1929" s="1" t="s">
        <v>1235</v>
      </c>
      <c r="K1929" s="1" t="s">
        <v>32</v>
      </c>
      <c r="L1929" s="1" t="s">
        <v>716</v>
      </c>
      <c r="M1929" s="1" t="s">
        <v>1138</v>
      </c>
      <c r="N1929" s="1"/>
      <c r="O1929" s="1"/>
      <c r="P1929" s="1"/>
      <c r="Q1929" s="1" t="s">
        <v>1227</v>
      </c>
      <c r="R1929" s="1" t="s">
        <v>1227</v>
      </c>
      <c r="S1929" s="5">
        <v>14</v>
      </c>
    </row>
    <row r="1930" spans="1:19" x14ac:dyDescent="0.25">
      <c r="A1930" s="1" t="s">
        <v>1071</v>
      </c>
      <c r="B1930" s="1" t="s">
        <v>1227</v>
      </c>
      <c r="C1930" s="5">
        <v>5</v>
      </c>
      <c r="D1930" s="1" t="s">
        <v>11</v>
      </c>
      <c r="E1930" s="1" t="s">
        <v>946</v>
      </c>
      <c r="F1930" s="5" t="s">
        <v>24</v>
      </c>
      <c r="G1930" s="5">
        <v>10</v>
      </c>
      <c r="H1930" s="5">
        <v>20</v>
      </c>
      <c r="I1930" s="5" t="b">
        <v>1</v>
      </c>
      <c r="J1930" s="1" t="s">
        <v>0</v>
      </c>
      <c r="K1930" s="1" t="s">
        <v>32</v>
      </c>
      <c r="L1930" s="1"/>
      <c r="M1930" s="1"/>
      <c r="N1930" s="1"/>
      <c r="O1930" s="1"/>
      <c r="P1930" s="1"/>
      <c r="Q1930" s="1" t="s">
        <v>1227</v>
      </c>
      <c r="R1930" s="1" t="s">
        <v>1227</v>
      </c>
      <c r="S1930" s="5">
        <v>1</v>
      </c>
    </row>
    <row r="1931" spans="1:19" x14ac:dyDescent="0.25">
      <c r="A1931" s="1" t="s">
        <v>1071</v>
      </c>
      <c r="B1931" s="1" t="s">
        <v>1227</v>
      </c>
      <c r="C1931" s="5">
        <v>5</v>
      </c>
      <c r="D1931" s="1" t="s">
        <v>1228</v>
      </c>
      <c r="E1931" s="1" t="s">
        <v>725</v>
      </c>
      <c r="F1931" s="5" t="s">
        <v>25</v>
      </c>
      <c r="G1931" s="5">
        <v>0</v>
      </c>
      <c r="H1931" s="5">
        <v>1</v>
      </c>
      <c r="I1931" s="5" t="b">
        <v>1</v>
      </c>
      <c r="J1931" s="1" t="s">
        <v>1229</v>
      </c>
      <c r="K1931" s="1" t="s">
        <v>32</v>
      </c>
      <c r="L1931" s="1"/>
      <c r="M1931" s="1"/>
      <c r="N1931" s="1"/>
      <c r="O1931" s="1"/>
      <c r="P1931" s="1"/>
      <c r="Q1931" s="1" t="s">
        <v>1227</v>
      </c>
      <c r="R1931" s="1" t="s">
        <v>1227</v>
      </c>
      <c r="S1931" s="5">
        <v>2</v>
      </c>
    </row>
    <row r="1932" spans="1:19" x14ac:dyDescent="0.25">
      <c r="A1932" s="1" t="s">
        <v>1071</v>
      </c>
      <c r="B1932" s="1" t="s">
        <v>1227</v>
      </c>
      <c r="C1932" s="5">
        <v>5</v>
      </c>
      <c r="D1932" s="1" t="s">
        <v>13</v>
      </c>
      <c r="E1932" s="1" t="s">
        <v>725</v>
      </c>
      <c r="F1932" s="5" t="s">
        <v>25</v>
      </c>
      <c r="G1932" s="5">
        <v>0</v>
      </c>
      <c r="H1932" s="5">
        <v>1</v>
      </c>
      <c r="I1932" s="5" t="b">
        <v>1</v>
      </c>
      <c r="J1932" s="1" t="s">
        <v>10</v>
      </c>
      <c r="K1932" s="1" t="s">
        <v>32</v>
      </c>
      <c r="L1932" s="1"/>
      <c r="M1932" s="1"/>
      <c r="N1932" s="1"/>
      <c r="O1932" s="1"/>
      <c r="P1932" s="1"/>
      <c r="Q1932" s="1" t="s">
        <v>1227</v>
      </c>
      <c r="R1932" s="1" t="s">
        <v>1227</v>
      </c>
      <c r="S1932" s="5">
        <v>3</v>
      </c>
    </row>
    <row r="1933" spans="1:19" x14ac:dyDescent="0.25">
      <c r="A1933" s="1" t="s">
        <v>1071</v>
      </c>
      <c r="B1933" s="1" t="s">
        <v>1245</v>
      </c>
      <c r="C1933" s="5">
        <v>2</v>
      </c>
      <c r="D1933" s="1" t="s">
        <v>11</v>
      </c>
      <c r="E1933" s="1" t="s">
        <v>961</v>
      </c>
      <c r="F1933" s="5" t="s">
        <v>24</v>
      </c>
      <c r="G1933" s="5">
        <v>45</v>
      </c>
      <c r="H1933" s="5">
        <v>55</v>
      </c>
      <c r="I1933" s="5" t="b">
        <v>1</v>
      </c>
      <c r="J1933" s="1" t="s">
        <v>0</v>
      </c>
      <c r="K1933" s="1" t="s">
        <v>32</v>
      </c>
      <c r="L1933" s="1"/>
      <c r="M1933" s="1"/>
      <c r="N1933" s="1"/>
      <c r="O1933" s="1"/>
      <c r="P1933" s="1"/>
      <c r="Q1933" s="1" t="s">
        <v>1245</v>
      </c>
      <c r="R1933" s="1" t="s">
        <v>1245</v>
      </c>
      <c r="S1933" s="5">
        <v>1</v>
      </c>
    </row>
    <row r="1934" spans="1:19" x14ac:dyDescent="0.25">
      <c r="A1934" s="1" t="s">
        <v>1071</v>
      </c>
      <c r="B1934" s="1" t="s">
        <v>1245</v>
      </c>
      <c r="C1934" s="5">
        <v>2</v>
      </c>
      <c r="D1934" s="1" t="s">
        <v>1228</v>
      </c>
      <c r="E1934" s="1" t="s">
        <v>964</v>
      </c>
      <c r="F1934" s="5" t="s">
        <v>25</v>
      </c>
      <c r="G1934" s="5">
        <v>2</v>
      </c>
      <c r="H1934" s="5">
        <v>3</v>
      </c>
      <c r="I1934" s="5" t="b">
        <v>1</v>
      </c>
      <c r="J1934" s="1" t="s">
        <v>1229</v>
      </c>
      <c r="K1934" s="1" t="s">
        <v>32</v>
      </c>
      <c r="L1934" s="1"/>
      <c r="M1934" s="1"/>
      <c r="N1934" s="1"/>
      <c r="O1934" s="1"/>
      <c r="P1934" s="1"/>
      <c r="Q1934" s="1" t="s">
        <v>1245</v>
      </c>
      <c r="R1934" s="1" t="s">
        <v>1245</v>
      </c>
      <c r="S1934" s="5">
        <v>2</v>
      </c>
    </row>
    <row r="1935" spans="1:19" x14ac:dyDescent="0.25">
      <c r="A1935" s="1" t="s">
        <v>1071</v>
      </c>
      <c r="B1935" s="1" t="s">
        <v>1245</v>
      </c>
      <c r="C1935" s="5">
        <v>2</v>
      </c>
      <c r="D1935" s="1" t="s">
        <v>13</v>
      </c>
      <c r="E1935" s="1" t="s">
        <v>933</v>
      </c>
      <c r="F1935" s="5" t="s">
        <v>25</v>
      </c>
      <c r="G1935" s="5">
        <v>15</v>
      </c>
      <c r="H1935" s="5">
        <v>20</v>
      </c>
      <c r="I1935" s="5" t="b">
        <v>1</v>
      </c>
      <c r="J1935" s="1" t="s">
        <v>10</v>
      </c>
      <c r="K1935" s="1" t="s">
        <v>32</v>
      </c>
      <c r="L1935" s="1"/>
      <c r="M1935" s="1"/>
      <c r="N1935" s="1"/>
      <c r="O1935" s="1"/>
      <c r="P1935" s="1"/>
      <c r="Q1935" s="1" t="s">
        <v>1245</v>
      </c>
      <c r="R1935" s="1" t="s">
        <v>1245</v>
      </c>
      <c r="S1935" s="5">
        <v>3</v>
      </c>
    </row>
    <row r="1936" spans="1:19" x14ac:dyDescent="0.25">
      <c r="A1936" s="1" t="s">
        <v>1071</v>
      </c>
      <c r="B1936" s="1" t="s">
        <v>1245</v>
      </c>
      <c r="C1936" s="5">
        <v>2</v>
      </c>
      <c r="D1936" s="1" t="s">
        <v>1231</v>
      </c>
      <c r="E1936" s="1" t="s">
        <v>725</v>
      </c>
      <c r="F1936" s="5" t="s">
        <v>25</v>
      </c>
      <c r="G1936" s="5">
        <v>0</v>
      </c>
      <c r="H1936" s="5">
        <v>1</v>
      </c>
      <c r="I1936" s="5" t="b">
        <v>1</v>
      </c>
      <c r="J1936" s="1" t="s">
        <v>1232</v>
      </c>
      <c r="K1936" s="1" t="s">
        <v>32</v>
      </c>
      <c r="L1936" s="1"/>
      <c r="M1936" s="1"/>
      <c r="N1936" s="1"/>
      <c r="O1936" s="1"/>
      <c r="P1936" s="1"/>
      <c r="Q1936" s="1" t="s">
        <v>1245</v>
      </c>
      <c r="R1936" s="1" t="s">
        <v>1245</v>
      </c>
      <c r="S1936" s="5">
        <v>4</v>
      </c>
    </row>
    <row r="1937" spans="1:19" x14ac:dyDescent="0.25">
      <c r="A1937" s="1" t="s">
        <v>1071</v>
      </c>
      <c r="B1937" s="1" t="s">
        <v>1245</v>
      </c>
      <c r="C1937" s="5">
        <v>2</v>
      </c>
      <c r="D1937" s="1" t="s">
        <v>29</v>
      </c>
      <c r="E1937" s="1" t="s">
        <v>1246</v>
      </c>
      <c r="F1937" s="5" t="s">
        <v>25</v>
      </c>
      <c r="G1937" s="5">
        <v>7</v>
      </c>
      <c r="H1937" s="5">
        <v>12</v>
      </c>
      <c r="I1937" s="5" t="b">
        <v>1</v>
      </c>
      <c r="J1937" s="1" t="s">
        <v>1121</v>
      </c>
      <c r="K1937" s="1" t="s">
        <v>32</v>
      </c>
      <c r="L1937" s="1"/>
      <c r="M1937" s="1"/>
      <c r="N1937" s="1"/>
      <c r="O1937" s="1"/>
      <c r="P1937" s="1"/>
      <c r="Q1937" s="1" t="s">
        <v>1245</v>
      </c>
      <c r="R1937" s="1" t="s">
        <v>1245</v>
      </c>
      <c r="S1937" s="5">
        <v>5</v>
      </c>
    </row>
    <row r="1938" spans="1:19" x14ac:dyDescent="0.25">
      <c r="A1938" s="1" t="s">
        <v>1071</v>
      </c>
      <c r="B1938" s="1" t="s">
        <v>1245</v>
      </c>
      <c r="C1938" s="5">
        <v>2</v>
      </c>
      <c r="D1938" s="1" t="s">
        <v>1122</v>
      </c>
      <c r="E1938" s="1" t="s">
        <v>1246</v>
      </c>
      <c r="F1938" s="5" t="s">
        <v>25</v>
      </c>
      <c r="G1938" s="5">
        <v>7</v>
      </c>
      <c r="H1938" s="5">
        <v>12</v>
      </c>
      <c r="I1938" s="5" t="b">
        <v>1</v>
      </c>
      <c r="J1938" s="1" t="s">
        <v>1124</v>
      </c>
      <c r="K1938" s="1" t="s">
        <v>32</v>
      </c>
      <c r="L1938" s="1"/>
      <c r="M1938" s="1"/>
      <c r="N1938" s="1"/>
      <c r="O1938" s="1"/>
      <c r="P1938" s="1"/>
      <c r="Q1938" s="1" t="s">
        <v>1245</v>
      </c>
      <c r="R1938" s="1" t="s">
        <v>1245</v>
      </c>
      <c r="S1938" s="5">
        <v>6</v>
      </c>
    </row>
    <row r="1939" spans="1:19" x14ac:dyDescent="0.25">
      <c r="A1939" s="1" t="s">
        <v>1071</v>
      </c>
      <c r="B1939" s="1" t="s">
        <v>1245</v>
      </c>
      <c r="C1939" s="5">
        <v>2</v>
      </c>
      <c r="D1939" s="1" t="s">
        <v>1125</v>
      </c>
      <c r="E1939" s="1" t="s">
        <v>963</v>
      </c>
      <c r="F1939" s="5" t="s">
        <v>27</v>
      </c>
      <c r="G1939" s="5">
        <v>5</v>
      </c>
      <c r="H1939" s="5">
        <v>10</v>
      </c>
      <c r="I1939" s="5" t="b">
        <v>0</v>
      </c>
      <c r="J1939" s="1" t="s">
        <v>1237</v>
      </c>
      <c r="K1939" s="1" t="s">
        <v>32</v>
      </c>
      <c r="L1939" s="1"/>
      <c r="M1939" s="1"/>
      <c r="N1939" s="1"/>
      <c r="O1939" s="1"/>
      <c r="P1939" s="1"/>
      <c r="Q1939" s="1" t="s">
        <v>1245</v>
      </c>
      <c r="R1939" s="1" t="s">
        <v>1245</v>
      </c>
      <c r="S1939" s="5">
        <v>8</v>
      </c>
    </row>
    <row r="1940" spans="1:19" x14ac:dyDescent="0.25">
      <c r="A1940" s="1" t="s">
        <v>1071</v>
      </c>
      <c r="B1940" s="1" t="s">
        <v>1245</v>
      </c>
      <c r="C1940" s="5">
        <v>2</v>
      </c>
      <c r="D1940" s="1" t="s">
        <v>1161</v>
      </c>
      <c r="E1940" s="1" t="s">
        <v>1239</v>
      </c>
      <c r="F1940" s="5" t="s">
        <v>27</v>
      </c>
      <c r="G1940" s="5">
        <v>0</v>
      </c>
      <c r="H1940" s="5">
        <v>1</v>
      </c>
      <c r="I1940" s="5" t="b">
        <v>0</v>
      </c>
      <c r="J1940" s="1" t="s">
        <v>1240</v>
      </c>
      <c r="K1940" s="1" t="s">
        <v>32</v>
      </c>
      <c r="L1940" s="1"/>
      <c r="M1940" s="1"/>
      <c r="N1940" s="1"/>
      <c r="O1940" s="1"/>
      <c r="P1940" s="1"/>
      <c r="Q1940" s="1" t="s">
        <v>1245</v>
      </c>
      <c r="R1940" s="1" t="s">
        <v>1245</v>
      </c>
      <c r="S1940" s="5">
        <v>10</v>
      </c>
    </row>
    <row r="1941" spans="1:19" x14ac:dyDescent="0.25">
      <c r="A1941" s="1" t="s">
        <v>1071</v>
      </c>
      <c r="B1941" s="1" t="s">
        <v>1245</v>
      </c>
      <c r="C1941" s="5">
        <v>2</v>
      </c>
      <c r="D1941" s="1" t="s">
        <v>1393</v>
      </c>
      <c r="E1941" s="1" t="s">
        <v>1248</v>
      </c>
      <c r="F1941" s="5" t="s">
        <v>27</v>
      </c>
      <c r="G1941" s="5">
        <v>4</v>
      </c>
      <c r="H1941" s="5">
        <v>7</v>
      </c>
      <c r="I1941" s="5" t="b">
        <v>0</v>
      </c>
      <c r="J1941" s="1" t="s">
        <v>1238</v>
      </c>
      <c r="K1941" s="1" t="s">
        <v>32</v>
      </c>
      <c r="L1941" s="1"/>
      <c r="M1941" s="1"/>
      <c r="N1941" s="1"/>
      <c r="O1941" s="1"/>
      <c r="P1941" s="1"/>
      <c r="Q1941" s="1" t="s">
        <v>1245</v>
      </c>
      <c r="R1941" s="1" t="s">
        <v>1245</v>
      </c>
      <c r="S1941" s="5">
        <v>11</v>
      </c>
    </row>
    <row r="1942" spans="1:19" x14ac:dyDescent="0.25">
      <c r="A1942" s="1" t="s">
        <v>1071</v>
      </c>
      <c r="B1942" s="1" t="s">
        <v>1245</v>
      </c>
      <c r="C1942" s="5">
        <v>2</v>
      </c>
      <c r="D1942" s="1" t="s">
        <v>314</v>
      </c>
      <c r="E1942" s="1" t="s">
        <v>1247</v>
      </c>
      <c r="F1942" s="5" t="s">
        <v>27</v>
      </c>
      <c r="G1942" s="5">
        <v>30</v>
      </c>
      <c r="H1942" s="5">
        <v>35</v>
      </c>
      <c r="I1942" s="5" t="b">
        <v>0</v>
      </c>
      <c r="J1942" s="1" t="s">
        <v>1235</v>
      </c>
      <c r="K1942" s="1" t="s">
        <v>32</v>
      </c>
      <c r="L1942" s="1"/>
      <c r="M1942" s="1"/>
      <c r="N1942" s="1"/>
      <c r="O1942" s="1"/>
      <c r="P1942" s="1"/>
      <c r="Q1942" s="1" t="s">
        <v>1245</v>
      </c>
      <c r="R1942" s="1" t="s">
        <v>1245</v>
      </c>
      <c r="S1942" s="5">
        <v>14</v>
      </c>
    </row>
    <row r="1943" spans="1:19" x14ac:dyDescent="0.25">
      <c r="A1943" s="1" t="s">
        <v>1071</v>
      </c>
      <c r="B1943" s="1" t="s">
        <v>1245</v>
      </c>
      <c r="C1943" s="5">
        <v>3</v>
      </c>
      <c r="D1943" s="1" t="s">
        <v>11</v>
      </c>
      <c r="E1943" s="1" t="s">
        <v>919</v>
      </c>
      <c r="F1943" s="5" t="s">
        <v>24</v>
      </c>
      <c r="G1943" s="5">
        <v>35</v>
      </c>
      <c r="H1943" s="5">
        <v>45</v>
      </c>
      <c r="I1943" s="5" t="b">
        <v>1</v>
      </c>
      <c r="J1943" s="1" t="s">
        <v>0</v>
      </c>
      <c r="K1943" s="1" t="s">
        <v>32</v>
      </c>
      <c r="L1943" s="1" t="s">
        <v>716</v>
      </c>
      <c r="M1943" s="1" t="s">
        <v>1138</v>
      </c>
      <c r="N1943" s="1"/>
      <c r="O1943" s="1"/>
      <c r="P1943" s="1"/>
      <c r="Q1943" s="1" t="s">
        <v>1245</v>
      </c>
      <c r="R1943" s="1" t="s">
        <v>1245</v>
      </c>
      <c r="S1943" s="5">
        <v>1</v>
      </c>
    </row>
    <row r="1944" spans="1:19" x14ac:dyDescent="0.25">
      <c r="A1944" s="1" t="s">
        <v>1071</v>
      </c>
      <c r="B1944" s="1" t="s">
        <v>1245</v>
      </c>
      <c r="C1944" s="5">
        <v>3</v>
      </c>
      <c r="D1944" s="1" t="s">
        <v>1228</v>
      </c>
      <c r="E1944" s="1" t="s">
        <v>964</v>
      </c>
      <c r="F1944" s="5" t="s">
        <v>25</v>
      </c>
      <c r="G1944" s="5">
        <v>2</v>
      </c>
      <c r="H1944" s="5">
        <v>3</v>
      </c>
      <c r="I1944" s="5" t="b">
        <v>1</v>
      </c>
      <c r="J1944" s="1" t="s">
        <v>1229</v>
      </c>
      <c r="K1944" s="1" t="s">
        <v>32</v>
      </c>
      <c r="L1944" s="1"/>
      <c r="M1944" s="1"/>
      <c r="N1944" s="1"/>
      <c r="O1944" s="1"/>
      <c r="P1944" s="1"/>
      <c r="Q1944" s="1" t="s">
        <v>1245</v>
      </c>
      <c r="R1944" s="1" t="s">
        <v>1245</v>
      </c>
      <c r="S1944" s="5">
        <v>2</v>
      </c>
    </row>
    <row r="1945" spans="1:19" x14ac:dyDescent="0.25">
      <c r="A1945" s="1" t="s">
        <v>1071</v>
      </c>
      <c r="B1945" s="1" t="s">
        <v>1245</v>
      </c>
      <c r="C1945" s="5">
        <v>3</v>
      </c>
      <c r="D1945" s="1" t="s">
        <v>13</v>
      </c>
      <c r="E1945" s="1" t="s">
        <v>934</v>
      </c>
      <c r="F1945" s="5" t="s">
        <v>25</v>
      </c>
      <c r="G1945" s="5">
        <v>10</v>
      </c>
      <c r="H1945" s="5">
        <v>15</v>
      </c>
      <c r="I1945" s="5" t="b">
        <v>1</v>
      </c>
      <c r="J1945" s="1" t="s">
        <v>10</v>
      </c>
      <c r="K1945" s="1" t="s">
        <v>32</v>
      </c>
      <c r="L1945" s="1"/>
      <c r="M1945" s="1"/>
      <c r="N1945" s="1"/>
      <c r="O1945" s="1"/>
      <c r="P1945" s="1"/>
      <c r="Q1945" s="1" t="s">
        <v>1245</v>
      </c>
      <c r="R1945" s="1" t="s">
        <v>1245</v>
      </c>
      <c r="S1945" s="5">
        <v>3</v>
      </c>
    </row>
    <row r="1946" spans="1:19" x14ac:dyDescent="0.25">
      <c r="A1946" s="1" t="s">
        <v>1071</v>
      </c>
      <c r="B1946" s="1" t="s">
        <v>1245</v>
      </c>
      <c r="C1946" s="5">
        <v>3</v>
      </c>
      <c r="D1946" s="1" t="s">
        <v>29</v>
      </c>
      <c r="E1946" s="1" t="s">
        <v>943</v>
      </c>
      <c r="F1946" s="5" t="s">
        <v>25</v>
      </c>
      <c r="G1946" s="5">
        <v>2</v>
      </c>
      <c r="H1946" s="5">
        <v>7</v>
      </c>
      <c r="I1946" s="5" t="b">
        <v>1</v>
      </c>
      <c r="J1946" s="1" t="s">
        <v>1121</v>
      </c>
      <c r="K1946" s="1" t="s">
        <v>32</v>
      </c>
      <c r="L1946" s="1"/>
      <c r="M1946" s="1"/>
      <c r="N1946" s="1"/>
      <c r="O1946" s="1"/>
      <c r="P1946" s="1"/>
      <c r="Q1946" s="1" t="s">
        <v>1245</v>
      </c>
      <c r="R1946" s="1" t="s">
        <v>1245</v>
      </c>
      <c r="S1946" s="5">
        <v>5</v>
      </c>
    </row>
    <row r="1947" spans="1:19" x14ac:dyDescent="0.25">
      <c r="A1947" s="1" t="s">
        <v>1071</v>
      </c>
      <c r="B1947" s="1" t="s">
        <v>1245</v>
      </c>
      <c r="C1947" s="5">
        <v>3</v>
      </c>
      <c r="D1947" s="1" t="s">
        <v>1122</v>
      </c>
      <c r="E1947" s="1" t="s">
        <v>989</v>
      </c>
      <c r="F1947" s="5" t="s">
        <v>25</v>
      </c>
      <c r="G1947" s="5">
        <v>4</v>
      </c>
      <c r="H1947" s="5">
        <v>7</v>
      </c>
      <c r="I1947" s="5" t="b">
        <v>1</v>
      </c>
      <c r="J1947" s="1" t="s">
        <v>1124</v>
      </c>
      <c r="K1947" s="1" t="s">
        <v>32</v>
      </c>
      <c r="L1947" s="1"/>
      <c r="M1947" s="1"/>
      <c r="N1947" s="1"/>
      <c r="O1947" s="1"/>
      <c r="P1947" s="1"/>
      <c r="Q1947" s="1" t="s">
        <v>1245</v>
      </c>
      <c r="R1947" s="1" t="s">
        <v>1245</v>
      </c>
      <c r="S1947" s="5">
        <v>6</v>
      </c>
    </row>
    <row r="1948" spans="1:19" x14ac:dyDescent="0.25">
      <c r="A1948" s="1" t="s">
        <v>1071</v>
      </c>
      <c r="B1948" s="1" t="s">
        <v>1245</v>
      </c>
      <c r="C1948" s="5">
        <v>3</v>
      </c>
      <c r="D1948" s="1" t="s">
        <v>1125</v>
      </c>
      <c r="E1948" s="1" t="s">
        <v>965</v>
      </c>
      <c r="F1948" s="5" t="s">
        <v>26</v>
      </c>
      <c r="G1948" s="5">
        <v>10</v>
      </c>
      <c r="H1948" s="5">
        <v>20</v>
      </c>
      <c r="I1948" s="5" t="b">
        <v>0</v>
      </c>
      <c r="J1948" s="1" t="s">
        <v>1237</v>
      </c>
      <c r="K1948" s="1" t="s">
        <v>32</v>
      </c>
      <c r="L1948" s="1"/>
      <c r="M1948" s="1"/>
      <c r="N1948" s="1"/>
      <c r="O1948" s="1"/>
      <c r="P1948" s="1"/>
      <c r="Q1948" s="1" t="s">
        <v>1245</v>
      </c>
      <c r="R1948" s="1" t="s">
        <v>1245</v>
      </c>
      <c r="S1948" s="5">
        <v>8</v>
      </c>
    </row>
    <row r="1949" spans="1:19" x14ac:dyDescent="0.25">
      <c r="A1949" s="1" t="s">
        <v>1071</v>
      </c>
      <c r="B1949" s="1" t="s">
        <v>1245</v>
      </c>
      <c r="C1949" s="5">
        <v>3</v>
      </c>
      <c r="D1949" s="1" t="s">
        <v>1393</v>
      </c>
      <c r="E1949" s="1" t="s">
        <v>1249</v>
      </c>
      <c r="F1949" s="5" t="s">
        <v>27</v>
      </c>
      <c r="G1949" s="5">
        <v>7</v>
      </c>
      <c r="H1949" s="5">
        <v>12</v>
      </c>
      <c r="I1949" s="5" t="b">
        <v>0</v>
      </c>
      <c r="J1949" s="1" t="s">
        <v>1238</v>
      </c>
      <c r="K1949" s="1" t="s">
        <v>32</v>
      </c>
      <c r="L1949" s="1" t="s">
        <v>716</v>
      </c>
      <c r="M1949" s="1" t="s">
        <v>1138</v>
      </c>
      <c r="N1949" s="1"/>
      <c r="O1949" s="1"/>
      <c r="P1949" s="1"/>
      <c r="Q1949" s="1" t="s">
        <v>1245</v>
      </c>
      <c r="R1949" s="1" t="s">
        <v>1245</v>
      </c>
      <c r="S1949" s="5">
        <v>11</v>
      </c>
    </row>
    <row r="1950" spans="1:19" x14ac:dyDescent="0.25">
      <c r="A1950" s="1" t="s">
        <v>1071</v>
      </c>
      <c r="B1950" s="1" t="s">
        <v>1245</v>
      </c>
      <c r="C1950" s="5">
        <v>3</v>
      </c>
      <c r="D1950" s="1" t="s">
        <v>314</v>
      </c>
      <c r="E1950" s="1" t="s">
        <v>930</v>
      </c>
      <c r="F1950" s="5" t="s">
        <v>26</v>
      </c>
      <c r="G1950" s="5">
        <v>35</v>
      </c>
      <c r="H1950" s="5">
        <v>45</v>
      </c>
      <c r="I1950" s="5" t="b">
        <v>0</v>
      </c>
      <c r="J1950" s="1" t="s">
        <v>1235</v>
      </c>
      <c r="K1950" s="1" t="s">
        <v>32</v>
      </c>
      <c r="L1950" s="1" t="s">
        <v>716</v>
      </c>
      <c r="M1950" s="1" t="s">
        <v>1138</v>
      </c>
      <c r="N1950" s="1"/>
      <c r="O1950" s="1"/>
      <c r="P1950" s="1"/>
      <c r="Q1950" s="1" t="s">
        <v>1245</v>
      </c>
      <c r="R1950" s="1" t="s">
        <v>1245</v>
      </c>
      <c r="S1950" s="5">
        <v>14</v>
      </c>
    </row>
    <row r="1951" spans="1:19" x14ac:dyDescent="0.25">
      <c r="A1951" s="1" t="s">
        <v>1071</v>
      </c>
      <c r="B1951" s="1" t="s">
        <v>1245</v>
      </c>
      <c r="C1951" s="5">
        <v>4</v>
      </c>
      <c r="D1951" s="1" t="s">
        <v>11</v>
      </c>
      <c r="E1951" s="1" t="s">
        <v>920</v>
      </c>
      <c r="F1951" s="5" t="s">
        <v>24</v>
      </c>
      <c r="G1951" s="5">
        <v>25</v>
      </c>
      <c r="H1951" s="5">
        <v>35</v>
      </c>
      <c r="I1951" s="5" t="b">
        <v>1</v>
      </c>
      <c r="J1951" s="1" t="s">
        <v>0</v>
      </c>
      <c r="K1951" s="1" t="s">
        <v>32</v>
      </c>
      <c r="L1951" s="1"/>
      <c r="M1951" s="1"/>
      <c r="N1951" s="1"/>
      <c r="O1951" s="1"/>
      <c r="P1951" s="1"/>
      <c r="Q1951" s="1" t="s">
        <v>1245</v>
      </c>
      <c r="R1951" s="1" t="s">
        <v>1245</v>
      </c>
      <c r="S1951" s="5">
        <v>1</v>
      </c>
    </row>
    <row r="1952" spans="1:19" x14ac:dyDescent="0.25">
      <c r="A1952" s="1" t="s">
        <v>1071</v>
      </c>
      <c r="B1952" s="1" t="s">
        <v>1245</v>
      </c>
      <c r="C1952" s="5">
        <v>4</v>
      </c>
      <c r="D1952" s="1" t="s">
        <v>1228</v>
      </c>
      <c r="E1952" s="1" t="s">
        <v>1243</v>
      </c>
      <c r="F1952" s="5" t="s">
        <v>25</v>
      </c>
      <c r="G1952" s="5">
        <v>-0.5</v>
      </c>
      <c r="H1952" s="5">
        <v>2</v>
      </c>
      <c r="I1952" s="5" t="b">
        <v>1</v>
      </c>
      <c r="J1952" s="1" t="s">
        <v>1229</v>
      </c>
      <c r="K1952" s="1" t="s">
        <v>32</v>
      </c>
      <c r="L1952" s="1"/>
      <c r="M1952" s="1"/>
      <c r="N1952" s="1"/>
      <c r="O1952" s="1"/>
      <c r="P1952" s="1"/>
      <c r="Q1952" s="1" t="s">
        <v>1245</v>
      </c>
      <c r="R1952" s="1" t="s">
        <v>1245</v>
      </c>
      <c r="S1952" s="5">
        <v>2</v>
      </c>
    </row>
    <row r="1953" spans="1:19" x14ac:dyDescent="0.25">
      <c r="A1953" s="1" t="s">
        <v>1071</v>
      </c>
      <c r="B1953" s="1" t="s">
        <v>1245</v>
      </c>
      <c r="C1953" s="5">
        <v>4</v>
      </c>
      <c r="D1953" s="1" t="s">
        <v>13</v>
      </c>
      <c r="E1953" s="1" t="s">
        <v>1250</v>
      </c>
      <c r="F1953" s="5" t="s">
        <v>25</v>
      </c>
      <c r="G1953" s="5">
        <v>6</v>
      </c>
      <c r="H1953" s="5">
        <v>11</v>
      </c>
      <c r="I1953" s="5" t="b">
        <v>1</v>
      </c>
      <c r="J1953" s="1" t="s">
        <v>10</v>
      </c>
      <c r="K1953" s="1" t="s">
        <v>32</v>
      </c>
      <c r="L1953" s="1" t="s">
        <v>716</v>
      </c>
      <c r="M1953" s="1" t="s">
        <v>1138</v>
      </c>
      <c r="N1953" s="1"/>
      <c r="O1953" s="1"/>
      <c r="P1953" s="1"/>
      <c r="Q1953" s="1" t="s">
        <v>1245</v>
      </c>
      <c r="R1953" s="1" t="s">
        <v>1245</v>
      </c>
      <c r="S1953" s="5">
        <v>3</v>
      </c>
    </row>
    <row r="1954" spans="1:19" x14ac:dyDescent="0.25">
      <c r="A1954" s="1" t="s">
        <v>1071</v>
      </c>
      <c r="B1954" s="1" t="s">
        <v>1245</v>
      </c>
      <c r="C1954" s="5">
        <v>4</v>
      </c>
      <c r="D1954" s="1" t="s">
        <v>29</v>
      </c>
      <c r="E1954" s="1" t="s">
        <v>923</v>
      </c>
      <c r="F1954" s="5" t="s">
        <v>25</v>
      </c>
      <c r="G1954" s="5">
        <v>0</v>
      </c>
      <c r="H1954" s="5">
        <v>3</v>
      </c>
      <c r="I1954" s="5" t="b">
        <v>1</v>
      </c>
      <c r="J1954" s="1" t="s">
        <v>1121</v>
      </c>
      <c r="K1954" s="1" t="s">
        <v>32</v>
      </c>
      <c r="L1954" s="1" t="s">
        <v>716</v>
      </c>
      <c r="M1954" s="1" t="s">
        <v>1138</v>
      </c>
      <c r="N1954" s="1"/>
      <c r="O1954" s="1"/>
      <c r="P1954" s="1"/>
      <c r="Q1954" s="1" t="s">
        <v>1245</v>
      </c>
      <c r="R1954" s="1" t="s">
        <v>1245</v>
      </c>
      <c r="S1954" s="5">
        <v>5</v>
      </c>
    </row>
    <row r="1955" spans="1:19" x14ac:dyDescent="0.25">
      <c r="A1955" s="1" t="s">
        <v>1071</v>
      </c>
      <c r="B1955" s="1" t="s">
        <v>1245</v>
      </c>
      <c r="C1955" s="5">
        <v>4</v>
      </c>
      <c r="D1955" s="1" t="s">
        <v>1125</v>
      </c>
      <c r="E1955" s="1" t="s">
        <v>917</v>
      </c>
      <c r="F1955" s="5" t="s">
        <v>26</v>
      </c>
      <c r="G1955" s="5">
        <v>20</v>
      </c>
      <c r="H1955" s="5">
        <v>30</v>
      </c>
      <c r="I1955" s="5" t="b">
        <v>0</v>
      </c>
      <c r="J1955" s="1" t="s">
        <v>1237</v>
      </c>
      <c r="K1955" s="1" t="s">
        <v>32</v>
      </c>
      <c r="L1955" s="1" t="s">
        <v>716</v>
      </c>
      <c r="M1955" s="1" t="s">
        <v>1138</v>
      </c>
      <c r="N1955" s="1"/>
      <c r="O1955" s="1"/>
      <c r="P1955" s="1"/>
      <c r="Q1955" s="1" t="s">
        <v>1245</v>
      </c>
      <c r="R1955" s="1" t="s">
        <v>1245</v>
      </c>
      <c r="S1955" s="5">
        <v>8</v>
      </c>
    </row>
    <row r="1956" spans="1:19" x14ac:dyDescent="0.25">
      <c r="A1956" s="1" t="s">
        <v>1071</v>
      </c>
      <c r="B1956" s="1" t="s">
        <v>1245</v>
      </c>
      <c r="C1956" s="5">
        <v>4</v>
      </c>
      <c r="D1956" s="1" t="s">
        <v>1393</v>
      </c>
      <c r="E1956" s="1" t="s">
        <v>1251</v>
      </c>
      <c r="F1956" s="5" t="s">
        <v>27</v>
      </c>
      <c r="G1956" s="5">
        <v>12</v>
      </c>
      <c r="H1956" s="5">
        <v>17</v>
      </c>
      <c r="I1956" s="5" t="b">
        <v>0</v>
      </c>
      <c r="J1956" s="1" t="s">
        <v>1238</v>
      </c>
      <c r="K1956" s="1" t="s">
        <v>32</v>
      </c>
      <c r="L1956" s="1" t="s">
        <v>716</v>
      </c>
      <c r="M1956" s="1" t="s">
        <v>1138</v>
      </c>
      <c r="N1956" s="1"/>
      <c r="O1956" s="1"/>
      <c r="P1956" s="1"/>
      <c r="Q1956" s="1" t="s">
        <v>1245</v>
      </c>
      <c r="R1956" s="1" t="s">
        <v>1245</v>
      </c>
      <c r="S1956" s="5">
        <v>11</v>
      </c>
    </row>
    <row r="1957" spans="1:19" x14ac:dyDescent="0.25">
      <c r="A1957" s="1" t="s">
        <v>1071</v>
      </c>
      <c r="B1957" s="1" t="s">
        <v>1245</v>
      </c>
      <c r="C1957" s="5">
        <v>4</v>
      </c>
      <c r="D1957" s="1" t="s">
        <v>314</v>
      </c>
      <c r="E1957" s="1" t="s">
        <v>918</v>
      </c>
      <c r="F1957" s="5" t="s">
        <v>26</v>
      </c>
      <c r="G1957" s="5">
        <v>50</v>
      </c>
      <c r="H1957" s="5">
        <v>60</v>
      </c>
      <c r="I1957" s="5" t="b">
        <v>0</v>
      </c>
      <c r="J1957" s="1" t="s">
        <v>1235</v>
      </c>
      <c r="K1957" s="1" t="s">
        <v>32</v>
      </c>
      <c r="L1957" s="1" t="s">
        <v>716</v>
      </c>
      <c r="M1957" s="1" t="s">
        <v>1138</v>
      </c>
      <c r="N1957" s="1"/>
      <c r="O1957" s="1"/>
      <c r="P1957" s="1"/>
      <c r="Q1957" s="1" t="s">
        <v>1245</v>
      </c>
      <c r="R1957" s="1" t="s">
        <v>1245</v>
      </c>
      <c r="S1957" s="5">
        <v>14</v>
      </c>
    </row>
    <row r="1958" spans="1:19" x14ac:dyDescent="0.25">
      <c r="A1958" s="1" t="s">
        <v>1071</v>
      </c>
      <c r="B1958" s="1" t="s">
        <v>1245</v>
      </c>
      <c r="C1958" s="5">
        <v>5</v>
      </c>
      <c r="D1958" s="1" t="s">
        <v>11</v>
      </c>
      <c r="E1958" s="1" t="s">
        <v>934</v>
      </c>
      <c r="F1958" s="5" t="s">
        <v>25</v>
      </c>
      <c r="G1958" s="5">
        <v>10</v>
      </c>
      <c r="H1958" s="5">
        <v>15</v>
      </c>
      <c r="I1958" s="5" t="b">
        <v>1</v>
      </c>
      <c r="J1958" s="1" t="s">
        <v>0</v>
      </c>
      <c r="K1958" s="1" t="s">
        <v>32</v>
      </c>
      <c r="L1958" s="1"/>
      <c r="M1958" s="1"/>
      <c r="N1958" s="1"/>
      <c r="O1958" s="1"/>
      <c r="P1958" s="1"/>
      <c r="Q1958" s="1" t="s">
        <v>1245</v>
      </c>
      <c r="R1958" s="1" t="s">
        <v>1245</v>
      </c>
      <c r="S1958" s="5">
        <v>1</v>
      </c>
    </row>
    <row r="1959" spans="1:19" x14ac:dyDescent="0.25">
      <c r="A1959" s="1" t="s">
        <v>1071</v>
      </c>
      <c r="B1959" s="1" t="s">
        <v>1245</v>
      </c>
      <c r="C1959" s="5">
        <v>5</v>
      </c>
      <c r="D1959" s="1" t="s">
        <v>1228</v>
      </c>
      <c r="E1959" s="1" t="s">
        <v>725</v>
      </c>
      <c r="F1959" s="5" t="s">
        <v>25</v>
      </c>
      <c r="G1959" s="5">
        <v>0</v>
      </c>
      <c r="H1959" s="5">
        <v>1</v>
      </c>
      <c r="I1959" s="5" t="b">
        <v>1</v>
      </c>
      <c r="J1959" s="1" t="s">
        <v>1229</v>
      </c>
      <c r="K1959" s="1" t="s">
        <v>32</v>
      </c>
      <c r="L1959" s="1"/>
      <c r="M1959" s="1"/>
      <c r="N1959" s="1"/>
      <c r="O1959" s="1"/>
      <c r="P1959" s="1"/>
      <c r="Q1959" s="1" t="s">
        <v>1245</v>
      </c>
      <c r="R1959" s="1" t="s">
        <v>1245</v>
      </c>
      <c r="S1959" s="5">
        <v>2</v>
      </c>
    </row>
    <row r="1960" spans="1:19" x14ac:dyDescent="0.25">
      <c r="A1960" s="1" t="s">
        <v>1071</v>
      </c>
      <c r="B1960" s="1" t="s">
        <v>1245</v>
      </c>
      <c r="C1960" s="5">
        <v>5</v>
      </c>
      <c r="D1960" s="1" t="s">
        <v>13</v>
      </c>
      <c r="E1960" s="1" t="s">
        <v>962</v>
      </c>
      <c r="F1960" s="5" t="s">
        <v>24</v>
      </c>
      <c r="G1960" s="5">
        <v>0</v>
      </c>
      <c r="H1960" s="5">
        <v>2</v>
      </c>
      <c r="I1960" s="5" t="b">
        <v>1</v>
      </c>
      <c r="J1960" s="1" t="s">
        <v>10</v>
      </c>
      <c r="K1960" s="1" t="s">
        <v>32</v>
      </c>
      <c r="L1960" s="1"/>
      <c r="M1960" s="1"/>
      <c r="N1960" s="1"/>
      <c r="O1960" s="1"/>
      <c r="P1960" s="1"/>
      <c r="Q1960" s="1" t="s">
        <v>1245</v>
      </c>
      <c r="R1960" s="1" t="s">
        <v>1245</v>
      </c>
      <c r="S1960" s="5">
        <v>3</v>
      </c>
    </row>
    <row r="1961" spans="1:19" x14ac:dyDescent="0.25">
      <c r="A1961" t="s">
        <v>901</v>
      </c>
      <c r="B1961" t="s">
        <v>902</v>
      </c>
      <c r="C1961">
        <v>2</v>
      </c>
      <c r="D1961" t="s">
        <v>903</v>
      </c>
      <c r="E1961" t="s">
        <v>989</v>
      </c>
      <c r="F1961" t="s">
        <v>25</v>
      </c>
      <c r="G1961">
        <v>4</v>
      </c>
      <c r="H1961">
        <v>7</v>
      </c>
      <c r="I1961" t="b">
        <v>1</v>
      </c>
      <c r="J1961" t="s">
        <v>1399</v>
      </c>
      <c r="K1961" t="s">
        <v>32</v>
      </c>
      <c r="Q1961" t="s">
        <v>902</v>
      </c>
      <c r="R1961" t="s">
        <v>902</v>
      </c>
      <c r="S1961">
        <v>8</v>
      </c>
    </row>
    <row r="1962" spans="1:19" x14ac:dyDescent="0.25">
      <c r="A1962" t="s">
        <v>901</v>
      </c>
      <c r="B1962" t="s">
        <v>902</v>
      </c>
      <c r="C1962">
        <v>2</v>
      </c>
      <c r="D1962" t="s">
        <v>906</v>
      </c>
      <c r="E1962" t="s">
        <v>942</v>
      </c>
      <c r="F1962" t="s">
        <v>25</v>
      </c>
      <c r="G1962">
        <v>3</v>
      </c>
      <c r="H1962">
        <v>8</v>
      </c>
      <c r="I1962" t="b">
        <v>1</v>
      </c>
      <c r="J1962" t="s">
        <v>1400</v>
      </c>
      <c r="K1962" t="s">
        <v>32</v>
      </c>
      <c r="Q1962" t="s">
        <v>902</v>
      </c>
      <c r="R1962" t="s">
        <v>902</v>
      </c>
      <c r="S1962">
        <v>17</v>
      </c>
    </row>
    <row r="1963" spans="1:19" x14ac:dyDescent="0.25">
      <c r="A1963" t="s">
        <v>901</v>
      </c>
      <c r="B1963" t="s">
        <v>902</v>
      </c>
      <c r="C1963">
        <v>2</v>
      </c>
      <c r="D1963" t="s">
        <v>908</v>
      </c>
      <c r="E1963" t="s">
        <v>1090</v>
      </c>
      <c r="F1963" t="s">
        <v>25</v>
      </c>
      <c r="G1963">
        <v>10</v>
      </c>
      <c r="H1963">
        <v>13</v>
      </c>
      <c r="I1963" t="b">
        <v>1</v>
      </c>
      <c r="J1963" t="s">
        <v>1401</v>
      </c>
      <c r="K1963" t="s">
        <v>32</v>
      </c>
      <c r="Q1963" t="s">
        <v>902</v>
      </c>
      <c r="R1963" t="s">
        <v>902</v>
      </c>
      <c r="S1963">
        <v>15</v>
      </c>
    </row>
    <row r="1964" spans="1:19" x14ac:dyDescent="0.25">
      <c r="A1964" t="s">
        <v>901</v>
      </c>
      <c r="B1964" t="s">
        <v>902</v>
      </c>
      <c r="C1964">
        <v>2</v>
      </c>
      <c r="D1964" t="s">
        <v>921</v>
      </c>
      <c r="E1964" t="s">
        <v>932</v>
      </c>
      <c r="F1964" t="s">
        <v>25</v>
      </c>
      <c r="G1964">
        <v>25</v>
      </c>
      <c r="H1964">
        <v>30</v>
      </c>
      <c r="I1964" t="b">
        <v>1</v>
      </c>
      <c r="J1964" t="s">
        <v>1402</v>
      </c>
      <c r="K1964" t="s">
        <v>32</v>
      </c>
      <c r="Q1964" t="s">
        <v>902</v>
      </c>
      <c r="R1964" t="s">
        <v>902</v>
      </c>
      <c r="S1964">
        <v>5</v>
      </c>
    </row>
    <row r="1965" spans="1:19" x14ac:dyDescent="0.25">
      <c r="A1965" t="s">
        <v>901</v>
      </c>
      <c r="B1965" t="s">
        <v>902</v>
      </c>
      <c r="C1965">
        <v>2</v>
      </c>
      <c r="D1965" t="s">
        <v>909</v>
      </c>
      <c r="E1965" t="s">
        <v>912</v>
      </c>
      <c r="F1965" t="s">
        <v>25</v>
      </c>
      <c r="G1965">
        <v>2</v>
      </c>
      <c r="H1965">
        <v>5</v>
      </c>
      <c r="I1965" t="b">
        <v>1</v>
      </c>
      <c r="J1965" t="s">
        <v>1403</v>
      </c>
      <c r="K1965" t="s">
        <v>32</v>
      </c>
      <c r="Q1965" t="s">
        <v>902</v>
      </c>
      <c r="R1965" t="s">
        <v>902</v>
      </c>
      <c r="S1965">
        <v>18</v>
      </c>
    </row>
    <row r="1966" spans="1:19" x14ac:dyDescent="0.25">
      <c r="A1966" t="s">
        <v>901</v>
      </c>
      <c r="B1966" t="s">
        <v>902</v>
      </c>
      <c r="C1966">
        <v>2</v>
      </c>
      <c r="D1966" t="s">
        <v>11</v>
      </c>
      <c r="E1966" t="s">
        <v>995</v>
      </c>
      <c r="F1966" t="s">
        <v>25</v>
      </c>
      <c r="G1966">
        <v>40</v>
      </c>
      <c r="H1966">
        <v>45</v>
      </c>
      <c r="I1966" t="b">
        <v>1</v>
      </c>
      <c r="J1966" t="s">
        <v>0</v>
      </c>
      <c r="K1966" t="s">
        <v>32</v>
      </c>
      <c r="Q1966" t="s">
        <v>902</v>
      </c>
      <c r="R1966" t="s">
        <v>902</v>
      </c>
      <c r="S1966">
        <v>1</v>
      </c>
    </row>
    <row r="1967" spans="1:19" x14ac:dyDescent="0.25">
      <c r="A1967" t="s">
        <v>901</v>
      </c>
      <c r="B1967" t="s">
        <v>902</v>
      </c>
      <c r="C1967">
        <v>2</v>
      </c>
      <c r="D1967" t="s">
        <v>911</v>
      </c>
      <c r="E1967" t="s">
        <v>924</v>
      </c>
      <c r="F1967" t="s">
        <v>25</v>
      </c>
      <c r="G1967">
        <v>1</v>
      </c>
      <c r="H1967">
        <v>4</v>
      </c>
      <c r="I1967" t="b">
        <v>1</v>
      </c>
      <c r="J1967" t="s">
        <v>1404</v>
      </c>
      <c r="K1967" t="s">
        <v>32</v>
      </c>
      <c r="Q1967" t="s">
        <v>902</v>
      </c>
      <c r="R1967" t="s">
        <v>902</v>
      </c>
      <c r="S1967">
        <v>16</v>
      </c>
    </row>
    <row r="1968" spans="1:19" x14ac:dyDescent="0.25">
      <c r="A1968" t="s">
        <v>901</v>
      </c>
      <c r="B1968" t="s">
        <v>902</v>
      </c>
      <c r="C1968">
        <v>2</v>
      </c>
      <c r="D1968" t="s">
        <v>914</v>
      </c>
      <c r="E1968" t="s">
        <v>915</v>
      </c>
      <c r="F1968" t="s">
        <v>26</v>
      </c>
      <c r="G1968">
        <v>30</v>
      </c>
      <c r="H1968">
        <v>40</v>
      </c>
      <c r="I1968" t="b">
        <v>0</v>
      </c>
      <c r="J1968" t="s">
        <v>1405</v>
      </c>
      <c r="K1968" t="s">
        <v>32</v>
      </c>
      <c r="Q1968" t="s">
        <v>902</v>
      </c>
      <c r="R1968" t="s">
        <v>902</v>
      </c>
      <c r="S1968">
        <v>10</v>
      </c>
    </row>
    <row r="1969" spans="1:19" x14ac:dyDescent="0.25">
      <c r="A1969" t="s">
        <v>901</v>
      </c>
      <c r="B1969" t="s">
        <v>902</v>
      </c>
      <c r="C1969">
        <v>2</v>
      </c>
      <c r="D1969" t="s">
        <v>407</v>
      </c>
      <c r="E1969" t="s">
        <v>1406</v>
      </c>
      <c r="F1969" t="s">
        <v>27</v>
      </c>
      <c r="G1969">
        <v>0</v>
      </c>
      <c r="H1969">
        <v>0.1</v>
      </c>
      <c r="I1969" t="b">
        <v>0</v>
      </c>
      <c r="J1969" t="s">
        <v>1407</v>
      </c>
      <c r="K1969" t="s">
        <v>32</v>
      </c>
      <c r="Q1969" t="s">
        <v>902</v>
      </c>
      <c r="R1969" t="s">
        <v>902</v>
      </c>
      <c r="S1969">
        <v>12</v>
      </c>
    </row>
    <row r="1970" spans="1:19" x14ac:dyDescent="0.25">
      <c r="A1970" t="s">
        <v>901</v>
      </c>
      <c r="B1970" t="s">
        <v>902</v>
      </c>
      <c r="C1970">
        <v>2</v>
      </c>
      <c r="D1970" t="s">
        <v>1408</v>
      </c>
      <c r="E1970" t="s">
        <v>968</v>
      </c>
      <c r="F1970" t="s">
        <v>27</v>
      </c>
      <c r="G1970">
        <v>40</v>
      </c>
      <c r="H1970">
        <v>45</v>
      </c>
      <c r="I1970" t="b">
        <v>0</v>
      </c>
      <c r="J1970" t="s">
        <v>1409</v>
      </c>
      <c r="K1970" t="s">
        <v>32</v>
      </c>
      <c r="Q1970" t="s">
        <v>902</v>
      </c>
      <c r="R1970" t="s">
        <v>902</v>
      </c>
      <c r="S1970">
        <v>30</v>
      </c>
    </row>
    <row r="1971" spans="1:19" x14ac:dyDescent="0.25">
      <c r="A1971" t="s">
        <v>901</v>
      </c>
      <c r="B1971" t="s">
        <v>902</v>
      </c>
      <c r="C1971">
        <v>2</v>
      </c>
      <c r="D1971" t="s">
        <v>314</v>
      </c>
      <c r="E1971" t="s">
        <v>918</v>
      </c>
      <c r="F1971" t="s">
        <v>26</v>
      </c>
      <c r="G1971">
        <v>50</v>
      </c>
      <c r="H1971">
        <v>60</v>
      </c>
      <c r="I1971" t="b">
        <v>0</v>
      </c>
      <c r="J1971" t="s">
        <v>1235</v>
      </c>
      <c r="K1971" t="s">
        <v>32</v>
      </c>
      <c r="Q1971" t="s">
        <v>902</v>
      </c>
      <c r="R1971" t="s">
        <v>902</v>
      </c>
      <c r="S1971">
        <v>3</v>
      </c>
    </row>
    <row r="1972" spans="1:19" x14ac:dyDescent="0.25">
      <c r="A1972" t="s">
        <v>901</v>
      </c>
      <c r="B1972" t="s">
        <v>902</v>
      </c>
      <c r="C1972">
        <v>2</v>
      </c>
      <c r="D1972" t="s">
        <v>243</v>
      </c>
      <c r="E1972" t="s">
        <v>918</v>
      </c>
      <c r="F1972" t="s">
        <v>26</v>
      </c>
      <c r="G1972">
        <v>50</v>
      </c>
      <c r="H1972">
        <v>60</v>
      </c>
      <c r="I1972" t="b">
        <v>0</v>
      </c>
      <c r="J1972" t="s">
        <v>1410</v>
      </c>
      <c r="K1972" t="s">
        <v>32</v>
      </c>
      <c r="Q1972" t="s">
        <v>902</v>
      </c>
      <c r="R1972" t="s">
        <v>902</v>
      </c>
      <c r="S1972">
        <v>31</v>
      </c>
    </row>
    <row r="1973" spans="1:19" x14ac:dyDescent="0.25">
      <c r="A1973" t="s">
        <v>901</v>
      </c>
      <c r="B1973" t="s">
        <v>902</v>
      </c>
      <c r="C1973">
        <v>3</v>
      </c>
      <c r="D1973" t="s">
        <v>903</v>
      </c>
      <c r="E1973" t="s">
        <v>924</v>
      </c>
      <c r="F1973" t="s">
        <v>25</v>
      </c>
      <c r="G1973">
        <v>1</v>
      </c>
      <c r="H1973">
        <v>4</v>
      </c>
      <c r="I1973" t="b">
        <v>1</v>
      </c>
      <c r="J1973" t="s">
        <v>1399</v>
      </c>
      <c r="K1973" t="s">
        <v>32</v>
      </c>
      <c r="Q1973" t="s">
        <v>902</v>
      </c>
      <c r="R1973" t="s">
        <v>902</v>
      </c>
      <c r="S1973">
        <v>8</v>
      </c>
    </row>
    <row r="1974" spans="1:19" x14ac:dyDescent="0.25">
      <c r="A1974" t="s">
        <v>901</v>
      </c>
      <c r="B1974" t="s">
        <v>902</v>
      </c>
      <c r="C1974">
        <v>3</v>
      </c>
      <c r="D1974" t="s">
        <v>906</v>
      </c>
      <c r="E1974" t="s">
        <v>923</v>
      </c>
      <c r="F1974" t="s">
        <v>25</v>
      </c>
      <c r="G1974">
        <v>0</v>
      </c>
      <c r="H1974">
        <v>3</v>
      </c>
      <c r="I1974" t="b">
        <v>1</v>
      </c>
      <c r="J1974" t="s">
        <v>1400</v>
      </c>
      <c r="K1974" t="s">
        <v>32</v>
      </c>
      <c r="Q1974" t="s">
        <v>902</v>
      </c>
      <c r="R1974" t="s">
        <v>902</v>
      </c>
      <c r="S1974">
        <v>17</v>
      </c>
    </row>
    <row r="1975" spans="1:19" x14ac:dyDescent="0.25">
      <c r="A1975" t="s">
        <v>901</v>
      </c>
      <c r="B1975" t="s">
        <v>902</v>
      </c>
      <c r="C1975">
        <v>3</v>
      </c>
      <c r="D1975" t="s">
        <v>908</v>
      </c>
      <c r="E1975" t="s">
        <v>948</v>
      </c>
      <c r="F1975" t="s">
        <v>25</v>
      </c>
      <c r="G1975">
        <v>5</v>
      </c>
      <c r="H1975">
        <v>10</v>
      </c>
      <c r="I1975" t="b">
        <v>1</v>
      </c>
      <c r="J1975" t="s">
        <v>1401</v>
      </c>
      <c r="K1975" t="s">
        <v>32</v>
      </c>
      <c r="Q1975" t="s">
        <v>902</v>
      </c>
      <c r="R1975" t="s">
        <v>902</v>
      </c>
      <c r="S1975">
        <v>15</v>
      </c>
    </row>
    <row r="1976" spans="1:19" x14ac:dyDescent="0.25">
      <c r="A1976" t="s">
        <v>901</v>
      </c>
      <c r="B1976" t="s">
        <v>902</v>
      </c>
      <c r="C1976">
        <v>3</v>
      </c>
      <c r="D1976" t="s">
        <v>921</v>
      </c>
      <c r="E1976" t="s">
        <v>927</v>
      </c>
      <c r="F1976" t="s">
        <v>24</v>
      </c>
      <c r="G1976">
        <v>15</v>
      </c>
      <c r="H1976">
        <v>25</v>
      </c>
      <c r="I1976" t="b">
        <v>1</v>
      </c>
      <c r="J1976" t="s">
        <v>1402</v>
      </c>
      <c r="K1976" t="s">
        <v>32</v>
      </c>
      <c r="Q1976" t="s">
        <v>902</v>
      </c>
      <c r="R1976" t="s">
        <v>902</v>
      </c>
      <c r="S1976">
        <v>5</v>
      </c>
    </row>
    <row r="1977" spans="1:19" x14ac:dyDescent="0.25">
      <c r="A1977" t="s">
        <v>901</v>
      </c>
      <c r="B1977" t="s">
        <v>902</v>
      </c>
      <c r="C1977">
        <v>3</v>
      </c>
      <c r="D1977" t="s">
        <v>909</v>
      </c>
      <c r="E1977" t="s">
        <v>962</v>
      </c>
      <c r="F1977" t="s">
        <v>24</v>
      </c>
      <c r="G1977">
        <v>0</v>
      </c>
      <c r="H1977">
        <v>2</v>
      </c>
      <c r="I1977" t="b">
        <v>1</v>
      </c>
      <c r="J1977" t="s">
        <v>1403</v>
      </c>
      <c r="K1977" t="s">
        <v>32</v>
      </c>
      <c r="Q1977" t="s">
        <v>902</v>
      </c>
      <c r="R1977" t="s">
        <v>902</v>
      </c>
      <c r="S1977">
        <v>18</v>
      </c>
    </row>
    <row r="1978" spans="1:19" x14ac:dyDescent="0.25">
      <c r="A1978" t="s">
        <v>901</v>
      </c>
      <c r="B1978" t="s">
        <v>902</v>
      </c>
      <c r="C1978">
        <v>3</v>
      </c>
      <c r="D1978" t="s">
        <v>11</v>
      </c>
      <c r="E1978" t="s">
        <v>925</v>
      </c>
      <c r="F1978" t="s">
        <v>24</v>
      </c>
      <c r="G1978">
        <v>30</v>
      </c>
      <c r="H1978">
        <v>40</v>
      </c>
      <c r="I1978" t="b">
        <v>1</v>
      </c>
      <c r="J1978" t="s">
        <v>0</v>
      </c>
      <c r="K1978" t="s">
        <v>32</v>
      </c>
      <c r="Q1978" t="s">
        <v>902</v>
      </c>
      <c r="R1978" t="s">
        <v>902</v>
      </c>
      <c r="S1978">
        <v>1</v>
      </c>
    </row>
    <row r="1979" spans="1:19" x14ac:dyDescent="0.25">
      <c r="A1979" t="s">
        <v>901</v>
      </c>
      <c r="B1979" t="s">
        <v>902</v>
      </c>
      <c r="C1979">
        <v>3</v>
      </c>
      <c r="D1979" t="s">
        <v>911</v>
      </c>
      <c r="E1979" t="s">
        <v>725</v>
      </c>
      <c r="F1979" t="s">
        <v>25</v>
      </c>
      <c r="G1979">
        <v>0</v>
      </c>
      <c r="H1979">
        <v>1</v>
      </c>
      <c r="I1979" t="b">
        <v>1</v>
      </c>
      <c r="J1979" t="s">
        <v>1404</v>
      </c>
      <c r="K1979" t="s">
        <v>32</v>
      </c>
      <c r="Q1979" t="s">
        <v>902</v>
      </c>
      <c r="R1979" t="s">
        <v>902</v>
      </c>
      <c r="S1979">
        <v>16</v>
      </c>
    </row>
    <row r="1980" spans="1:19" x14ac:dyDescent="0.25">
      <c r="A1980" t="s">
        <v>901</v>
      </c>
      <c r="B1980" t="s">
        <v>902</v>
      </c>
      <c r="C1980">
        <v>3</v>
      </c>
      <c r="D1980" t="s">
        <v>914</v>
      </c>
      <c r="E1980" t="s">
        <v>918</v>
      </c>
      <c r="F1980" t="s">
        <v>26</v>
      </c>
      <c r="G1980">
        <v>50</v>
      </c>
      <c r="H1980">
        <v>60</v>
      </c>
      <c r="I1980" t="b">
        <v>0</v>
      </c>
      <c r="J1980" t="s">
        <v>1405</v>
      </c>
      <c r="K1980" t="s">
        <v>32</v>
      </c>
      <c r="Q1980" t="s">
        <v>902</v>
      </c>
      <c r="R1980" t="s">
        <v>902</v>
      </c>
      <c r="S1980">
        <v>10</v>
      </c>
    </row>
    <row r="1981" spans="1:19" x14ac:dyDescent="0.25">
      <c r="A1981" t="s">
        <v>901</v>
      </c>
      <c r="B1981" t="s">
        <v>902</v>
      </c>
      <c r="C1981">
        <v>3</v>
      </c>
      <c r="D1981" t="s">
        <v>407</v>
      </c>
      <c r="E1981" t="s">
        <v>1411</v>
      </c>
      <c r="F1981" t="s">
        <v>27</v>
      </c>
      <c r="G1981">
        <v>0.1</v>
      </c>
      <c r="H1981">
        <v>1</v>
      </c>
      <c r="I1981" t="b">
        <v>0</v>
      </c>
      <c r="J1981" t="s">
        <v>1407</v>
      </c>
      <c r="K1981" t="s">
        <v>32</v>
      </c>
      <c r="Q1981" t="s">
        <v>902</v>
      </c>
      <c r="R1981" t="s">
        <v>902</v>
      </c>
      <c r="S1981">
        <v>12</v>
      </c>
    </row>
    <row r="1982" spans="1:19" x14ac:dyDescent="0.25">
      <c r="A1982" t="s">
        <v>901</v>
      </c>
      <c r="B1982" t="s">
        <v>902</v>
      </c>
      <c r="C1982">
        <v>3</v>
      </c>
      <c r="D1982" t="s">
        <v>1408</v>
      </c>
      <c r="E1982" t="s">
        <v>936</v>
      </c>
      <c r="F1982" t="s">
        <v>26</v>
      </c>
      <c r="G1982">
        <v>45</v>
      </c>
      <c r="H1982">
        <v>55</v>
      </c>
      <c r="I1982" t="b">
        <v>0</v>
      </c>
      <c r="J1982" t="s">
        <v>1409</v>
      </c>
      <c r="K1982" t="s">
        <v>32</v>
      </c>
      <c r="Q1982" t="s">
        <v>902</v>
      </c>
      <c r="R1982" t="s">
        <v>902</v>
      </c>
      <c r="S1982">
        <v>30</v>
      </c>
    </row>
    <row r="1983" spans="1:19" x14ac:dyDescent="0.25">
      <c r="A1983" t="s">
        <v>901</v>
      </c>
      <c r="B1983" t="s">
        <v>902</v>
      </c>
      <c r="C1983">
        <v>3</v>
      </c>
      <c r="D1983" t="s">
        <v>314</v>
      </c>
      <c r="E1983" t="s">
        <v>1412</v>
      </c>
      <c r="F1983" t="s">
        <v>27</v>
      </c>
      <c r="G1983">
        <v>65</v>
      </c>
      <c r="H1983">
        <v>70</v>
      </c>
      <c r="I1983" t="b">
        <v>0</v>
      </c>
      <c r="J1983" t="s">
        <v>1235</v>
      </c>
      <c r="K1983" t="s">
        <v>32</v>
      </c>
      <c r="Q1983" t="s">
        <v>902</v>
      </c>
      <c r="R1983" t="s">
        <v>902</v>
      </c>
      <c r="S1983">
        <v>3</v>
      </c>
    </row>
    <row r="1984" spans="1:19" x14ac:dyDescent="0.25">
      <c r="A1984" t="s">
        <v>901</v>
      </c>
      <c r="B1984" t="s">
        <v>902</v>
      </c>
      <c r="C1984">
        <v>3</v>
      </c>
      <c r="D1984" t="s">
        <v>243</v>
      </c>
      <c r="E1984" t="s">
        <v>938</v>
      </c>
      <c r="F1984" t="s">
        <v>26</v>
      </c>
      <c r="G1984">
        <v>70</v>
      </c>
      <c r="H1984">
        <v>80</v>
      </c>
      <c r="I1984" t="b">
        <v>0</v>
      </c>
      <c r="J1984" t="s">
        <v>1410</v>
      </c>
      <c r="K1984" t="s">
        <v>32</v>
      </c>
      <c r="Q1984" t="s">
        <v>902</v>
      </c>
      <c r="R1984" t="s">
        <v>902</v>
      </c>
      <c r="S1984">
        <v>31</v>
      </c>
    </row>
    <row r="1985" spans="1:19" x14ac:dyDescent="0.25">
      <c r="A1985" t="s">
        <v>901</v>
      </c>
      <c r="B1985" t="s">
        <v>902</v>
      </c>
      <c r="C1985">
        <v>4</v>
      </c>
      <c r="D1985" t="s">
        <v>903</v>
      </c>
      <c r="E1985" t="s">
        <v>725</v>
      </c>
      <c r="F1985" t="s">
        <v>25</v>
      </c>
      <c r="G1985">
        <v>0</v>
      </c>
      <c r="H1985">
        <v>1</v>
      </c>
      <c r="I1985" t="b">
        <v>1</v>
      </c>
      <c r="J1985" t="s">
        <v>1399</v>
      </c>
      <c r="K1985" t="s">
        <v>32</v>
      </c>
      <c r="L1985" t="s">
        <v>716</v>
      </c>
      <c r="M1985" t="s">
        <v>1413</v>
      </c>
      <c r="Q1985" t="s">
        <v>902</v>
      </c>
      <c r="R1985" t="s">
        <v>902</v>
      </c>
      <c r="S1985">
        <v>8</v>
      </c>
    </row>
    <row r="1986" spans="1:19" x14ac:dyDescent="0.25">
      <c r="A1986" t="s">
        <v>901</v>
      </c>
      <c r="B1986" t="s">
        <v>902</v>
      </c>
      <c r="C1986">
        <v>4</v>
      </c>
      <c r="D1986" t="s">
        <v>908</v>
      </c>
      <c r="E1986" t="s">
        <v>912</v>
      </c>
      <c r="F1986" t="s">
        <v>25</v>
      </c>
      <c r="G1986">
        <v>2</v>
      </c>
      <c r="H1986">
        <v>5</v>
      </c>
      <c r="I1986" t="b">
        <v>1</v>
      </c>
      <c r="J1986" t="s">
        <v>1401</v>
      </c>
      <c r="K1986" t="s">
        <v>32</v>
      </c>
      <c r="Q1986" t="s">
        <v>902</v>
      </c>
      <c r="R1986" t="s">
        <v>902</v>
      </c>
      <c r="S1986">
        <v>15</v>
      </c>
    </row>
    <row r="1987" spans="1:19" x14ac:dyDescent="0.25">
      <c r="A1987" t="s">
        <v>901</v>
      </c>
      <c r="B1987" t="s">
        <v>902</v>
      </c>
      <c r="C1987">
        <v>4</v>
      </c>
      <c r="D1987" t="s">
        <v>921</v>
      </c>
      <c r="E1987" t="s">
        <v>934</v>
      </c>
      <c r="F1987" t="s">
        <v>25</v>
      </c>
      <c r="G1987">
        <v>10</v>
      </c>
      <c r="H1987">
        <v>15</v>
      </c>
      <c r="I1987" t="b">
        <v>1</v>
      </c>
      <c r="J1987" t="s">
        <v>1402</v>
      </c>
      <c r="K1987" t="s">
        <v>32</v>
      </c>
      <c r="L1987" t="s">
        <v>716</v>
      </c>
      <c r="M1987" t="s">
        <v>1413</v>
      </c>
      <c r="Q1987" t="s">
        <v>902</v>
      </c>
      <c r="R1987" t="s">
        <v>902</v>
      </c>
      <c r="S1987">
        <v>5</v>
      </c>
    </row>
    <row r="1988" spans="1:19" x14ac:dyDescent="0.25">
      <c r="A1988" t="s">
        <v>901</v>
      </c>
      <c r="B1988" t="s">
        <v>902</v>
      </c>
      <c r="C1988">
        <v>4</v>
      </c>
      <c r="D1988" t="s">
        <v>11</v>
      </c>
      <c r="E1988" t="s">
        <v>932</v>
      </c>
      <c r="F1988" t="s">
        <v>25</v>
      </c>
      <c r="G1988">
        <v>25</v>
      </c>
      <c r="H1988">
        <v>30</v>
      </c>
      <c r="I1988" t="b">
        <v>1</v>
      </c>
      <c r="J1988" t="s">
        <v>0</v>
      </c>
      <c r="K1988" t="s">
        <v>32</v>
      </c>
      <c r="L1988" t="s">
        <v>716</v>
      </c>
      <c r="M1988" t="s">
        <v>1413</v>
      </c>
      <c r="Q1988" t="s">
        <v>902</v>
      </c>
      <c r="R1988" t="s">
        <v>902</v>
      </c>
      <c r="S1988">
        <v>1</v>
      </c>
    </row>
    <row r="1989" spans="1:19" x14ac:dyDescent="0.25">
      <c r="A1989" t="s">
        <v>901</v>
      </c>
      <c r="B1989" t="s">
        <v>902</v>
      </c>
      <c r="C1989">
        <v>4</v>
      </c>
      <c r="D1989" t="s">
        <v>914</v>
      </c>
      <c r="E1989" t="s">
        <v>913</v>
      </c>
      <c r="F1989" t="s">
        <v>26</v>
      </c>
      <c r="G1989">
        <v>60</v>
      </c>
      <c r="H1989">
        <v>70</v>
      </c>
      <c r="I1989" t="b">
        <v>0</v>
      </c>
      <c r="J1989" t="s">
        <v>1405</v>
      </c>
      <c r="K1989" t="s">
        <v>32</v>
      </c>
      <c r="L1989" t="s">
        <v>716</v>
      </c>
      <c r="M1989" t="s">
        <v>1413</v>
      </c>
      <c r="Q1989" t="s">
        <v>902</v>
      </c>
      <c r="R1989" t="s">
        <v>902</v>
      </c>
      <c r="S1989">
        <v>10</v>
      </c>
    </row>
    <row r="1990" spans="1:19" x14ac:dyDescent="0.25">
      <c r="A1990" t="s">
        <v>901</v>
      </c>
      <c r="B1990" t="s">
        <v>902</v>
      </c>
      <c r="C1990">
        <v>4</v>
      </c>
      <c r="D1990" t="s">
        <v>407</v>
      </c>
      <c r="E1990" t="s">
        <v>1414</v>
      </c>
      <c r="F1990" t="s">
        <v>27</v>
      </c>
      <c r="G1990">
        <v>1</v>
      </c>
      <c r="H1990">
        <v>6</v>
      </c>
      <c r="I1990" t="b">
        <v>0</v>
      </c>
      <c r="J1990" t="s">
        <v>1407</v>
      </c>
      <c r="K1990" t="s">
        <v>32</v>
      </c>
      <c r="Q1990" t="s">
        <v>902</v>
      </c>
      <c r="R1990" t="s">
        <v>902</v>
      </c>
      <c r="S1990">
        <v>12</v>
      </c>
    </row>
    <row r="1991" spans="1:19" x14ac:dyDescent="0.25">
      <c r="A1991" t="s">
        <v>901</v>
      </c>
      <c r="B1991" t="s">
        <v>902</v>
      </c>
      <c r="C1991">
        <v>4</v>
      </c>
      <c r="D1991" t="s">
        <v>1408</v>
      </c>
      <c r="E1991" t="s">
        <v>931</v>
      </c>
      <c r="F1991" t="s">
        <v>26</v>
      </c>
      <c r="G1991">
        <v>65</v>
      </c>
      <c r="H1991">
        <v>75</v>
      </c>
      <c r="I1991" t="b">
        <v>0</v>
      </c>
      <c r="J1991" t="s">
        <v>1409</v>
      </c>
      <c r="K1991" t="s">
        <v>32</v>
      </c>
      <c r="L1991" t="s">
        <v>716</v>
      </c>
      <c r="M1991" t="s">
        <v>1413</v>
      </c>
      <c r="Q1991" t="s">
        <v>902</v>
      </c>
      <c r="R1991" t="s">
        <v>902</v>
      </c>
      <c r="S1991">
        <v>30</v>
      </c>
    </row>
    <row r="1992" spans="1:19" x14ac:dyDescent="0.25">
      <c r="A1992" t="s">
        <v>901</v>
      </c>
      <c r="B1992" t="s">
        <v>902</v>
      </c>
      <c r="C1992">
        <v>4</v>
      </c>
      <c r="D1992" t="s">
        <v>314</v>
      </c>
      <c r="E1992" t="s">
        <v>1415</v>
      </c>
      <c r="F1992" t="s">
        <v>27</v>
      </c>
      <c r="G1992">
        <v>80</v>
      </c>
      <c r="H1992">
        <v>95</v>
      </c>
      <c r="I1992" t="b">
        <v>0</v>
      </c>
      <c r="J1992" t="s">
        <v>1235</v>
      </c>
      <c r="K1992" t="s">
        <v>32</v>
      </c>
      <c r="Q1992" t="s">
        <v>902</v>
      </c>
      <c r="R1992" t="s">
        <v>902</v>
      </c>
      <c r="S1992">
        <v>3</v>
      </c>
    </row>
    <row r="1993" spans="1:19" x14ac:dyDescent="0.25">
      <c r="A1993" t="s">
        <v>901</v>
      </c>
      <c r="B1993" t="s">
        <v>902</v>
      </c>
      <c r="C1993">
        <v>4</v>
      </c>
      <c r="D1993" t="s">
        <v>243</v>
      </c>
      <c r="E1993" t="s">
        <v>937</v>
      </c>
      <c r="F1993" t="s">
        <v>26</v>
      </c>
      <c r="G1993">
        <v>80</v>
      </c>
      <c r="H1993">
        <v>90</v>
      </c>
      <c r="I1993" t="b">
        <v>0</v>
      </c>
      <c r="J1993" t="s">
        <v>1410</v>
      </c>
      <c r="K1993" t="s">
        <v>32</v>
      </c>
      <c r="L1993" t="s">
        <v>716</v>
      </c>
      <c r="M1993" t="s">
        <v>1413</v>
      </c>
      <c r="Q1993" t="s">
        <v>902</v>
      </c>
      <c r="R1993" t="s">
        <v>902</v>
      </c>
      <c r="S1993">
        <v>31</v>
      </c>
    </row>
    <row r="1994" spans="1:19" x14ac:dyDescent="0.25">
      <c r="A1994" t="s">
        <v>901</v>
      </c>
      <c r="B1994" t="s">
        <v>902</v>
      </c>
      <c r="C1994">
        <v>5</v>
      </c>
      <c r="D1994" t="s">
        <v>11</v>
      </c>
      <c r="E1994" t="s">
        <v>927</v>
      </c>
      <c r="F1994" t="s">
        <v>24</v>
      </c>
      <c r="G1994">
        <v>15</v>
      </c>
      <c r="H1994">
        <v>25</v>
      </c>
      <c r="I1994" t="b">
        <v>1</v>
      </c>
      <c r="J1994" t="s">
        <v>0</v>
      </c>
      <c r="K1994" t="s">
        <v>32</v>
      </c>
      <c r="L1994" t="s">
        <v>716</v>
      </c>
      <c r="M1994" t="s">
        <v>1413</v>
      </c>
      <c r="Q1994" t="s">
        <v>902</v>
      </c>
      <c r="R1994" t="s">
        <v>902</v>
      </c>
      <c r="S1994">
        <v>1</v>
      </c>
    </row>
    <row r="1995" spans="1:19" x14ac:dyDescent="0.25">
      <c r="A1995" t="s">
        <v>901</v>
      </c>
      <c r="B1995" t="s">
        <v>902</v>
      </c>
      <c r="C1995">
        <v>5</v>
      </c>
      <c r="D1995" t="s">
        <v>407</v>
      </c>
      <c r="E1995" t="s">
        <v>965</v>
      </c>
      <c r="F1995" t="s">
        <v>26</v>
      </c>
      <c r="G1995">
        <v>10</v>
      </c>
      <c r="H1995">
        <v>20</v>
      </c>
      <c r="I1995" t="b">
        <v>0</v>
      </c>
      <c r="J1995" t="s">
        <v>1407</v>
      </c>
      <c r="K1995" t="s">
        <v>32</v>
      </c>
      <c r="Q1995" t="s">
        <v>902</v>
      </c>
      <c r="R1995" t="s">
        <v>902</v>
      </c>
      <c r="S1995">
        <v>12</v>
      </c>
    </row>
    <row r="1996" spans="1:19" x14ac:dyDescent="0.25">
      <c r="A1996" t="s">
        <v>901</v>
      </c>
      <c r="B1996" t="s">
        <v>902</v>
      </c>
      <c r="C1996">
        <v>5</v>
      </c>
      <c r="D1996" t="s">
        <v>1408</v>
      </c>
      <c r="E1996" t="s">
        <v>1416</v>
      </c>
      <c r="F1996" t="s">
        <v>26</v>
      </c>
      <c r="G1996">
        <v>90</v>
      </c>
      <c r="H1996">
        <v>100</v>
      </c>
      <c r="I1996" t="b">
        <v>0</v>
      </c>
      <c r="J1996" t="s">
        <v>1409</v>
      </c>
      <c r="K1996" t="s">
        <v>32</v>
      </c>
      <c r="L1996" t="s">
        <v>716</v>
      </c>
      <c r="M1996" t="s">
        <v>1413</v>
      </c>
      <c r="Q1996" t="s">
        <v>902</v>
      </c>
      <c r="R1996" t="s">
        <v>902</v>
      </c>
      <c r="S1996">
        <v>30</v>
      </c>
    </row>
    <row r="1997" spans="1:19" x14ac:dyDescent="0.25">
      <c r="A1997" t="s">
        <v>901</v>
      </c>
      <c r="B1997" t="s">
        <v>902</v>
      </c>
      <c r="C1997">
        <v>5</v>
      </c>
      <c r="D1997" t="s">
        <v>243</v>
      </c>
      <c r="E1997" t="s">
        <v>1417</v>
      </c>
      <c r="F1997" t="s">
        <v>27</v>
      </c>
      <c r="G1997">
        <v>90</v>
      </c>
      <c r="H1997">
        <v>95</v>
      </c>
      <c r="I1997" t="b">
        <v>0</v>
      </c>
      <c r="J1997" t="s">
        <v>1410</v>
      </c>
      <c r="K1997" t="s">
        <v>32</v>
      </c>
      <c r="L1997" t="s">
        <v>716</v>
      </c>
      <c r="M1997" t="s">
        <v>1413</v>
      </c>
      <c r="Q1997" t="s">
        <v>902</v>
      </c>
      <c r="R1997" t="s">
        <v>902</v>
      </c>
      <c r="S1997">
        <v>31</v>
      </c>
    </row>
    <row r="1998" spans="1:19" x14ac:dyDescent="0.25">
      <c r="A1998" t="s">
        <v>901</v>
      </c>
      <c r="B1998" t="s">
        <v>947</v>
      </c>
      <c r="C1998">
        <v>2</v>
      </c>
      <c r="D1998" t="s">
        <v>903</v>
      </c>
      <c r="E1998" t="s">
        <v>907</v>
      </c>
      <c r="F1998" t="s">
        <v>25</v>
      </c>
      <c r="G1998">
        <v>4</v>
      </c>
      <c r="H1998">
        <v>9</v>
      </c>
      <c r="I1998" t="b">
        <v>1</v>
      </c>
      <c r="J1998" t="s">
        <v>1399</v>
      </c>
      <c r="K1998" t="s">
        <v>32</v>
      </c>
      <c r="Q1998" t="s">
        <v>947</v>
      </c>
      <c r="R1998" t="s">
        <v>947</v>
      </c>
      <c r="S1998">
        <v>8</v>
      </c>
    </row>
    <row r="1999" spans="1:19" x14ac:dyDescent="0.25">
      <c r="A1999" t="s">
        <v>901</v>
      </c>
      <c r="B1999" t="s">
        <v>947</v>
      </c>
      <c r="C1999">
        <v>2</v>
      </c>
      <c r="D1999" t="s">
        <v>906</v>
      </c>
      <c r="E1999" t="s">
        <v>1418</v>
      </c>
      <c r="F1999" t="s">
        <v>25</v>
      </c>
      <c r="G1999">
        <v>7</v>
      </c>
      <c r="H1999">
        <v>10</v>
      </c>
      <c r="I1999" t="b">
        <v>1</v>
      </c>
      <c r="J1999" t="s">
        <v>1400</v>
      </c>
      <c r="K1999" t="s">
        <v>32</v>
      </c>
      <c r="Q1999" t="s">
        <v>947</v>
      </c>
      <c r="R1999" t="s">
        <v>947</v>
      </c>
      <c r="S1999">
        <v>17</v>
      </c>
    </row>
    <row r="2000" spans="1:19" x14ac:dyDescent="0.25">
      <c r="A2000" t="s">
        <v>901</v>
      </c>
      <c r="B2000" t="s">
        <v>947</v>
      </c>
      <c r="C2000">
        <v>2</v>
      </c>
      <c r="D2000" t="s">
        <v>908</v>
      </c>
      <c r="E2000" t="s">
        <v>1419</v>
      </c>
      <c r="F2000" t="s">
        <v>25</v>
      </c>
      <c r="G2000">
        <v>8</v>
      </c>
      <c r="H2000">
        <v>13</v>
      </c>
      <c r="I2000" t="b">
        <v>1</v>
      </c>
      <c r="J2000" t="s">
        <v>1401</v>
      </c>
      <c r="K2000" t="s">
        <v>32</v>
      </c>
      <c r="Q2000" t="s">
        <v>947</v>
      </c>
      <c r="R2000" t="s">
        <v>947</v>
      </c>
      <c r="S2000">
        <v>15</v>
      </c>
    </row>
    <row r="2001" spans="1:19" x14ac:dyDescent="0.25">
      <c r="A2001" t="s">
        <v>901</v>
      </c>
      <c r="B2001" t="s">
        <v>947</v>
      </c>
      <c r="C2001">
        <v>2</v>
      </c>
      <c r="D2001" t="s">
        <v>921</v>
      </c>
      <c r="E2001" t="s">
        <v>925</v>
      </c>
      <c r="F2001" t="s">
        <v>24</v>
      </c>
      <c r="G2001">
        <v>30</v>
      </c>
      <c r="H2001">
        <v>40</v>
      </c>
      <c r="I2001" t="b">
        <v>1</v>
      </c>
      <c r="J2001" t="s">
        <v>1402</v>
      </c>
      <c r="K2001" t="s">
        <v>32</v>
      </c>
      <c r="Q2001" t="s">
        <v>947</v>
      </c>
      <c r="R2001" t="s">
        <v>947</v>
      </c>
      <c r="S2001">
        <v>5</v>
      </c>
    </row>
    <row r="2002" spans="1:19" x14ac:dyDescent="0.25">
      <c r="A2002" t="s">
        <v>901</v>
      </c>
      <c r="B2002" t="s">
        <v>947</v>
      </c>
      <c r="C2002">
        <v>2</v>
      </c>
      <c r="D2002" t="s">
        <v>909</v>
      </c>
      <c r="E2002" t="s">
        <v>912</v>
      </c>
      <c r="F2002" t="s">
        <v>25</v>
      </c>
      <c r="G2002">
        <v>2</v>
      </c>
      <c r="H2002">
        <v>5</v>
      </c>
      <c r="I2002" t="b">
        <v>1</v>
      </c>
      <c r="J2002" t="s">
        <v>1403</v>
      </c>
      <c r="K2002" t="s">
        <v>32</v>
      </c>
      <c r="Q2002" t="s">
        <v>947</v>
      </c>
      <c r="R2002" t="s">
        <v>947</v>
      </c>
      <c r="S2002">
        <v>18</v>
      </c>
    </row>
    <row r="2003" spans="1:19" x14ac:dyDescent="0.25">
      <c r="A2003" t="s">
        <v>901</v>
      </c>
      <c r="B2003" t="s">
        <v>947</v>
      </c>
      <c r="C2003">
        <v>2</v>
      </c>
      <c r="D2003" t="s">
        <v>11</v>
      </c>
      <c r="E2003" t="s">
        <v>951</v>
      </c>
      <c r="F2003" t="s">
        <v>24</v>
      </c>
      <c r="G2003">
        <v>50</v>
      </c>
      <c r="H2003">
        <v>60</v>
      </c>
      <c r="I2003" t="b">
        <v>1</v>
      </c>
      <c r="J2003" t="s">
        <v>0</v>
      </c>
      <c r="K2003" t="s">
        <v>32</v>
      </c>
      <c r="Q2003" t="s">
        <v>947</v>
      </c>
      <c r="R2003" t="s">
        <v>947</v>
      </c>
      <c r="S2003">
        <v>1</v>
      </c>
    </row>
    <row r="2004" spans="1:19" x14ac:dyDescent="0.25">
      <c r="A2004" t="s">
        <v>901</v>
      </c>
      <c r="B2004" t="s">
        <v>947</v>
      </c>
      <c r="C2004">
        <v>2</v>
      </c>
      <c r="D2004" t="s">
        <v>911</v>
      </c>
      <c r="E2004" t="s">
        <v>989</v>
      </c>
      <c r="F2004" t="s">
        <v>25</v>
      </c>
      <c r="G2004">
        <v>4</v>
      </c>
      <c r="H2004">
        <v>7</v>
      </c>
      <c r="I2004" t="b">
        <v>1</v>
      </c>
      <c r="J2004" t="s">
        <v>1404</v>
      </c>
      <c r="K2004" t="s">
        <v>32</v>
      </c>
      <c r="Q2004" t="s">
        <v>947</v>
      </c>
      <c r="R2004" t="s">
        <v>947</v>
      </c>
      <c r="S2004">
        <v>16</v>
      </c>
    </row>
    <row r="2005" spans="1:19" x14ac:dyDescent="0.25">
      <c r="A2005" t="s">
        <v>901</v>
      </c>
      <c r="B2005" t="s">
        <v>947</v>
      </c>
      <c r="C2005">
        <v>2</v>
      </c>
      <c r="D2005" t="s">
        <v>914</v>
      </c>
      <c r="E2005" t="s">
        <v>930</v>
      </c>
      <c r="F2005" t="s">
        <v>26</v>
      </c>
      <c r="G2005">
        <v>35</v>
      </c>
      <c r="H2005">
        <v>45</v>
      </c>
      <c r="I2005" t="b">
        <v>0</v>
      </c>
      <c r="J2005" t="s">
        <v>1405</v>
      </c>
      <c r="K2005" t="s">
        <v>32</v>
      </c>
      <c r="Q2005" t="s">
        <v>947</v>
      </c>
      <c r="R2005" t="s">
        <v>947</v>
      </c>
      <c r="S2005">
        <v>10</v>
      </c>
    </row>
    <row r="2006" spans="1:19" x14ac:dyDescent="0.25">
      <c r="A2006" t="s">
        <v>901</v>
      </c>
      <c r="B2006" t="s">
        <v>947</v>
      </c>
      <c r="C2006">
        <v>2</v>
      </c>
      <c r="D2006" t="s">
        <v>407</v>
      </c>
      <c r="E2006" t="s">
        <v>1239</v>
      </c>
      <c r="F2006" t="s">
        <v>27</v>
      </c>
      <c r="G2006">
        <v>0</v>
      </c>
      <c r="H2006">
        <v>1</v>
      </c>
      <c r="I2006" t="b">
        <v>0</v>
      </c>
      <c r="J2006" t="s">
        <v>1407</v>
      </c>
      <c r="K2006" t="s">
        <v>32</v>
      </c>
      <c r="Q2006" t="s">
        <v>947</v>
      </c>
      <c r="R2006" t="s">
        <v>947</v>
      </c>
      <c r="S2006">
        <v>12</v>
      </c>
    </row>
    <row r="2007" spans="1:19" x14ac:dyDescent="0.25">
      <c r="A2007" t="s">
        <v>901</v>
      </c>
      <c r="B2007" t="s">
        <v>947</v>
      </c>
      <c r="C2007">
        <v>2</v>
      </c>
      <c r="D2007" t="s">
        <v>1408</v>
      </c>
      <c r="E2007" t="s">
        <v>1262</v>
      </c>
      <c r="F2007" t="s">
        <v>27</v>
      </c>
      <c r="G2007">
        <v>35</v>
      </c>
      <c r="H2007">
        <v>40</v>
      </c>
      <c r="I2007" t="b">
        <v>0</v>
      </c>
      <c r="J2007" t="s">
        <v>1409</v>
      </c>
      <c r="K2007" t="s">
        <v>32</v>
      </c>
      <c r="Q2007" t="s">
        <v>947</v>
      </c>
      <c r="R2007" t="s">
        <v>947</v>
      </c>
      <c r="S2007">
        <v>30</v>
      </c>
    </row>
    <row r="2008" spans="1:19" x14ac:dyDescent="0.25">
      <c r="A2008" t="s">
        <v>901</v>
      </c>
      <c r="B2008" t="s">
        <v>947</v>
      </c>
      <c r="C2008">
        <v>2</v>
      </c>
      <c r="D2008" t="s">
        <v>314</v>
      </c>
      <c r="E2008" t="s">
        <v>928</v>
      </c>
      <c r="F2008" t="s">
        <v>26</v>
      </c>
      <c r="G2008">
        <v>40</v>
      </c>
      <c r="H2008">
        <v>50</v>
      </c>
      <c r="I2008" t="b">
        <v>0</v>
      </c>
      <c r="J2008" t="s">
        <v>1235</v>
      </c>
      <c r="K2008" t="s">
        <v>32</v>
      </c>
      <c r="Q2008" t="s">
        <v>947</v>
      </c>
      <c r="R2008" t="s">
        <v>947</v>
      </c>
      <c r="S2008">
        <v>3</v>
      </c>
    </row>
    <row r="2009" spans="1:19" x14ac:dyDescent="0.25">
      <c r="A2009" t="s">
        <v>901</v>
      </c>
      <c r="B2009" t="s">
        <v>947</v>
      </c>
      <c r="C2009">
        <v>2</v>
      </c>
      <c r="D2009" t="s">
        <v>243</v>
      </c>
      <c r="E2009" t="s">
        <v>1262</v>
      </c>
      <c r="F2009" t="s">
        <v>27</v>
      </c>
      <c r="G2009">
        <v>35</v>
      </c>
      <c r="H2009">
        <v>40</v>
      </c>
      <c r="I2009" t="b">
        <v>0</v>
      </c>
      <c r="J2009" t="s">
        <v>1410</v>
      </c>
      <c r="K2009" t="s">
        <v>32</v>
      </c>
      <c r="Q2009" t="s">
        <v>947</v>
      </c>
      <c r="R2009" t="s">
        <v>947</v>
      </c>
      <c r="S2009">
        <v>31</v>
      </c>
    </row>
    <row r="2010" spans="1:19" x14ac:dyDescent="0.25">
      <c r="A2010" t="s">
        <v>901</v>
      </c>
      <c r="B2010" t="s">
        <v>947</v>
      </c>
      <c r="C2010">
        <v>3</v>
      </c>
      <c r="D2010" t="s">
        <v>903</v>
      </c>
      <c r="E2010" t="s">
        <v>924</v>
      </c>
      <c r="F2010" t="s">
        <v>25</v>
      </c>
      <c r="G2010">
        <v>1</v>
      </c>
      <c r="H2010">
        <v>4</v>
      </c>
      <c r="I2010" t="b">
        <v>1</v>
      </c>
      <c r="J2010" t="s">
        <v>1399</v>
      </c>
      <c r="K2010" t="s">
        <v>32</v>
      </c>
      <c r="Q2010" t="s">
        <v>947</v>
      </c>
      <c r="R2010" t="s">
        <v>947</v>
      </c>
      <c r="S2010">
        <v>8</v>
      </c>
    </row>
    <row r="2011" spans="1:19" x14ac:dyDescent="0.25">
      <c r="A2011" t="s">
        <v>901</v>
      </c>
      <c r="B2011" t="s">
        <v>947</v>
      </c>
      <c r="C2011">
        <v>3</v>
      </c>
      <c r="D2011" t="s">
        <v>906</v>
      </c>
      <c r="E2011" t="s">
        <v>989</v>
      </c>
      <c r="F2011" t="s">
        <v>25</v>
      </c>
      <c r="G2011">
        <v>4</v>
      </c>
      <c r="H2011">
        <v>7</v>
      </c>
      <c r="I2011" t="b">
        <v>1</v>
      </c>
      <c r="J2011" t="s">
        <v>1400</v>
      </c>
      <c r="K2011" t="s">
        <v>32</v>
      </c>
      <c r="Q2011" t="s">
        <v>947</v>
      </c>
      <c r="R2011" t="s">
        <v>947</v>
      </c>
      <c r="S2011">
        <v>17</v>
      </c>
    </row>
    <row r="2012" spans="1:19" x14ac:dyDescent="0.25">
      <c r="A2012" t="s">
        <v>901</v>
      </c>
      <c r="B2012" t="s">
        <v>947</v>
      </c>
      <c r="C2012">
        <v>3</v>
      </c>
      <c r="D2012" t="s">
        <v>908</v>
      </c>
      <c r="E2012" t="s">
        <v>956</v>
      </c>
      <c r="F2012" t="s">
        <v>25</v>
      </c>
      <c r="G2012">
        <v>5</v>
      </c>
      <c r="H2012">
        <v>8</v>
      </c>
      <c r="I2012" t="b">
        <v>1</v>
      </c>
      <c r="J2012" t="s">
        <v>1401</v>
      </c>
      <c r="K2012" t="s">
        <v>32</v>
      </c>
      <c r="Q2012" t="s">
        <v>947</v>
      </c>
      <c r="R2012" t="s">
        <v>947</v>
      </c>
      <c r="S2012">
        <v>15</v>
      </c>
    </row>
    <row r="2013" spans="1:19" x14ac:dyDescent="0.25">
      <c r="A2013" t="s">
        <v>901</v>
      </c>
      <c r="B2013" t="s">
        <v>947</v>
      </c>
      <c r="C2013">
        <v>3</v>
      </c>
      <c r="D2013" t="s">
        <v>921</v>
      </c>
      <c r="E2013" t="s">
        <v>932</v>
      </c>
      <c r="F2013" t="s">
        <v>25</v>
      </c>
      <c r="G2013">
        <v>25</v>
      </c>
      <c r="H2013">
        <v>30</v>
      </c>
      <c r="I2013" t="b">
        <v>1</v>
      </c>
      <c r="J2013" t="s">
        <v>1402</v>
      </c>
      <c r="K2013" t="s">
        <v>32</v>
      </c>
      <c r="Q2013" t="s">
        <v>947</v>
      </c>
      <c r="R2013" t="s">
        <v>947</v>
      </c>
      <c r="S2013">
        <v>5</v>
      </c>
    </row>
    <row r="2014" spans="1:19" x14ac:dyDescent="0.25">
      <c r="A2014" t="s">
        <v>901</v>
      </c>
      <c r="B2014" t="s">
        <v>947</v>
      </c>
      <c r="C2014">
        <v>3</v>
      </c>
      <c r="D2014" t="s">
        <v>909</v>
      </c>
      <c r="E2014" t="s">
        <v>962</v>
      </c>
      <c r="F2014" t="s">
        <v>24</v>
      </c>
      <c r="G2014">
        <v>0</v>
      </c>
      <c r="H2014">
        <v>2</v>
      </c>
      <c r="I2014" t="b">
        <v>1</v>
      </c>
      <c r="J2014" t="s">
        <v>1403</v>
      </c>
      <c r="K2014" t="s">
        <v>32</v>
      </c>
      <c r="Q2014" t="s">
        <v>947</v>
      </c>
      <c r="R2014" t="s">
        <v>947</v>
      </c>
      <c r="S2014">
        <v>18</v>
      </c>
    </row>
    <row r="2015" spans="1:19" x14ac:dyDescent="0.25">
      <c r="A2015" t="s">
        <v>901</v>
      </c>
      <c r="B2015" t="s">
        <v>947</v>
      </c>
      <c r="C2015">
        <v>3</v>
      </c>
      <c r="D2015" t="s">
        <v>11</v>
      </c>
      <c r="E2015" t="s">
        <v>995</v>
      </c>
      <c r="F2015" t="s">
        <v>25</v>
      </c>
      <c r="G2015">
        <v>40</v>
      </c>
      <c r="H2015">
        <v>45</v>
      </c>
      <c r="I2015" t="b">
        <v>1</v>
      </c>
      <c r="J2015" t="s">
        <v>0</v>
      </c>
      <c r="K2015" t="s">
        <v>32</v>
      </c>
      <c r="Q2015" t="s">
        <v>947</v>
      </c>
      <c r="R2015" t="s">
        <v>947</v>
      </c>
      <c r="S2015">
        <v>1</v>
      </c>
    </row>
    <row r="2016" spans="1:19" x14ac:dyDescent="0.25">
      <c r="A2016" t="s">
        <v>901</v>
      </c>
      <c r="B2016" t="s">
        <v>947</v>
      </c>
      <c r="C2016">
        <v>3</v>
      </c>
      <c r="D2016" t="s">
        <v>911</v>
      </c>
      <c r="E2016" t="s">
        <v>924</v>
      </c>
      <c r="F2016" t="s">
        <v>25</v>
      </c>
      <c r="G2016">
        <v>1</v>
      </c>
      <c r="H2016">
        <v>4</v>
      </c>
      <c r="I2016" t="b">
        <v>1</v>
      </c>
      <c r="J2016" t="s">
        <v>1404</v>
      </c>
      <c r="K2016" t="s">
        <v>32</v>
      </c>
      <c r="Q2016" t="s">
        <v>947</v>
      </c>
      <c r="R2016" t="s">
        <v>947</v>
      </c>
      <c r="S2016">
        <v>16</v>
      </c>
    </row>
    <row r="2017" spans="1:19" x14ac:dyDescent="0.25">
      <c r="A2017" t="s">
        <v>901</v>
      </c>
      <c r="B2017" t="s">
        <v>947</v>
      </c>
      <c r="C2017">
        <v>3</v>
      </c>
      <c r="D2017" t="s">
        <v>914</v>
      </c>
      <c r="E2017" t="s">
        <v>936</v>
      </c>
      <c r="F2017" t="s">
        <v>26</v>
      </c>
      <c r="G2017">
        <v>45</v>
      </c>
      <c r="H2017">
        <v>55</v>
      </c>
      <c r="I2017" t="b">
        <v>0</v>
      </c>
      <c r="J2017" t="s">
        <v>1405</v>
      </c>
      <c r="K2017" t="s">
        <v>32</v>
      </c>
      <c r="Q2017" t="s">
        <v>947</v>
      </c>
      <c r="R2017" t="s">
        <v>947</v>
      </c>
      <c r="S2017">
        <v>10</v>
      </c>
    </row>
    <row r="2018" spans="1:19" x14ac:dyDescent="0.25">
      <c r="A2018" t="s">
        <v>901</v>
      </c>
      <c r="B2018" t="s">
        <v>947</v>
      </c>
      <c r="C2018">
        <v>3</v>
      </c>
      <c r="D2018" t="s">
        <v>407</v>
      </c>
      <c r="E2018" t="s">
        <v>1420</v>
      </c>
      <c r="F2018" t="s">
        <v>26</v>
      </c>
      <c r="G2018">
        <v>1</v>
      </c>
      <c r="H2018">
        <v>7</v>
      </c>
      <c r="I2018" t="b">
        <v>0</v>
      </c>
      <c r="J2018" t="s">
        <v>1407</v>
      </c>
      <c r="K2018" t="s">
        <v>32</v>
      </c>
      <c r="Q2018" t="s">
        <v>947</v>
      </c>
      <c r="R2018" t="s">
        <v>947</v>
      </c>
      <c r="S2018">
        <v>12</v>
      </c>
    </row>
    <row r="2019" spans="1:19" x14ac:dyDescent="0.25">
      <c r="A2019" t="s">
        <v>901</v>
      </c>
      <c r="B2019" t="s">
        <v>947</v>
      </c>
      <c r="C2019">
        <v>3</v>
      </c>
      <c r="D2019" t="s">
        <v>1408</v>
      </c>
      <c r="E2019" t="s">
        <v>928</v>
      </c>
      <c r="F2019" t="s">
        <v>26</v>
      </c>
      <c r="G2019">
        <v>40</v>
      </c>
      <c r="H2019">
        <v>50</v>
      </c>
      <c r="I2019" t="b">
        <v>0</v>
      </c>
      <c r="J2019" t="s">
        <v>1409</v>
      </c>
      <c r="K2019" t="s">
        <v>32</v>
      </c>
      <c r="Q2019" t="s">
        <v>947</v>
      </c>
      <c r="R2019" t="s">
        <v>947</v>
      </c>
      <c r="S2019">
        <v>30</v>
      </c>
    </row>
    <row r="2020" spans="1:19" x14ac:dyDescent="0.25">
      <c r="A2020" t="s">
        <v>901</v>
      </c>
      <c r="B2020" t="s">
        <v>947</v>
      </c>
      <c r="C2020">
        <v>3</v>
      </c>
      <c r="D2020" t="s">
        <v>314</v>
      </c>
      <c r="E2020" t="s">
        <v>918</v>
      </c>
      <c r="F2020" t="s">
        <v>26</v>
      </c>
      <c r="G2020">
        <v>50</v>
      </c>
      <c r="H2020">
        <v>60</v>
      </c>
      <c r="I2020" t="b">
        <v>0</v>
      </c>
      <c r="J2020" t="s">
        <v>1235</v>
      </c>
      <c r="K2020" t="s">
        <v>32</v>
      </c>
      <c r="Q2020" t="s">
        <v>947</v>
      </c>
      <c r="R2020" t="s">
        <v>947</v>
      </c>
      <c r="S2020">
        <v>3</v>
      </c>
    </row>
    <row r="2021" spans="1:19" x14ac:dyDescent="0.25">
      <c r="A2021" t="s">
        <v>901</v>
      </c>
      <c r="B2021" t="s">
        <v>947</v>
      </c>
      <c r="C2021">
        <v>3</v>
      </c>
      <c r="D2021" t="s">
        <v>243</v>
      </c>
      <c r="E2021" t="s">
        <v>936</v>
      </c>
      <c r="F2021" t="s">
        <v>26</v>
      </c>
      <c r="G2021">
        <v>45</v>
      </c>
      <c r="H2021">
        <v>55</v>
      </c>
      <c r="I2021" t="b">
        <v>0</v>
      </c>
      <c r="J2021" t="s">
        <v>1410</v>
      </c>
      <c r="K2021" t="s">
        <v>32</v>
      </c>
      <c r="Q2021" t="s">
        <v>947</v>
      </c>
      <c r="R2021" t="s">
        <v>947</v>
      </c>
      <c r="S2021">
        <v>31</v>
      </c>
    </row>
    <row r="2022" spans="1:19" x14ac:dyDescent="0.25">
      <c r="A2022" t="s">
        <v>901</v>
      </c>
      <c r="B2022" t="s">
        <v>947</v>
      </c>
      <c r="C2022">
        <v>4</v>
      </c>
      <c r="D2022" t="s">
        <v>903</v>
      </c>
      <c r="E2022" t="s">
        <v>725</v>
      </c>
      <c r="F2022" t="s">
        <v>25</v>
      </c>
      <c r="G2022">
        <v>0</v>
      </c>
      <c r="H2022">
        <v>1</v>
      </c>
      <c r="I2022" t="b">
        <v>1</v>
      </c>
      <c r="J2022" t="s">
        <v>1399</v>
      </c>
      <c r="K2022" t="s">
        <v>32</v>
      </c>
      <c r="L2022" t="s">
        <v>716</v>
      </c>
      <c r="M2022" t="s">
        <v>1413</v>
      </c>
      <c r="Q2022" t="s">
        <v>947</v>
      </c>
      <c r="R2022" t="s">
        <v>947</v>
      </c>
      <c r="S2022">
        <v>8</v>
      </c>
    </row>
    <row r="2023" spans="1:19" x14ac:dyDescent="0.25">
      <c r="A2023" t="s">
        <v>901</v>
      </c>
      <c r="B2023" t="s">
        <v>947</v>
      </c>
      <c r="C2023">
        <v>4</v>
      </c>
      <c r="D2023" t="s">
        <v>908</v>
      </c>
      <c r="E2023" t="s">
        <v>912</v>
      </c>
      <c r="F2023" t="s">
        <v>25</v>
      </c>
      <c r="G2023">
        <v>2</v>
      </c>
      <c r="H2023">
        <v>5</v>
      </c>
      <c r="I2023" t="b">
        <v>1</v>
      </c>
      <c r="J2023" t="s">
        <v>1401</v>
      </c>
      <c r="K2023" t="s">
        <v>32</v>
      </c>
      <c r="Q2023" t="s">
        <v>947</v>
      </c>
      <c r="R2023" t="s">
        <v>947</v>
      </c>
      <c r="S2023">
        <v>15</v>
      </c>
    </row>
    <row r="2024" spans="1:19" x14ac:dyDescent="0.25">
      <c r="A2024" t="s">
        <v>901</v>
      </c>
      <c r="B2024" t="s">
        <v>947</v>
      </c>
      <c r="C2024">
        <v>4</v>
      </c>
      <c r="D2024" t="s">
        <v>921</v>
      </c>
      <c r="E2024" t="s">
        <v>954</v>
      </c>
      <c r="F2024" t="s">
        <v>25</v>
      </c>
      <c r="G2024">
        <v>20</v>
      </c>
      <c r="H2024">
        <v>25</v>
      </c>
      <c r="I2024" t="b">
        <v>1</v>
      </c>
      <c r="J2024" t="s">
        <v>1402</v>
      </c>
      <c r="K2024" t="s">
        <v>32</v>
      </c>
      <c r="L2024" t="s">
        <v>716</v>
      </c>
      <c r="M2024" t="s">
        <v>1413</v>
      </c>
      <c r="Q2024" t="s">
        <v>947</v>
      </c>
      <c r="R2024" t="s">
        <v>947</v>
      </c>
      <c r="S2024">
        <v>5</v>
      </c>
    </row>
    <row r="2025" spans="1:19" x14ac:dyDescent="0.25">
      <c r="A2025" t="s">
        <v>901</v>
      </c>
      <c r="B2025" t="s">
        <v>947</v>
      </c>
      <c r="C2025">
        <v>4</v>
      </c>
      <c r="D2025" t="s">
        <v>11</v>
      </c>
      <c r="E2025" t="s">
        <v>925</v>
      </c>
      <c r="F2025" t="s">
        <v>24</v>
      </c>
      <c r="G2025">
        <v>30</v>
      </c>
      <c r="H2025">
        <v>40</v>
      </c>
      <c r="I2025" t="b">
        <v>1</v>
      </c>
      <c r="J2025" t="s">
        <v>0</v>
      </c>
      <c r="K2025" t="s">
        <v>32</v>
      </c>
      <c r="Q2025" t="s">
        <v>947</v>
      </c>
      <c r="R2025" t="s">
        <v>947</v>
      </c>
      <c r="S2025">
        <v>1</v>
      </c>
    </row>
    <row r="2026" spans="1:19" x14ac:dyDescent="0.25">
      <c r="A2026" t="s">
        <v>901</v>
      </c>
      <c r="B2026" t="s">
        <v>947</v>
      </c>
      <c r="C2026">
        <v>4</v>
      </c>
      <c r="D2026" t="s">
        <v>914</v>
      </c>
      <c r="E2026" t="s">
        <v>935</v>
      </c>
      <c r="F2026" t="s">
        <v>26</v>
      </c>
      <c r="G2026">
        <v>55</v>
      </c>
      <c r="H2026">
        <v>65</v>
      </c>
      <c r="I2026" t="b">
        <v>0</v>
      </c>
      <c r="J2026" t="s">
        <v>1405</v>
      </c>
      <c r="K2026" t="s">
        <v>32</v>
      </c>
      <c r="Q2026" t="s">
        <v>947</v>
      </c>
      <c r="R2026" t="s">
        <v>947</v>
      </c>
      <c r="S2026">
        <v>10</v>
      </c>
    </row>
    <row r="2027" spans="1:19" x14ac:dyDescent="0.25">
      <c r="A2027" t="s">
        <v>901</v>
      </c>
      <c r="B2027" t="s">
        <v>947</v>
      </c>
      <c r="C2027">
        <v>4</v>
      </c>
      <c r="D2027" t="s">
        <v>407</v>
      </c>
      <c r="E2027" t="s">
        <v>1421</v>
      </c>
      <c r="F2027" t="s">
        <v>26</v>
      </c>
      <c r="G2027">
        <v>7</v>
      </c>
      <c r="H2027">
        <v>17</v>
      </c>
      <c r="I2027" t="b">
        <v>0</v>
      </c>
      <c r="J2027" t="s">
        <v>1407</v>
      </c>
      <c r="K2027" t="s">
        <v>32</v>
      </c>
      <c r="Q2027" t="s">
        <v>947</v>
      </c>
      <c r="R2027" t="s">
        <v>947</v>
      </c>
      <c r="S2027">
        <v>12</v>
      </c>
    </row>
    <row r="2028" spans="1:19" x14ac:dyDescent="0.25">
      <c r="A2028" t="s">
        <v>901</v>
      </c>
      <c r="B2028" t="s">
        <v>947</v>
      </c>
      <c r="C2028">
        <v>4</v>
      </c>
      <c r="D2028" t="s">
        <v>1408</v>
      </c>
      <c r="E2028" t="s">
        <v>918</v>
      </c>
      <c r="F2028" t="s">
        <v>26</v>
      </c>
      <c r="G2028">
        <v>50</v>
      </c>
      <c r="H2028">
        <v>60</v>
      </c>
      <c r="I2028" t="b">
        <v>0</v>
      </c>
      <c r="J2028" t="s">
        <v>1409</v>
      </c>
      <c r="K2028" t="s">
        <v>32</v>
      </c>
      <c r="L2028" t="s">
        <v>716</v>
      </c>
      <c r="M2028" t="s">
        <v>1413</v>
      </c>
      <c r="Q2028" t="s">
        <v>947</v>
      </c>
      <c r="R2028" t="s">
        <v>947</v>
      </c>
      <c r="S2028">
        <v>30</v>
      </c>
    </row>
    <row r="2029" spans="1:19" x14ac:dyDescent="0.25">
      <c r="A2029" t="s">
        <v>901</v>
      </c>
      <c r="B2029" t="s">
        <v>947</v>
      </c>
      <c r="C2029">
        <v>4</v>
      </c>
      <c r="D2029" t="s">
        <v>314</v>
      </c>
      <c r="E2029" t="s">
        <v>931</v>
      </c>
      <c r="F2029" t="s">
        <v>26</v>
      </c>
      <c r="G2029">
        <v>65</v>
      </c>
      <c r="H2029">
        <v>75</v>
      </c>
      <c r="I2029" t="b">
        <v>0</v>
      </c>
      <c r="J2029" t="s">
        <v>1235</v>
      </c>
      <c r="K2029" t="s">
        <v>32</v>
      </c>
      <c r="L2029" t="s">
        <v>716</v>
      </c>
      <c r="M2029" t="s">
        <v>1413</v>
      </c>
      <c r="Q2029" t="s">
        <v>947</v>
      </c>
      <c r="R2029" t="s">
        <v>947</v>
      </c>
      <c r="S2029">
        <v>3</v>
      </c>
    </row>
    <row r="2030" spans="1:19" x14ac:dyDescent="0.25">
      <c r="A2030" t="s">
        <v>901</v>
      </c>
      <c r="B2030" t="s">
        <v>947</v>
      </c>
      <c r="C2030">
        <v>4</v>
      </c>
      <c r="D2030" t="s">
        <v>243</v>
      </c>
      <c r="E2030" t="s">
        <v>931</v>
      </c>
      <c r="F2030" t="s">
        <v>26</v>
      </c>
      <c r="G2030">
        <v>65</v>
      </c>
      <c r="H2030">
        <v>75</v>
      </c>
      <c r="I2030" t="b">
        <v>0</v>
      </c>
      <c r="J2030" t="s">
        <v>1410</v>
      </c>
      <c r="K2030" t="s">
        <v>32</v>
      </c>
      <c r="L2030" t="s">
        <v>716</v>
      </c>
      <c r="M2030" t="s">
        <v>1413</v>
      </c>
      <c r="Q2030" t="s">
        <v>947</v>
      </c>
      <c r="R2030" t="s">
        <v>947</v>
      </c>
      <c r="S2030">
        <v>31</v>
      </c>
    </row>
    <row r="2031" spans="1:19" x14ac:dyDescent="0.25">
      <c r="A2031" t="s">
        <v>901</v>
      </c>
      <c r="B2031" t="s">
        <v>947</v>
      </c>
      <c r="C2031">
        <v>5</v>
      </c>
      <c r="D2031" t="s">
        <v>11</v>
      </c>
      <c r="E2031" t="s">
        <v>1230</v>
      </c>
      <c r="F2031" t="s">
        <v>24</v>
      </c>
      <c r="G2031">
        <v>18</v>
      </c>
      <c r="H2031">
        <v>28</v>
      </c>
      <c r="I2031" t="b">
        <v>1</v>
      </c>
      <c r="J2031" t="s">
        <v>0</v>
      </c>
      <c r="K2031" t="s">
        <v>32</v>
      </c>
      <c r="Q2031" t="s">
        <v>947</v>
      </c>
      <c r="R2031" t="s">
        <v>947</v>
      </c>
      <c r="S2031">
        <v>1</v>
      </c>
    </row>
    <row r="2032" spans="1:19" x14ac:dyDescent="0.25">
      <c r="A2032" t="s">
        <v>901</v>
      </c>
      <c r="B2032" t="s">
        <v>947</v>
      </c>
      <c r="C2032">
        <v>5</v>
      </c>
      <c r="D2032" t="s">
        <v>407</v>
      </c>
      <c r="E2032" t="s">
        <v>965</v>
      </c>
      <c r="F2032" t="s">
        <v>26</v>
      </c>
      <c r="G2032">
        <v>10</v>
      </c>
      <c r="H2032">
        <v>20</v>
      </c>
      <c r="I2032" t="b">
        <v>0</v>
      </c>
      <c r="J2032" t="s">
        <v>1407</v>
      </c>
      <c r="K2032" t="s">
        <v>32</v>
      </c>
      <c r="L2032" t="s">
        <v>716</v>
      </c>
      <c r="M2032" t="s">
        <v>1413</v>
      </c>
      <c r="Q2032" t="s">
        <v>947</v>
      </c>
      <c r="R2032" t="s">
        <v>947</v>
      </c>
      <c r="S2032">
        <v>12</v>
      </c>
    </row>
    <row r="2033" spans="1:19" x14ac:dyDescent="0.25">
      <c r="A2033" t="s">
        <v>901</v>
      </c>
      <c r="B2033" t="s">
        <v>947</v>
      </c>
      <c r="C2033">
        <v>5</v>
      </c>
      <c r="D2033" t="s">
        <v>1408</v>
      </c>
      <c r="E2033" t="s">
        <v>931</v>
      </c>
      <c r="F2033" t="s">
        <v>26</v>
      </c>
      <c r="G2033">
        <v>65</v>
      </c>
      <c r="H2033">
        <v>75</v>
      </c>
      <c r="I2033" t="b">
        <v>0</v>
      </c>
      <c r="J2033" t="s">
        <v>1409</v>
      </c>
      <c r="K2033" t="s">
        <v>32</v>
      </c>
      <c r="L2033" t="s">
        <v>716</v>
      </c>
      <c r="M2033" t="s">
        <v>1413</v>
      </c>
      <c r="Q2033" t="s">
        <v>947</v>
      </c>
      <c r="R2033" t="s">
        <v>947</v>
      </c>
      <c r="S2033">
        <v>30</v>
      </c>
    </row>
    <row r="2034" spans="1:19" x14ac:dyDescent="0.25">
      <c r="A2034" t="s">
        <v>901</v>
      </c>
      <c r="B2034" t="s">
        <v>947</v>
      </c>
      <c r="C2034">
        <v>5</v>
      </c>
      <c r="D2034" t="s">
        <v>243</v>
      </c>
      <c r="E2034" t="s">
        <v>945</v>
      </c>
      <c r="F2034" t="s">
        <v>26</v>
      </c>
      <c r="G2034">
        <v>75</v>
      </c>
      <c r="H2034">
        <v>85</v>
      </c>
      <c r="I2034" t="b">
        <v>0</v>
      </c>
      <c r="J2034" t="s">
        <v>1410</v>
      </c>
      <c r="K2034" t="s">
        <v>32</v>
      </c>
      <c r="L2034" t="s">
        <v>716</v>
      </c>
      <c r="M2034" t="s">
        <v>1413</v>
      </c>
      <c r="Q2034" t="s">
        <v>947</v>
      </c>
      <c r="R2034" t="s">
        <v>947</v>
      </c>
      <c r="S2034">
        <v>31</v>
      </c>
    </row>
    <row r="2035" spans="1:19" x14ac:dyDescent="0.25">
      <c r="A2035" t="s">
        <v>901</v>
      </c>
      <c r="B2035" t="s">
        <v>941</v>
      </c>
      <c r="C2035">
        <v>2</v>
      </c>
      <c r="D2035" t="s">
        <v>903</v>
      </c>
      <c r="E2035" t="s">
        <v>989</v>
      </c>
      <c r="F2035" t="s">
        <v>25</v>
      </c>
      <c r="G2035">
        <v>4</v>
      </c>
      <c r="H2035">
        <v>7</v>
      </c>
      <c r="I2035" t="b">
        <v>1</v>
      </c>
      <c r="J2035" t="s">
        <v>1399</v>
      </c>
      <c r="K2035" t="s">
        <v>32</v>
      </c>
      <c r="Q2035" t="s">
        <v>941</v>
      </c>
      <c r="R2035" t="s">
        <v>941</v>
      </c>
      <c r="S2035">
        <v>8</v>
      </c>
    </row>
    <row r="2036" spans="1:19" x14ac:dyDescent="0.25">
      <c r="A2036" t="s">
        <v>901</v>
      </c>
      <c r="B2036" t="s">
        <v>941</v>
      </c>
      <c r="C2036">
        <v>2</v>
      </c>
      <c r="D2036" t="s">
        <v>1331</v>
      </c>
      <c r="E2036" t="s">
        <v>966</v>
      </c>
      <c r="F2036" t="s">
        <v>25</v>
      </c>
      <c r="G2036">
        <v>30</v>
      </c>
      <c r="H2036">
        <v>35</v>
      </c>
      <c r="I2036" t="b">
        <v>1</v>
      </c>
      <c r="J2036" t="s">
        <v>1332</v>
      </c>
      <c r="K2036" t="s">
        <v>32</v>
      </c>
      <c r="Q2036" t="s">
        <v>941</v>
      </c>
      <c r="R2036" t="s">
        <v>941</v>
      </c>
      <c r="S2036">
        <v>19</v>
      </c>
    </row>
    <row r="2037" spans="1:19" x14ac:dyDescent="0.25">
      <c r="A2037" t="s">
        <v>901</v>
      </c>
      <c r="B2037" t="s">
        <v>941</v>
      </c>
      <c r="C2037">
        <v>2</v>
      </c>
      <c r="D2037" t="s">
        <v>906</v>
      </c>
      <c r="E2037" t="s">
        <v>942</v>
      </c>
      <c r="F2037" t="s">
        <v>25</v>
      </c>
      <c r="G2037">
        <v>3</v>
      </c>
      <c r="H2037">
        <v>8</v>
      </c>
      <c r="I2037" t="b">
        <v>1</v>
      </c>
      <c r="J2037" t="s">
        <v>1400</v>
      </c>
      <c r="K2037" t="s">
        <v>32</v>
      </c>
      <c r="Q2037" t="s">
        <v>941</v>
      </c>
      <c r="R2037" t="s">
        <v>941</v>
      </c>
      <c r="S2037">
        <v>17</v>
      </c>
    </row>
    <row r="2038" spans="1:19" x14ac:dyDescent="0.25">
      <c r="A2038" t="s">
        <v>901</v>
      </c>
      <c r="B2038" t="s">
        <v>941</v>
      </c>
      <c r="C2038">
        <v>2</v>
      </c>
      <c r="D2038" t="s">
        <v>908</v>
      </c>
      <c r="E2038" t="s">
        <v>1090</v>
      </c>
      <c r="F2038" t="s">
        <v>25</v>
      </c>
      <c r="G2038">
        <v>10</v>
      </c>
      <c r="H2038">
        <v>13</v>
      </c>
      <c r="I2038" t="b">
        <v>1</v>
      </c>
      <c r="J2038" t="s">
        <v>1401</v>
      </c>
      <c r="K2038" t="s">
        <v>32</v>
      </c>
      <c r="Q2038" t="s">
        <v>941</v>
      </c>
      <c r="R2038" t="s">
        <v>941</v>
      </c>
      <c r="S2038">
        <v>15</v>
      </c>
    </row>
    <row r="2039" spans="1:19" x14ac:dyDescent="0.25">
      <c r="A2039" t="s">
        <v>901</v>
      </c>
      <c r="B2039" t="s">
        <v>941</v>
      </c>
      <c r="C2039">
        <v>2</v>
      </c>
      <c r="D2039" t="s">
        <v>921</v>
      </c>
      <c r="E2039" t="s">
        <v>1314</v>
      </c>
      <c r="F2039" t="s">
        <v>25</v>
      </c>
      <c r="G2039">
        <v>23</v>
      </c>
      <c r="H2039">
        <v>30</v>
      </c>
      <c r="I2039" t="b">
        <v>1</v>
      </c>
      <c r="J2039" t="s">
        <v>1402</v>
      </c>
      <c r="K2039" t="s">
        <v>32</v>
      </c>
      <c r="Q2039" t="s">
        <v>941</v>
      </c>
      <c r="R2039" t="s">
        <v>941</v>
      </c>
      <c r="S2039">
        <v>5</v>
      </c>
    </row>
    <row r="2040" spans="1:19" x14ac:dyDescent="0.25">
      <c r="A2040" t="s">
        <v>901</v>
      </c>
      <c r="B2040" t="s">
        <v>941</v>
      </c>
      <c r="C2040">
        <v>2</v>
      </c>
      <c r="D2040" t="s">
        <v>909</v>
      </c>
      <c r="E2040" t="s">
        <v>912</v>
      </c>
      <c r="F2040" t="s">
        <v>25</v>
      </c>
      <c r="G2040">
        <v>2</v>
      </c>
      <c r="H2040">
        <v>5</v>
      </c>
      <c r="I2040" t="b">
        <v>1</v>
      </c>
      <c r="J2040" t="s">
        <v>1403</v>
      </c>
      <c r="K2040" t="s">
        <v>32</v>
      </c>
      <c r="Q2040" t="s">
        <v>941</v>
      </c>
      <c r="R2040" t="s">
        <v>941</v>
      </c>
      <c r="S2040">
        <v>18</v>
      </c>
    </row>
    <row r="2041" spans="1:19" x14ac:dyDescent="0.25">
      <c r="A2041" t="s">
        <v>901</v>
      </c>
      <c r="B2041" t="s">
        <v>941</v>
      </c>
      <c r="C2041">
        <v>2</v>
      </c>
      <c r="D2041" t="s">
        <v>11</v>
      </c>
      <c r="E2041" t="s">
        <v>995</v>
      </c>
      <c r="F2041" t="s">
        <v>25</v>
      </c>
      <c r="G2041">
        <v>40</v>
      </c>
      <c r="H2041">
        <v>45</v>
      </c>
      <c r="I2041" t="b">
        <v>1</v>
      </c>
      <c r="J2041" t="s">
        <v>0</v>
      </c>
      <c r="K2041" t="s">
        <v>32</v>
      </c>
      <c r="Q2041" t="s">
        <v>941</v>
      </c>
      <c r="R2041" t="s">
        <v>941</v>
      </c>
      <c r="S2041">
        <v>1</v>
      </c>
    </row>
    <row r="2042" spans="1:19" x14ac:dyDescent="0.25">
      <c r="A2042" t="s">
        <v>901</v>
      </c>
      <c r="B2042" t="s">
        <v>941</v>
      </c>
      <c r="C2042">
        <v>2</v>
      </c>
      <c r="D2042" t="s">
        <v>911</v>
      </c>
      <c r="E2042" t="s">
        <v>924</v>
      </c>
      <c r="F2042" t="s">
        <v>25</v>
      </c>
      <c r="G2042">
        <v>1</v>
      </c>
      <c r="H2042">
        <v>4</v>
      </c>
      <c r="I2042" t="b">
        <v>1</v>
      </c>
      <c r="J2042" t="s">
        <v>1404</v>
      </c>
      <c r="K2042" t="s">
        <v>32</v>
      </c>
      <c r="Q2042" t="s">
        <v>941</v>
      </c>
      <c r="R2042" t="s">
        <v>941</v>
      </c>
      <c r="S2042">
        <v>16</v>
      </c>
    </row>
    <row r="2043" spans="1:19" x14ac:dyDescent="0.25">
      <c r="A2043" t="s">
        <v>901</v>
      </c>
      <c r="B2043" t="s">
        <v>941</v>
      </c>
      <c r="C2043">
        <v>2</v>
      </c>
      <c r="D2043" t="s">
        <v>914</v>
      </c>
      <c r="E2043" t="s">
        <v>915</v>
      </c>
      <c r="F2043" t="s">
        <v>26</v>
      </c>
      <c r="G2043">
        <v>30</v>
      </c>
      <c r="H2043">
        <v>40</v>
      </c>
      <c r="I2043" t="b">
        <v>0</v>
      </c>
      <c r="J2043" t="s">
        <v>1405</v>
      </c>
      <c r="K2043" t="s">
        <v>32</v>
      </c>
      <c r="Q2043" t="s">
        <v>941</v>
      </c>
      <c r="R2043" t="s">
        <v>941</v>
      </c>
      <c r="S2043">
        <v>10</v>
      </c>
    </row>
    <row r="2044" spans="1:19" x14ac:dyDescent="0.25">
      <c r="A2044" t="s">
        <v>901</v>
      </c>
      <c r="B2044" t="s">
        <v>941</v>
      </c>
      <c r="C2044">
        <v>2</v>
      </c>
      <c r="D2044" t="s">
        <v>407</v>
      </c>
      <c r="E2044" t="s">
        <v>1406</v>
      </c>
      <c r="F2044" t="s">
        <v>27</v>
      </c>
      <c r="G2044">
        <v>0</v>
      </c>
      <c r="H2044">
        <v>0.1</v>
      </c>
      <c r="I2044" t="b">
        <v>0</v>
      </c>
      <c r="J2044" t="s">
        <v>1407</v>
      </c>
      <c r="K2044" t="s">
        <v>32</v>
      </c>
      <c r="Q2044" t="s">
        <v>941</v>
      </c>
      <c r="R2044" t="s">
        <v>941</v>
      </c>
      <c r="S2044">
        <v>12</v>
      </c>
    </row>
    <row r="2045" spans="1:19" x14ac:dyDescent="0.25">
      <c r="A2045" t="s">
        <v>901</v>
      </c>
      <c r="B2045" t="s">
        <v>941</v>
      </c>
      <c r="C2045">
        <v>2</v>
      </c>
      <c r="D2045" t="s">
        <v>1408</v>
      </c>
      <c r="E2045" t="s">
        <v>968</v>
      </c>
      <c r="F2045" t="s">
        <v>27</v>
      </c>
      <c r="G2045">
        <v>40</v>
      </c>
      <c r="H2045">
        <v>45</v>
      </c>
      <c r="I2045" t="b">
        <v>0</v>
      </c>
      <c r="J2045" t="s">
        <v>1409</v>
      </c>
      <c r="K2045" t="s">
        <v>32</v>
      </c>
      <c r="Q2045" t="s">
        <v>941</v>
      </c>
      <c r="R2045" t="s">
        <v>941</v>
      </c>
      <c r="S2045">
        <v>30</v>
      </c>
    </row>
    <row r="2046" spans="1:19" x14ac:dyDescent="0.25">
      <c r="A2046" t="s">
        <v>901</v>
      </c>
      <c r="B2046" t="s">
        <v>941</v>
      </c>
      <c r="C2046">
        <v>2</v>
      </c>
      <c r="D2046" t="s">
        <v>314</v>
      </c>
      <c r="E2046" t="s">
        <v>936</v>
      </c>
      <c r="F2046" t="s">
        <v>26</v>
      </c>
      <c r="G2046">
        <v>45</v>
      </c>
      <c r="H2046">
        <v>55</v>
      </c>
      <c r="I2046" t="b">
        <v>0</v>
      </c>
      <c r="J2046" t="s">
        <v>1235</v>
      </c>
      <c r="K2046" t="s">
        <v>32</v>
      </c>
      <c r="Q2046" t="s">
        <v>941</v>
      </c>
      <c r="R2046" t="s">
        <v>941</v>
      </c>
      <c r="S2046">
        <v>3</v>
      </c>
    </row>
    <row r="2047" spans="1:19" x14ac:dyDescent="0.25">
      <c r="A2047" t="s">
        <v>901</v>
      </c>
      <c r="B2047" t="s">
        <v>941</v>
      </c>
      <c r="C2047">
        <v>2</v>
      </c>
      <c r="D2047" t="s">
        <v>243</v>
      </c>
      <c r="E2047" t="s">
        <v>936</v>
      </c>
      <c r="F2047" t="s">
        <v>26</v>
      </c>
      <c r="G2047">
        <v>45</v>
      </c>
      <c r="H2047">
        <v>55</v>
      </c>
      <c r="I2047" t="b">
        <v>0</v>
      </c>
      <c r="J2047" t="s">
        <v>1410</v>
      </c>
      <c r="K2047" t="s">
        <v>32</v>
      </c>
      <c r="Q2047" t="s">
        <v>941</v>
      </c>
      <c r="R2047" t="s">
        <v>941</v>
      </c>
      <c r="S2047">
        <v>31</v>
      </c>
    </row>
    <row r="2048" spans="1:19" x14ac:dyDescent="0.25">
      <c r="A2048" t="s">
        <v>901</v>
      </c>
      <c r="B2048" t="s">
        <v>941</v>
      </c>
      <c r="C2048">
        <v>3</v>
      </c>
      <c r="D2048" t="s">
        <v>903</v>
      </c>
      <c r="E2048" t="s">
        <v>924</v>
      </c>
      <c r="F2048" t="s">
        <v>25</v>
      </c>
      <c r="G2048">
        <v>1</v>
      </c>
      <c r="H2048">
        <v>4</v>
      </c>
      <c r="I2048" t="b">
        <v>1</v>
      </c>
      <c r="J2048" t="s">
        <v>1399</v>
      </c>
      <c r="K2048" t="s">
        <v>32</v>
      </c>
      <c r="Q2048" t="s">
        <v>941</v>
      </c>
      <c r="R2048" t="s">
        <v>941</v>
      </c>
      <c r="S2048">
        <v>8</v>
      </c>
    </row>
    <row r="2049" spans="1:19" x14ac:dyDescent="0.25">
      <c r="A2049" t="s">
        <v>901</v>
      </c>
      <c r="B2049" t="s">
        <v>941</v>
      </c>
      <c r="C2049">
        <v>3</v>
      </c>
      <c r="D2049" t="s">
        <v>1331</v>
      </c>
      <c r="E2049" t="s">
        <v>922</v>
      </c>
      <c r="F2049" t="s">
        <v>24</v>
      </c>
      <c r="G2049">
        <v>20</v>
      </c>
      <c r="H2049">
        <v>30</v>
      </c>
      <c r="I2049" t="b">
        <v>1</v>
      </c>
      <c r="J2049" t="s">
        <v>1332</v>
      </c>
      <c r="K2049" t="s">
        <v>32</v>
      </c>
      <c r="Q2049" t="s">
        <v>941</v>
      </c>
      <c r="R2049" t="s">
        <v>941</v>
      </c>
      <c r="S2049">
        <v>19</v>
      </c>
    </row>
    <row r="2050" spans="1:19" x14ac:dyDescent="0.25">
      <c r="A2050" t="s">
        <v>901</v>
      </c>
      <c r="B2050" t="s">
        <v>941</v>
      </c>
      <c r="C2050">
        <v>3</v>
      </c>
      <c r="D2050" t="s">
        <v>906</v>
      </c>
      <c r="E2050" t="s">
        <v>923</v>
      </c>
      <c r="F2050" t="s">
        <v>25</v>
      </c>
      <c r="G2050">
        <v>0</v>
      </c>
      <c r="H2050">
        <v>3</v>
      </c>
      <c r="I2050" t="b">
        <v>1</v>
      </c>
      <c r="J2050" t="s">
        <v>1400</v>
      </c>
      <c r="K2050" t="s">
        <v>32</v>
      </c>
      <c r="Q2050" t="s">
        <v>941</v>
      </c>
      <c r="R2050" t="s">
        <v>941</v>
      </c>
      <c r="S2050">
        <v>17</v>
      </c>
    </row>
    <row r="2051" spans="1:19" x14ac:dyDescent="0.25">
      <c r="A2051" t="s">
        <v>901</v>
      </c>
      <c r="B2051" t="s">
        <v>941</v>
      </c>
      <c r="C2051">
        <v>3</v>
      </c>
      <c r="D2051" t="s">
        <v>908</v>
      </c>
      <c r="E2051" t="s">
        <v>948</v>
      </c>
      <c r="F2051" t="s">
        <v>25</v>
      </c>
      <c r="G2051">
        <v>5</v>
      </c>
      <c r="H2051">
        <v>10</v>
      </c>
      <c r="I2051" t="b">
        <v>1</v>
      </c>
      <c r="J2051" t="s">
        <v>1401</v>
      </c>
      <c r="K2051" t="s">
        <v>32</v>
      </c>
      <c r="Q2051" t="s">
        <v>941</v>
      </c>
      <c r="R2051" t="s">
        <v>941</v>
      </c>
      <c r="S2051">
        <v>15</v>
      </c>
    </row>
    <row r="2052" spans="1:19" x14ac:dyDescent="0.25">
      <c r="A2052" t="s">
        <v>901</v>
      </c>
      <c r="B2052" t="s">
        <v>941</v>
      </c>
      <c r="C2052">
        <v>3</v>
      </c>
      <c r="D2052" t="s">
        <v>921</v>
      </c>
      <c r="E2052" t="s">
        <v>1344</v>
      </c>
      <c r="F2052" t="s">
        <v>25</v>
      </c>
      <c r="G2052">
        <v>16</v>
      </c>
      <c r="H2052">
        <v>23</v>
      </c>
      <c r="I2052" t="b">
        <v>1</v>
      </c>
      <c r="J2052" t="s">
        <v>1402</v>
      </c>
      <c r="K2052" t="s">
        <v>32</v>
      </c>
      <c r="Q2052" t="s">
        <v>941</v>
      </c>
      <c r="R2052" t="s">
        <v>941</v>
      </c>
      <c r="S2052">
        <v>5</v>
      </c>
    </row>
    <row r="2053" spans="1:19" x14ac:dyDescent="0.25">
      <c r="A2053" t="s">
        <v>901</v>
      </c>
      <c r="B2053" t="s">
        <v>941</v>
      </c>
      <c r="C2053">
        <v>3</v>
      </c>
      <c r="D2053" t="s">
        <v>909</v>
      </c>
      <c r="E2053" t="s">
        <v>962</v>
      </c>
      <c r="F2053" t="s">
        <v>24</v>
      </c>
      <c r="G2053">
        <v>0</v>
      </c>
      <c r="H2053">
        <v>2</v>
      </c>
      <c r="I2053" t="b">
        <v>1</v>
      </c>
      <c r="J2053" t="s">
        <v>1403</v>
      </c>
      <c r="K2053" t="s">
        <v>32</v>
      </c>
      <c r="Q2053" t="s">
        <v>941</v>
      </c>
      <c r="R2053" t="s">
        <v>941</v>
      </c>
      <c r="S2053">
        <v>18</v>
      </c>
    </row>
    <row r="2054" spans="1:19" x14ac:dyDescent="0.25">
      <c r="A2054" t="s">
        <v>901</v>
      </c>
      <c r="B2054" t="s">
        <v>941</v>
      </c>
      <c r="C2054">
        <v>3</v>
      </c>
      <c r="D2054" t="s">
        <v>11</v>
      </c>
      <c r="E2054" t="s">
        <v>925</v>
      </c>
      <c r="F2054" t="s">
        <v>24</v>
      </c>
      <c r="G2054">
        <v>30</v>
      </c>
      <c r="H2054">
        <v>40</v>
      </c>
      <c r="I2054" t="b">
        <v>1</v>
      </c>
      <c r="J2054" t="s">
        <v>0</v>
      </c>
      <c r="K2054" t="s">
        <v>32</v>
      </c>
      <c r="Q2054" t="s">
        <v>941</v>
      </c>
      <c r="R2054" t="s">
        <v>941</v>
      </c>
      <c r="S2054">
        <v>1</v>
      </c>
    </row>
    <row r="2055" spans="1:19" x14ac:dyDescent="0.25">
      <c r="A2055" t="s">
        <v>901</v>
      </c>
      <c r="B2055" t="s">
        <v>941</v>
      </c>
      <c r="C2055">
        <v>3</v>
      </c>
      <c r="D2055" t="s">
        <v>911</v>
      </c>
      <c r="E2055" t="s">
        <v>725</v>
      </c>
      <c r="F2055" t="s">
        <v>25</v>
      </c>
      <c r="G2055">
        <v>0</v>
      </c>
      <c r="H2055">
        <v>1</v>
      </c>
      <c r="I2055" t="b">
        <v>1</v>
      </c>
      <c r="J2055" t="s">
        <v>1404</v>
      </c>
      <c r="K2055" t="s">
        <v>32</v>
      </c>
      <c r="Q2055" t="s">
        <v>941</v>
      </c>
      <c r="R2055" t="s">
        <v>941</v>
      </c>
      <c r="S2055">
        <v>16</v>
      </c>
    </row>
    <row r="2056" spans="1:19" x14ac:dyDescent="0.25">
      <c r="A2056" t="s">
        <v>901</v>
      </c>
      <c r="B2056" t="s">
        <v>941</v>
      </c>
      <c r="C2056">
        <v>3</v>
      </c>
      <c r="D2056" t="s">
        <v>914</v>
      </c>
      <c r="E2056" t="s">
        <v>928</v>
      </c>
      <c r="F2056" t="s">
        <v>26</v>
      </c>
      <c r="G2056">
        <v>40</v>
      </c>
      <c r="H2056">
        <v>50</v>
      </c>
      <c r="I2056" t="b">
        <v>0</v>
      </c>
      <c r="J2056" t="s">
        <v>1405</v>
      </c>
      <c r="K2056" t="s">
        <v>32</v>
      </c>
      <c r="Q2056" t="s">
        <v>941</v>
      </c>
      <c r="R2056" t="s">
        <v>941</v>
      </c>
      <c r="S2056">
        <v>10</v>
      </c>
    </row>
    <row r="2057" spans="1:19" x14ac:dyDescent="0.25">
      <c r="A2057" t="s">
        <v>901</v>
      </c>
      <c r="B2057" t="s">
        <v>941</v>
      </c>
      <c r="C2057">
        <v>3</v>
      </c>
      <c r="D2057" t="s">
        <v>407</v>
      </c>
      <c r="E2057" t="s">
        <v>1411</v>
      </c>
      <c r="F2057" t="s">
        <v>27</v>
      </c>
      <c r="G2057">
        <v>0.1</v>
      </c>
      <c r="H2057">
        <v>1</v>
      </c>
      <c r="I2057" t="b">
        <v>0</v>
      </c>
      <c r="J2057" t="s">
        <v>1407</v>
      </c>
      <c r="K2057" t="s">
        <v>32</v>
      </c>
      <c r="Q2057" t="s">
        <v>941</v>
      </c>
      <c r="R2057" t="s">
        <v>941</v>
      </c>
      <c r="S2057">
        <v>12</v>
      </c>
    </row>
    <row r="2058" spans="1:19" x14ac:dyDescent="0.25">
      <c r="A2058" t="s">
        <v>901</v>
      </c>
      <c r="B2058" t="s">
        <v>941</v>
      </c>
      <c r="C2058">
        <v>3</v>
      </c>
      <c r="D2058" t="s">
        <v>1408</v>
      </c>
      <c r="E2058" t="s">
        <v>936</v>
      </c>
      <c r="F2058" t="s">
        <v>26</v>
      </c>
      <c r="G2058">
        <v>45</v>
      </c>
      <c r="H2058">
        <v>55</v>
      </c>
      <c r="I2058" t="b">
        <v>0</v>
      </c>
      <c r="J2058" t="s">
        <v>1409</v>
      </c>
      <c r="K2058" t="s">
        <v>32</v>
      </c>
      <c r="Q2058" t="s">
        <v>941</v>
      </c>
      <c r="R2058" t="s">
        <v>941</v>
      </c>
      <c r="S2058">
        <v>30</v>
      </c>
    </row>
    <row r="2059" spans="1:19" x14ac:dyDescent="0.25">
      <c r="A2059" t="s">
        <v>901</v>
      </c>
      <c r="B2059" t="s">
        <v>941</v>
      </c>
      <c r="C2059">
        <v>3</v>
      </c>
      <c r="D2059" t="s">
        <v>314</v>
      </c>
      <c r="E2059" t="s">
        <v>935</v>
      </c>
      <c r="F2059" t="s">
        <v>26</v>
      </c>
      <c r="G2059">
        <v>55</v>
      </c>
      <c r="H2059">
        <v>65</v>
      </c>
      <c r="I2059" t="b">
        <v>0</v>
      </c>
      <c r="J2059" t="s">
        <v>1235</v>
      </c>
      <c r="K2059" t="s">
        <v>32</v>
      </c>
      <c r="Q2059" t="s">
        <v>941</v>
      </c>
      <c r="R2059" t="s">
        <v>941</v>
      </c>
      <c r="S2059">
        <v>3</v>
      </c>
    </row>
    <row r="2060" spans="1:19" x14ac:dyDescent="0.25">
      <c r="A2060" t="s">
        <v>901</v>
      </c>
      <c r="B2060" t="s">
        <v>941</v>
      </c>
      <c r="C2060">
        <v>3</v>
      </c>
      <c r="D2060" t="s">
        <v>243</v>
      </c>
      <c r="E2060" t="s">
        <v>931</v>
      </c>
      <c r="F2060" t="s">
        <v>26</v>
      </c>
      <c r="G2060">
        <v>65</v>
      </c>
      <c r="H2060">
        <v>75</v>
      </c>
      <c r="I2060" t="b">
        <v>0</v>
      </c>
      <c r="J2060" t="s">
        <v>1410</v>
      </c>
      <c r="K2060" t="s">
        <v>32</v>
      </c>
      <c r="Q2060" t="s">
        <v>941</v>
      </c>
      <c r="R2060" t="s">
        <v>941</v>
      </c>
      <c r="S2060">
        <v>31</v>
      </c>
    </row>
    <row r="2061" spans="1:19" x14ac:dyDescent="0.25">
      <c r="A2061" t="s">
        <v>901</v>
      </c>
      <c r="B2061" t="s">
        <v>941</v>
      </c>
      <c r="C2061">
        <v>4</v>
      </c>
      <c r="D2061" t="s">
        <v>903</v>
      </c>
      <c r="E2061" t="s">
        <v>725</v>
      </c>
      <c r="F2061" t="s">
        <v>25</v>
      </c>
      <c r="G2061">
        <v>0</v>
      </c>
      <c r="H2061">
        <v>1</v>
      </c>
      <c r="I2061" t="b">
        <v>1</v>
      </c>
      <c r="J2061" t="s">
        <v>1399</v>
      </c>
      <c r="K2061" t="s">
        <v>32</v>
      </c>
      <c r="L2061" t="s">
        <v>716</v>
      </c>
      <c r="M2061" t="s">
        <v>1413</v>
      </c>
      <c r="Q2061" t="s">
        <v>941</v>
      </c>
      <c r="R2061" t="s">
        <v>941</v>
      </c>
      <c r="S2061">
        <v>8</v>
      </c>
    </row>
    <row r="2062" spans="1:19" x14ac:dyDescent="0.25">
      <c r="A2062" t="s">
        <v>901</v>
      </c>
      <c r="B2062" t="s">
        <v>941</v>
      </c>
      <c r="C2062">
        <v>4</v>
      </c>
      <c r="D2062" t="s">
        <v>1331</v>
      </c>
      <c r="E2062" t="s">
        <v>946</v>
      </c>
      <c r="F2062" t="s">
        <v>24</v>
      </c>
      <c r="G2062">
        <v>10</v>
      </c>
      <c r="H2062">
        <v>20</v>
      </c>
      <c r="I2062" t="b">
        <v>1</v>
      </c>
      <c r="J2062" t="s">
        <v>1332</v>
      </c>
      <c r="K2062" t="s">
        <v>32</v>
      </c>
      <c r="Q2062" t="s">
        <v>941</v>
      </c>
      <c r="R2062" t="s">
        <v>941</v>
      </c>
      <c r="S2062">
        <v>19</v>
      </c>
    </row>
    <row r="2063" spans="1:19" x14ac:dyDescent="0.25">
      <c r="A2063" t="s">
        <v>901</v>
      </c>
      <c r="B2063" t="s">
        <v>941</v>
      </c>
      <c r="C2063">
        <v>4</v>
      </c>
      <c r="D2063" t="s">
        <v>908</v>
      </c>
      <c r="E2063" t="s">
        <v>912</v>
      </c>
      <c r="F2063" t="s">
        <v>25</v>
      </c>
      <c r="G2063">
        <v>2</v>
      </c>
      <c r="H2063">
        <v>5</v>
      </c>
      <c r="I2063" t="b">
        <v>1</v>
      </c>
      <c r="J2063" t="s">
        <v>1401</v>
      </c>
      <c r="K2063" t="s">
        <v>32</v>
      </c>
      <c r="Q2063" t="s">
        <v>941</v>
      </c>
      <c r="R2063" t="s">
        <v>941</v>
      </c>
      <c r="S2063">
        <v>15</v>
      </c>
    </row>
    <row r="2064" spans="1:19" x14ac:dyDescent="0.25">
      <c r="A2064" t="s">
        <v>901</v>
      </c>
      <c r="B2064" t="s">
        <v>941</v>
      </c>
      <c r="C2064">
        <v>4</v>
      </c>
      <c r="D2064" t="s">
        <v>921</v>
      </c>
      <c r="E2064" t="s">
        <v>934</v>
      </c>
      <c r="F2064" t="s">
        <v>25</v>
      </c>
      <c r="G2064">
        <v>10</v>
      </c>
      <c r="H2064">
        <v>15</v>
      </c>
      <c r="I2064" t="b">
        <v>1</v>
      </c>
      <c r="J2064" t="s">
        <v>1402</v>
      </c>
      <c r="K2064" t="s">
        <v>32</v>
      </c>
      <c r="L2064" t="s">
        <v>716</v>
      </c>
      <c r="M2064" t="s">
        <v>1413</v>
      </c>
      <c r="Q2064" t="s">
        <v>941</v>
      </c>
      <c r="R2064" t="s">
        <v>941</v>
      </c>
      <c r="S2064">
        <v>5</v>
      </c>
    </row>
    <row r="2065" spans="1:19" x14ac:dyDescent="0.25">
      <c r="A2065" t="s">
        <v>901</v>
      </c>
      <c r="B2065" t="s">
        <v>941</v>
      </c>
      <c r="C2065">
        <v>4</v>
      </c>
      <c r="D2065" t="s">
        <v>11</v>
      </c>
      <c r="E2065" t="s">
        <v>932</v>
      </c>
      <c r="F2065" t="s">
        <v>25</v>
      </c>
      <c r="G2065">
        <v>25</v>
      </c>
      <c r="H2065">
        <v>30</v>
      </c>
      <c r="I2065" t="b">
        <v>1</v>
      </c>
      <c r="J2065" t="s">
        <v>0</v>
      </c>
      <c r="K2065" t="s">
        <v>32</v>
      </c>
      <c r="L2065" t="s">
        <v>716</v>
      </c>
      <c r="M2065" t="s">
        <v>1413</v>
      </c>
      <c r="Q2065" t="s">
        <v>941</v>
      </c>
      <c r="R2065" t="s">
        <v>941</v>
      </c>
      <c r="S2065">
        <v>1</v>
      </c>
    </row>
    <row r="2066" spans="1:19" x14ac:dyDescent="0.25">
      <c r="A2066" t="s">
        <v>901</v>
      </c>
      <c r="B2066" t="s">
        <v>941</v>
      </c>
      <c r="C2066">
        <v>4</v>
      </c>
      <c r="D2066" t="s">
        <v>914</v>
      </c>
      <c r="E2066" t="s">
        <v>935</v>
      </c>
      <c r="F2066" t="s">
        <v>26</v>
      </c>
      <c r="G2066">
        <v>55</v>
      </c>
      <c r="H2066">
        <v>65</v>
      </c>
      <c r="I2066" t="b">
        <v>0</v>
      </c>
      <c r="J2066" t="s">
        <v>1405</v>
      </c>
      <c r="K2066" t="s">
        <v>32</v>
      </c>
      <c r="L2066" t="s">
        <v>716</v>
      </c>
      <c r="M2066" t="s">
        <v>1413</v>
      </c>
      <c r="Q2066" t="s">
        <v>941</v>
      </c>
      <c r="R2066" t="s">
        <v>941</v>
      </c>
      <c r="S2066">
        <v>10</v>
      </c>
    </row>
    <row r="2067" spans="1:19" x14ac:dyDescent="0.25">
      <c r="A2067" t="s">
        <v>901</v>
      </c>
      <c r="B2067" t="s">
        <v>941</v>
      </c>
      <c r="C2067">
        <v>4</v>
      </c>
      <c r="D2067" t="s">
        <v>407</v>
      </c>
      <c r="E2067" t="s">
        <v>963</v>
      </c>
      <c r="F2067" t="s">
        <v>27</v>
      </c>
      <c r="G2067">
        <v>5</v>
      </c>
      <c r="H2067">
        <v>10</v>
      </c>
      <c r="I2067" t="b">
        <v>0</v>
      </c>
      <c r="J2067" t="s">
        <v>1407</v>
      </c>
      <c r="K2067" t="s">
        <v>32</v>
      </c>
      <c r="Q2067" t="s">
        <v>941</v>
      </c>
      <c r="R2067" t="s">
        <v>941</v>
      </c>
      <c r="S2067">
        <v>12</v>
      </c>
    </row>
    <row r="2068" spans="1:19" x14ac:dyDescent="0.25">
      <c r="A2068" t="s">
        <v>901</v>
      </c>
      <c r="B2068" t="s">
        <v>941</v>
      </c>
      <c r="C2068">
        <v>4</v>
      </c>
      <c r="D2068" t="s">
        <v>1408</v>
      </c>
      <c r="E2068" t="s">
        <v>931</v>
      </c>
      <c r="F2068" t="s">
        <v>26</v>
      </c>
      <c r="G2068">
        <v>65</v>
      </c>
      <c r="H2068">
        <v>75</v>
      </c>
      <c r="I2068" t="b">
        <v>0</v>
      </c>
      <c r="J2068" t="s">
        <v>1409</v>
      </c>
      <c r="K2068" t="s">
        <v>32</v>
      </c>
      <c r="L2068" t="s">
        <v>716</v>
      </c>
      <c r="M2068" t="s">
        <v>1413</v>
      </c>
      <c r="Q2068" t="s">
        <v>941</v>
      </c>
      <c r="R2068" t="s">
        <v>941</v>
      </c>
      <c r="S2068">
        <v>30</v>
      </c>
    </row>
    <row r="2069" spans="1:19" x14ac:dyDescent="0.25">
      <c r="A2069" t="s">
        <v>901</v>
      </c>
      <c r="B2069" t="s">
        <v>941</v>
      </c>
      <c r="C2069">
        <v>4</v>
      </c>
      <c r="D2069" t="s">
        <v>314</v>
      </c>
      <c r="E2069" t="s">
        <v>938</v>
      </c>
      <c r="F2069" t="s">
        <v>26</v>
      </c>
      <c r="G2069">
        <v>70</v>
      </c>
      <c r="H2069">
        <v>80</v>
      </c>
      <c r="I2069" t="b">
        <v>0</v>
      </c>
      <c r="J2069" t="s">
        <v>1235</v>
      </c>
      <c r="K2069" t="s">
        <v>32</v>
      </c>
      <c r="Q2069" t="s">
        <v>941</v>
      </c>
      <c r="R2069" t="s">
        <v>941</v>
      </c>
      <c r="S2069">
        <v>3</v>
      </c>
    </row>
    <row r="2070" spans="1:19" x14ac:dyDescent="0.25">
      <c r="A2070" t="s">
        <v>901</v>
      </c>
      <c r="B2070" t="s">
        <v>941</v>
      </c>
      <c r="C2070">
        <v>4</v>
      </c>
      <c r="D2070" t="s">
        <v>243</v>
      </c>
      <c r="E2070" t="s">
        <v>1422</v>
      </c>
      <c r="F2070" t="s">
        <v>27</v>
      </c>
      <c r="G2070">
        <v>75</v>
      </c>
      <c r="H2070">
        <v>80</v>
      </c>
      <c r="I2070" t="b">
        <v>0</v>
      </c>
      <c r="J2070" t="s">
        <v>1410</v>
      </c>
      <c r="K2070" t="s">
        <v>32</v>
      </c>
      <c r="L2070" t="s">
        <v>716</v>
      </c>
      <c r="M2070" t="s">
        <v>1413</v>
      </c>
      <c r="Q2070" t="s">
        <v>941</v>
      </c>
      <c r="R2070" t="s">
        <v>941</v>
      </c>
      <c r="S2070">
        <v>31</v>
      </c>
    </row>
    <row r="2071" spans="1:19" x14ac:dyDescent="0.25">
      <c r="A2071" t="s">
        <v>901</v>
      </c>
      <c r="B2071" t="s">
        <v>941</v>
      </c>
      <c r="C2071">
        <v>5</v>
      </c>
      <c r="D2071" t="s">
        <v>11</v>
      </c>
      <c r="E2071" t="s">
        <v>946</v>
      </c>
      <c r="F2071" t="s">
        <v>24</v>
      </c>
      <c r="G2071">
        <v>10</v>
      </c>
      <c r="H2071">
        <v>20</v>
      </c>
      <c r="I2071" t="b">
        <v>1</v>
      </c>
      <c r="J2071" t="s">
        <v>0</v>
      </c>
      <c r="K2071" t="s">
        <v>32</v>
      </c>
      <c r="Q2071" t="s">
        <v>941</v>
      </c>
      <c r="R2071" t="s">
        <v>941</v>
      </c>
      <c r="S2071">
        <v>1</v>
      </c>
    </row>
    <row r="2072" spans="1:19" x14ac:dyDescent="0.25">
      <c r="A2072" t="s">
        <v>901</v>
      </c>
      <c r="B2072" t="s">
        <v>941</v>
      </c>
      <c r="C2072">
        <v>5</v>
      </c>
      <c r="D2072" t="s">
        <v>407</v>
      </c>
      <c r="E2072" t="s">
        <v>965</v>
      </c>
      <c r="F2072" t="s">
        <v>26</v>
      </c>
      <c r="G2072">
        <v>10</v>
      </c>
      <c r="H2072">
        <v>20</v>
      </c>
      <c r="I2072" t="b">
        <v>0</v>
      </c>
      <c r="J2072" t="s">
        <v>1407</v>
      </c>
      <c r="K2072" t="s">
        <v>32</v>
      </c>
      <c r="Q2072" t="s">
        <v>941</v>
      </c>
      <c r="R2072" t="s">
        <v>941</v>
      </c>
      <c r="S2072">
        <v>12</v>
      </c>
    </row>
    <row r="2073" spans="1:19" x14ac:dyDescent="0.25">
      <c r="A2073" t="s">
        <v>901</v>
      </c>
      <c r="B2073" t="s">
        <v>941</v>
      </c>
      <c r="C2073">
        <v>5</v>
      </c>
      <c r="D2073" t="s">
        <v>1408</v>
      </c>
      <c r="E2073" t="s">
        <v>940</v>
      </c>
      <c r="F2073" t="s">
        <v>26</v>
      </c>
      <c r="G2073">
        <v>85</v>
      </c>
      <c r="H2073">
        <v>95</v>
      </c>
      <c r="I2073" t="b">
        <v>0</v>
      </c>
      <c r="J2073" t="s">
        <v>1409</v>
      </c>
      <c r="K2073" t="s">
        <v>32</v>
      </c>
      <c r="L2073" t="s">
        <v>716</v>
      </c>
      <c r="M2073" t="s">
        <v>1413</v>
      </c>
      <c r="Q2073" t="s">
        <v>941</v>
      </c>
      <c r="R2073" t="s">
        <v>941</v>
      </c>
      <c r="S2073">
        <v>30</v>
      </c>
    </row>
    <row r="2074" spans="1:19" x14ac:dyDescent="0.25">
      <c r="A2074" t="s">
        <v>901</v>
      </c>
      <c r="B2074" t="s">
        <v>941</v>
      </c>
      <c r="C2074">
        <v>5</v>
      </c>
      <c r="D2074" t="s">
        <v>314</v>
      </c>
      <c r="E2074" t="s">
        <v>937</v>
      </c>
      <c r="F2074" t="s">
        <v>26</v>
      </c>
      <c r="G2074">
        <v>80</v>
      </c>
      <c r="H2074">
        <v>90</v>
      </c>
      <c r="I2074" t="b">
        <v>0</v>
      </c>
      <c r="J2074" t="s">
        <v>1235</v>
      </c>
      <c r="K2074" t="s">
        <v>32</v>
      </c>
      <c r="L2074" t="s">
        <v>716</v>
      </c>
      <c r="M2074" t="s">
        <v>1413</v>
      </c>
      <c r="Q2074" t="s">
        <v>941</v>
      </c>
      <c r="R2074" t="s">
        <v>941</v>
      </c>
      <c r="S2074">
        <v>3</v>
      </c>
    </row>
    <row r="2075" spans="1:19" x14ac:dyDescent="0.25">
      <c r="A2075" t="s">
        <v>901</v>
      </c>
      <c r="B2075" t="s">
        <v>941</v>
      </c>
      <c r="C2075">
        <v>5</v>
      </c>
      <c r="D2075" t="s">
        <v>243</v>
      </c>
      <c r="E2075" t="s">
        <v>937</v>
      </c>
      <c r="F2075" t="s">
        <v>26</v>
      </c>
      <c r="G2075">
        <v>80</v>
      </c>
      <c r="H2075">
        <v>90</v>
      </c>
      <c r="I2075" t="b">
        <v>0</v>
      </c>
      <c r="J2075" t="s">
        <v>1410</v>
      </c>
      <c r="K2075" t="s">
        <v>32</v>
      </c>
      <c r="L2075" t="s">
        <v>716</v>
      </c>
      <c r="M2075" t="s">
        <v>1413</v>
      </c>
      <c r="Q2075" t="s">
        <v>941</v>
      </c>
      <c r="R2075" t="s">
        <v>941</v>
      </c>
      <c r="S2075">
        <v>31</v>
      </c>
    </row>
    <row r="2076" spans="1:19" x14ac:dyDescent="0.25">
      <c r="A2076" t="s">
        <v>986</v>
      </c>
      <c r="B2076" t="s">
        <v>987</v>
      </c>
      <c r="C2076">
        <v>2</v>
      </c>
      <c r="D2076" t="s">
        <v>11</v>
      </c>
      <c r="E2076" t="s">
        <v>953</v>
      </c>
      <c r="F2076" t="s">
        <v>24</v>
      </c>
      <c r="G2076">
        <v>40</v>
      </c>
      <c r="H2076">
        <v>50</v>
      </c>
      <c r="I2076" t="b">
        <v>1</v>
      </c>
      <c r="J2076" t="s">
        <v>0</v>
      </c>
      <c r="K2076" t="s">
        <v>32</v>
      </c>
      <c r="L2076" t="s">
        <v>716</v>
      </c>
      <c r="Q2076" t="s">
        <v>987</v>
      </c>
      <c r="R2076" t="s">
        <v>987</v>
      </c>
      <c r="S2076">
        <v>1</v>
      </c>
    </row>
    <row r="2077" spans="1:19" x14ac:dyDescent="0.25">
      <c r="A2077" t="s">
        <v>986</v>
      </c>
      <c r="B2077" t="s">
        <v>987</v>
      </c>
      <c r="C2077">
        <v>3</v>
      </c>
      <c r="D2077" t="s">
        <v>11</v>
      </c>
      <c r="E2077" t="s">
        <v>952</v>
      </c>
      <c r="F2077" t="s">
        <v>25</v>
      </c>
      <c r="G2077">
        <v>35</v>
      </c>
      <c r="H2077">
        <v>40</v>
      </c>
      <c r="I2077" t="b">
        <v>1</v>
      </c>
      <c r="J2077" t="s">
        <v>0</v>
      </c>
      <c r="K2077" t="s">
        <v>32</v>
      </c>
      <c r="L2077" t="s">
        <v>929</v>
      </c>
      <c r="Q2077" t="s">
        <v>987</v>
      </c>
      <c r="R2077" t="s">
        <v>987</v>
      </c>
      <c r="S2077">
        <v>1</v>
      </c>
    </row>
    <row r="2078" spans="1:19" x14ac:dyDescent="0.25">
      <c r="A2078" t="s">
        <v>986</v>
      </c>
      <c r="B2078" t="s">
        <v>987</v>
      </c>
      <c r="C2078">
        <v>4</v>
      </c>
      <c r="D2078" t="s">
        <v>11</v>
      </c>
      <c r="E2078" t="s">
        <v>966</v>
      </c>
      <c r="F2078" t="s">
        <v>25</v>
      </c>
      <c r="G2078">
        <v>30</v>
      </c>
      <c r="H2078">
        <v>35</v>
      </c>
      <c r="I2078" t="b">
        <v>1</v>
      </c>
      <c r="J2078" t="s">
        <v>0</v>
      </c>
      <c r="K2078" t="s">
        <v>32</v>
      </c>
      <c r="L2078" t="s">
        <v>716</v>
      </c>
      <c r="Q2078" t="s">
        <v>987</v>
      </c>
      <c r="R2078" t="s">
        <v>987</v>
      </c>
      <c r="S2078">
        <v>1</v>
      </c>
    </row>
    <row r="2079" spans="1:19" x14ac:dyDescent="0.25">
      <c r="A2079" t="s">
        <v>986</v>
      </c>
      <c r="B2079" t="s">
        <v>987</v>
      </c>
      <c r="C2079">
        <v>5</v>
      </c>
      <c r="D2079" t="s">
        <v>11</v>
      </c>
      <c r="E2079" t="s">
        <v>932</v>
      </c>
      <c r="F2079" t="s">
        <v>25</v>
      </c>
      <c r="G2079">
        <v>25</v>
      </c>
      <c r="H2079">
        <v>30</v>
      </c>
      <c r="I2079" t="b">
        <v>1</v>
      </c>
      <c r="J2079" t="s">
        <v>0</v>
      </c>
      <c r="K2079" t="s">
        <v>32</v>
      </c>
      <c r="L2079" t="s">
        <v>716</v>
      </c>
      <c r="Q2079" t="s">
        <v>987</v>
      </c>
      <c r="R2079" t="s">
        <v>987</v>
      </c>
      <c r="S2079">
        <v>1</v>
      </c>
    </row>
    <row r="2080" spans="1:19" x14ac:dyDescent="0.25">
      <c r="A2080" t="s">
        <v>986</v>
      </c>
      <c r="B2080" t="s">
        <v>987</v>
      </c>
      <c r="C2080">
        <v>2</v>
      </c>
      <c r="D2080" t="s">
        <v>342</v>
      </c>
      <c r="E2080" t="s">
        <v>1077</v>
      </c>
      <c r="F2080" t="s">
        <v>25</v>
      </c>
      <c r="G2080">
        <v>4</v>
      </c>
      <c r="H2080">
        <v>4.5</v>
      </c>
      <c r="I2080" t="b">
        <v>1</v>
      </c>
      <c r="J2080" t="s">
        <v>343</v>
      </c>
      <c r="K2080" t="s">
        <v>32</v>
      </c>
      <c r="L2080" t="s">
        <v>716</v>
      </c>
      <c r="Q2080" t="s">
        <v>987</v>
      </c>
      <c r="R2080" t="s">
        <v>987</v>
      </c>
      <c r="S2080">
        <v>4</v>
      </c>
    </row>
    <row r="2081" spans="1:19" x14ac:dyDescent="0.25">
      <c r="A2081" t="s">
        <v>986</v>
      </c>
      <c r="B2081" t="s">
        <v>987</v>
      </c>
      <c r="C2081">
        <v>3</v>
      </c>
      <c r="D2081" t="s">
        <v>342</v>
      </c>
      <c r="E2081" t="s">
        <v>1084</v>
      </c>
      <c r="F2081" t="s">
        <v>25</v>
      </c>
      <c r="G2081">
        <v>3.4</v>
      </c>
      <c r="H2081">
        <v>4</v>
      </c>
      <c r="I2081" t="b">
        <v>1</v>
      </c>
      <c r="J2081" t="s">
        <v>343</v>
      </c>
      <c r="K2081" t="s">
        <v>32</v>
      </c>
      <c r="L2081" t="s">
        <v>929</v>
      </c>
      <c r="Q2081" t="s">
        <v>987</v>
      </c>
      <c r="R2081" t="s">
        <v>987</v>
      </c>
      <c r="S2081">
        <v>4</v>
      </c>
    </row>
    <row r="2082" spans="1:19" x14ac:dyDescent="0.25">
      <c r="A2082" t="s">
        <v>986</v>
      </c>
      <c r="B2082" t="s">
        <v>987</v>
      </c>
      <c r="C2082">
        <v>4</v>
      </c>
      <c r="D2082" t="s">
        <v>342</v>
      </c>
      <c r="E2082" t="s">
        <v>1091</v>
      </c>
      <c r="F2082" t="s">
        <v>24</v>
      </c>
      <c r="G2082">
        <v>2.6</v>
      </c>
      <c r="H2082">
        <v>3.4</v>
      </c>
      <c r="I2082" t="b">
        <v>1</v>
      </c>
      <c r="J2082" t="s">
        <v>343</v>
      </c>
      <c r="K2082" t="s">
        <v>32</v>
      </c>
      <c r="L2082" t="s">
        <v>716</v>
      </c>
      <c r="Q2082" t="s">
        <v>987</v>
      </c>
      <c r="R2082" t="s">
        <v>987</v>
      </c>
      <c r="S2082">
        <v>4</v>
      </c>
    </row>
    <row r="2083" spans="1:19" x14ac:dyDescent="0.25">
      <c r="A2083" t="s">
        <v>986</v>
      </c>
      <c r="B2083" t="s">
        <v>987</v>
      </c>
      <c r="C2083">
        <v>5</v>
      </c>
      <c r="D2083" t="s">
        <v>342</v>
      </c>
      <c r="E2083" t="s">
        <v>1093</v>
      </c>
      <c r="F2083" t="s">
        <v>25</v>
      </c>
      <c r="G2083">
        <v>2.2999999999999998</v>
      </c>
      <c r="H2083">
        <v>2.6</v>
      </c>
      <c r="I2083" t="b">
        <v>1</v>
      </c>
      <c r="J2083" t="s">
        <v>343</v>
      </c>
      <c r="K2083" t="s">
        <v>32</v>
      </c>
      <c r="L2083" t="s">
        <v>716</v>
      </c>
      <c r="Q2083" t="s">
        <v>987</v>
      </c>
      <c r="R2083" t="s">
        <v>987</v>
      </c>
      <c r="S2083">
        <v>4</v>
      </c>
    </row>
    <row r="2084" spans="1:19" x14ac:dyDescent="0.25">
      <c r="A2084" t="s">
        <v>986</v>
      </c>
      <c r="B2084" t="s">
        <v>987</v>
      </c>
      <c r="C2084">
        <v>2</v>
      </c>
      <c r="D2084" t="s">
        <v>921</v>
      </c>
      <c r="E2084" t="s">
        <v>922</v>
      </c>
      <c r="F2084" t="s">
        <v>24</v>
      </c>
      <c r="G2084">
        <v>20</v>
      </c>
      <c r="H2084">
        <v>30</v>
      </c>
      <c r="I2084" t="b">
        <v>1</v>
      </c>
      <c r="J2084" t="s">
        <v>1402</v>
      </c>
      <c r="K2084" t="s">
        <v>32</v>
      </c>
      <c r="L2084" t="s">
        <v>716</v>
      </c>
      <c r="Q2084" t="s">
        <v>987</v>
      </c>
      <c r="R2084" t="s">
        <v>987</v>
      </c>
      <c r="S2084">
        <v>5</v>
      </c>
    </row>
    <row r="2085" spans="1:19" x14ac:dyDescent="0.25">
      <c r="A2085" t="s">
        <v>986</v>
      </c>
      <c r="B2085" t="s">
        <v>987</v>
      </c>
      <c r="C2085">
        <v>3</v>
      </c>
      <c r="D2085" t="s">
        <v>921</v>
      </c>
      <c r="E2085" t="s">
        <v>1083</v>
      </c>
      <c r="F2085" t="s">
        <v>25</v>
      </c>
      <c r="G2085">
        <v>13</v>
      </c>
      <c r="H2085">
        <v>20</v>
      </c>
      <c r="I2085" t="b">
        <v>1</v>
      </c>
      <c r="J2085" t="s">
        <v>1402</v>
      </c>
      <c r="K2085" t="s">
        <v>32</v>
      </c>
      <c r="L2085" t="s">
        <v>929</v>
      </c>
      <c r="Q2085" t="s">
        <v>987</v>
      </c>
      <c r="R2085" t="s">
        <v>987</v>
      </c>
      <c r="S2085">
        <v>5</v>
      </c>
    </row>
    <row r="2086" spans="1:19" x14ac:dyDescent="0.25">
      <c r="A2086" t="s">
        <v>986</v>
      </c>
      <c r="B2086" t="s">
        <v>987</v>
      </c>
      <c r="C2086">
        <v>4</v>
      </c>
      <c r="D2086" t="s">
        <v>921</v>
      </c>
      <c r="E2086" t="s">
        <v>1090</v>
      </c>
      <c r="F2086" t="s">
        <v>25</v>
      </c>
      <c r="G2086">
        <v>10</v>
      </c>
      <c r="H2086">
        <v>13</v>
      </c>
      <c r="I2086" t="b">
        <v>1</v>
      </c>
      <c r="J2086" t="s">
        <v>1402</v>
      </c>
      <c r="K2086" t="s">
        <v>32</v>
      </c>
      <c r="L2086" t="s">
        <v>716</v>
      </c>
      <c r="Q2086" t="s">
        <v>987</v>
      </c>
      <c r="R2086" t="s">
        <v>987</v>
      </c>
      <c r="S2086">
        <v>5</v>
      </c>
    </row>
    <row r="2087" spans="1:19" x14ac:dyDescent="0.25">
      <c r="A2087" t="s">
        <v>986</v>
      </c>
      <c r="B2087" t="s">
        <v>987</v>
      </c>
      <c r="C2087">
        <v>2</v>
      </c>
      <c r="D2087" t="s">
        <v>957</v>
      </c>
      <c r="E2087" t="s">
        <v>1072</v>
      </c>
      <c r="F2087" t="s">
        <v>25</v>
      </c>
      <c r="G2087">
        <v>1</v>
      </c>
      <c r="H2087">
        <v>4</v>
      </c>
      <c r="I2087" t="b">
        <v>1</v>
      </c>
      <c r="J2087" t="s">
        <v>1423</v>
      </c>
      <c r="K2087" t="s">
        <v>32</v>
      </c>
      <c r="Q2087" t="s">
        <v>987</v>
      </c>
      <c r="R2087" t="s">
        <v>987</v>
      </c>
      <c r="S2087">
        <v>9</v>
      </c>
    </row>
    <row r="2088" spans="1:19" x14ac:dyDescent="0.25">
      <c r="A2088" t="s">
        <v>986</v>
      </c>
      <c r="B2088" t="s">
        <v>987</v>
      </c>
      <c r="C2088">
        <v>3</v>
      </c>
      <c r="D2088" t="s">
        <v>957</v>
      </c>
      <c r="E2088" t="s">
        <v>1078</v>
      </c>
      <c r="F2088" t="s">
        <v>25</v>
      </c>
      <c r="G2088">
        <v>-0.2</v>
      </c>
      <c r="H2088">
        <v>1</v>
      </c>
      <c r="I2088" t="b">
        <v>1</v>
      </c>
      <c r="J2088" t="s">
        <v>1423</v>
      </c>
      <c r="K2088" t="s">
        <v>32</v>
      </c>
      <c r="Q2088" t="s">
        <v>987</v>
      </c>
      <c r="R2088" t="s">
        <v>987</v>
      </c>
      <c r="S2088">
        <v>9</v>
      </c>
    </row>
    <row r="2089" spans="1:19" x14ac:dyDescent="0.25">
      <c r="A2089" t="s">
        <v>986</v>
      </c>
      <c r="B2089" t="s">
        <v>987</v>
      </c>
      <c r="C2089">
        <v>2</v>
      </c>
      <c r="D2089" t="s">
        <v>914</v>
      </c>
      <c r="E2089" t="s">
        <v>1076</v>
      </c>
      <c r="F2089" t="s">
        <v>26</v>
      </c>
      <c r="G2089">
        <v>30</v>
      </c>
      <c r="H2089">
        <v>40</v>
      </c>
      <c r="I2089" t="b">
        <v>0</v>
      </c>
      <c r="J2089" t="s">
        <v>1405</v>
      </c>
      <c r="K2089" t="s">
        <v>32</v>
      </c>
      <c r="Q2089" t="s">
        <v>987</v>
      </c>
      <c r="R2089" t="s">
        <v>987</v>
      </c>
      <c r="S2089">
        <v>10</v>
      </c>
    </row>
    <row r="2090" spans="1:19" x14ac:dyDescent="0.25">
      <c r="A2090" t="s">
        <v>986</v>
      </c>
      <c r="B2090" t="s">
        <v>987</v>
      </c>
      <c r="C2090">
        <v>3</v>
      </c>
      <c r="D2090" t="s">
        <v>914</v>
      </c>
      <c r="E2090" t="s">
        <v>1082</v>
      </c>
      <c r="F2090" t="s">
        <v>26</v>
      </c>
      <c r="G2090">
        <v>40</v>
      </c>
      <c r="H2090">
        <v>50</v>
      </c>
      <c r="I2090" t="b">
        <v>0</v>
      </c>
      <c r="J2090" t="s">
        <v>1405</v>
      </c>
      <c r="K2090" t="s">
        <v>32</v>
      </c>
      <c r="Q2090" t="s">
        <v>987</v>
      </c>
      <c r="R2090" t="s">
        <v>987</v>
      </c>
      <c r="S2090">
        <v>10</v>
      </c>
    </row>
    <row r="2091" spans="1:19" x14ac:dyDescent="0.25">
      <c r="A2091" t="s">
        <v>986</v>
      </c>
      <c r="B2091" t="s">
        <v>987</v>
      </c>
      <c r="C2091">
        <v>4</v>
      </c>
      <c r="D2091" t="s">
        <v>914</v>
      </c>
      <c r="E2091" t="s">
        <v>1089</v>
      </c>
      <c r="F2091" t="s">
        <v>26</v>
      </c>
      <c r="G2091">
        <v>70</v>
      </c>
      <c r="H2091">
        <v>80</v>
      </c>
      <c r="I2091" t="b">
        <v>0</v>
      </c>
      <c r="J2091" t="s">
        <v>1405</v>
      </c>
      <c r="K2091" t="s">
        <v>32</v>
      </c>
      <c r="Q2091" t="s">
        <v>987</v>
      </c>
      <c r="R2091" t="s">
        <v>987</v>
      </c>
      <c r="S2091">
        <v>10</v>
      </c>
    </row>
    <row r="2092" spans="1:19" x14ac:dyDescent="0.25">
      <c r="A2092" t="s">
        <v>986</v>
      </c>
      <c r="B2092" t="s">
        <v>987</v>
      </c>
      <c r="C2092">
        <v>5</v>
      </c>
      <c r="D2092" t="s">
        <v>914</v>
      </c>
      <c r="E2092" t="s">
        <v>1092</v>
      </c>
      <c r="F2092" t="s">
        <v>26</v>
      </c>
      <c r="G2092">
        <v>85</v>
      </c>
      <c r="H2092">
        <v>95</v>
      </c>
      <c r="I2092" t="b">
        <v>0</v>
      </c>
      <c r="J2092" t="s">
        <v>1405</v>
      </c>
      <c r="K2092" t="s">
        <v>32</v>
      </c>
      <c r="L2092" t="s">
        <v>716</v>
      </c>
      <c r="Q2092" t="s">
        <v>987</v>
      </c>
      <c r="R2092" t="s">
        <v>987</v>
      </c>
      <c r="S2092">
        <v>10</v>
      </c>
    </row>
    <row r="2093" spans="1:19" x14ac:dyDescent="0.25">
      <c r="A2093" t="s">
        <v>986</v>
      </c>
      <c r="B2093" t="s">
        <v>987</v>
      </c>
      <c r="C2093">
        <v>2</v>
      </c>
      <c r="D2093" t="s">
        <v>916</v>
      </c>
      <c r="E2093" t="s">
        <v>1074</v>
      </c>
      <c r="F2093" t="s">
        <v>26</v>
      </c>
      <c r="G2093">
        <v>25</v>
      </c>
      <c r="H2093">
        <v>35</v>
      </c>
      <c r="I2093" t="b">
        <v>0</v>
      </c>
      <c r="J2093" t="s">
        <v>1424</v>
      </c>
      <c r="K2093" t="s">
        <v>32</v>
      </c>
      <c r="Q2093" t="s">
        <v>987</v>
      </c>
      <c r="R2093" t="s">
        <v>987</v>
      </c>
      <c r="S2093">
        <v>11</v>
      </c>
    </row>
    <row r="2094" spans="1:19" x14ac:dyDescent="0.25">
      <c r="A2094" t="s">
        <v>986</v>
      </c>
      <c r="B2094" t="s">
        <v>987</v>
      </c>
      <c r="C2094">
        <v>3</v>
      </c>
      <c r="D2094" t="s">
        <v>916</v>
      </c>
      <c r="E2094" t="s">
        <v>1080</v>
      </c>
      <c r="F2094" t="s">
        <v>26</v>
      </c>
      <c r="G2094">
        <v>35</v>
      </c>
      <c r="H2094">
        <v>45</v>
      </c>
      <c r="I2094" t="b">
        <v>0</v>
      </c>
      <c r="J2094" t="s">
        <v>1424</v>
      </c>
      <c r="K2094" t="s">
        <v>32</v>
      </c>
      <c r="Q2094" t="s">
        <v>987</v>
      </c>
      <c r="R2094" t="s">
        <v>987</v>
      </c>
      <c r="S2094">
        <v>11</v>
      </c>
    </row>
    <row r="2095" spans="1:19" x14ac:dyDescent="0.25">
      <c r="A2095" t="s">
        <v>986</v>
      </c>
      <c r="B2095" t="s">
        <v>987</v>
      </c>
      <c r="C2095">
        <v>2</v>
      </c>
      <c r="D2095" t="s">
        <v>407</v>
      </c>
      <c r="E2095" t="s">
        <v>1075</v>
      </c>
      <c r="F2095" t="s">
        <v>26</v>
      </c>
      <c r="G2095">
        <v>1</v>
      </c>
      <c r="H2095">
        <v>3</v>
      </c>
      <c r="I2095" t="b">
        <v>0</v>
      </c>
      <c r="J2095" t="s">
        <v>1407</v>
      </c>
      <c r="K2095" t="s">
        <v>32</v>
      </c>
      <c r="Q2095" t="s">
        <v>987</v>
      </c>
      <c r="R2095" t="s">
        <v>987</v>
      </c>
      <c r="S2095">
        <v>12</v>
      </c>
    </row>
    <row r="2096" spans="1:19" x14ac:dyDescent="0.25">
      <c r="A2096" t="s">
        <v>986</v>
      </c>
      <c r="B2096" t="s">
        <v>987</v>
      </c>
      <c r="C2096">
        <v>3</v>
      </c>
      <c r="D2096" t="s">
        <v>407</v>
      </c>
      <c r="E2096" t="s">
        <v>1081</v>
      </c>
      <c r="F2096" t="s">
        <v>26</v>
      </c>
      <c r="G2096">
        <v>3</v>
      </c>
      <c r="H2096">
        <v>13</v>
      </c>
      <c r="I2096" t="b">
        <v>0</v>
      </c>
      <c r="J2096" t="s">
        <v>1407</v>
      </c>
      <c r="K2096" t="s">
        <v>32</v>
      </c>
      <c r="Q2096" t="s">
        <v>987</v>
      </c>
      <c r="R2096" t="s">
        <v>987</v>
      </c>
      <c r="S2096">
        <v>12</v>
      </c>
    </row>
    <row r="2097" spans="1:19" x14ac:dyDescent="0.25">
      <c r="A2097" t="s">
        <v>986</v>
      </c>
      <c r="B2097" t="s">
        <v>987</v>
      </c>
      <c r="C2097">
        <v>4</v>
      </c>
      <c r="D2097" t="s">
        <v>407</v>
      </c>
      <c r="E2097" t="s">
        <v>1088</v>
      </c>
      <c r="F2097" t="s">
        <v>26</v>
      </c>
      <c r="G2097">
        <v>15</v>
      </c>
      <c r="H2097">
        <v>25</v>
      </c>
      <c r="I2097" t="b">
        <v>0</v>
      </c>
      <c r="J2097" t="s">
        <v>1407</v>
      </c>
      <c r="K2097" t="s">
        <v>32</v>
      </c>
      <c r="Q2097" t="s">
        <v>987</v>
      </c>
      <c r="R2097" t="s">
        <v>987</v>
      </c>
      <c r="S2097">
        <v>12</v>
      </c>
    </row>
    <row r="2098" spans="1:19" x14ac:dyDescent="0.25">
      <c r="A2098" t="s">
        <v>986</v>
      </c>
      <c r="B2098" t="s">
        <v>987</v>
      </c>
      <c r="C2098">
        <v>5</v>
      </c>
      <c r="D2098" t="s">
        <v>407</v>
      </c>
      <c r="E2098" t="s">
        <v>1080</v>
      </c>
      <c r="F2098" t="s">
        <v>26</v>
      </c>
      <c r="G2098">
        <v>35</v>
      </c>
      <c r="H2098">
        <v>45</v>
      </c>
      <c r="I2098" t="b">
        <v>0</v>
      </c>
      <c r="J2098" t="s">
        <v>1407</v>
      </c>
      <c r="K2098" t="s">
        <v>32</v>
      </c>
      <c r="L2098" t="s">
        <v>716</v>
      </c>
      <c r="Q2098" t="s">
        <v>987</v>
      </c>
      <c r="R2098" t="s">
        <v>987</v>
      </c>
      <c r="S2098">
        <v>12</v>
      </c>
    </row>
    <row r="2099" spans="1:19" x14ac:dyDescent="0.25">
      <c r="A2099" t="s">
        <v>986</v>
      </c>
      <c r="B2099" t="s">
        <v>987</v>
      </c>
      <c r="C2099">
        <v>2</v>
      </c>
      <c r="D2099" t="s">
        <v>908</v>
      </c>
      <c r="E2099" t="s">
        <v>989</v>
      </c>
      <c r="F2099" t="s">
        <v>25</v>
      </c>
      <c r="G2099">
        <v>4</v>
      </c>
      <c r="H2099">
        <v>7</v>
      </c>
      <c r="I2099" t="b">
        <v>1</v>
      </c>
      <c r="J2099" t="s">
        <v>1401</v>
      </c>
      <c r="K2099" t="s">
        <v>32</v>
      </c>
      <c r="Q2099" t="s">
        <v>987</v>
      </c>
      <c r="R2099" t="s">
        <v>987</v>
      </c>
      <c r="S2099">
        <v>15</v>
      </c>
    </row>
    <row r="2100" spans="1:19" x14ac:dyDescent="0.25">
      <c r="A2100" t="s">
        <v>986</v>
      </c>
      <c r="B2100" t="s">
        <v>987</v>
      </c>
      <c r="C2100">
        <v>3</v>
      </c>
      <c r="D2100" t="s">
        <v>908</v>
      </c>
      <c r="E2100" t="s">
        <v>924</v>
      </c>
      <c r="F2100" t="s">
        <v>25</v>
      </c>
      <c r="G2100">
        <v>1</v>
      </c>
      <c r="H2100">
        <v>4</v>
      </c>
      <c r="I2100" t="b">
        <v>1</v>
      </c>
      <c r="J2100" t="s">
        <v>1401</v>
      </c>
      <c r="K2100" t="s">
        <v>32</v>
      </c>
      <c r="L2100" t="s">
        <v>926</v>
      </c>
      <c r="Q2100" t="s">
        <v>987</v>
      </c>
      <c r="R2100" t="s">
        <v>987</v>
      </c>
      <c r="S2100">
        <v>15</v>
      </c>
    </row>
    <row r="2101" spans="1:19" x14ac:dyDescent="0.25">
      <c r="A2101" t="s">
        <v>986</v>
      </c>
      <c r="B2101" t="s">
        <v>987</v>
      </c>
      <c r="C2101">
        <v>2</v>
      </c>
      <c r="D2101" t="s">
        <v>911</v>
      </c>
      <c r="E2101" t="s">
        <v>720</v>
      </c>
      <c r="F2101" t="s">
        <v>24</v>
      </c>
      <c r="G2101">
        <v>3</v>
      </c>
      <c r="H2101">
        <v>5</v>
      </c>
      <c r="I2101" t="b">
        <v>1</v>
      </c>
      <c r="J2101" t="s">
        <v>1404</v>
      </c>
      <c r="K2101" t="s">
        <v>32</v>
      </c>
      <c r="Q2101" t="s">
        <v>987</v>
      </c>
      <c r="R2101" t="s">
        <v>987</v>
      </c>
      <c r="S2101">
        <v>16</v>
      </c>
    </row>
    <row r="2102" spans="1:19" x14ac:dyDescent="0.25">
      <c r="A2102" t="s">
        <v>986</v>
      </c>
      <c r="B2102" t="s">
        <v>987</v>
      </c>
      <c r="C2102">
        <v>3</v>
      </c>
      <c r="D2102" t="s">
        <v>911</v>
      </c>
      <c r="E2102" t="s">
        <v>923</v>
      </c>
      <c r="F2102" t="s">
        <v>25</v>
      </c>
      <c r="G2102">
        <v>0</v>
      </c>
      <c r="H2102">
        <v>3</v>
      </c>
      <c r="I2102" t="b">
        <v>1</v>
      </c>
      <c r="J2102" t="s">
        <v>1404</v>
      </c>
      <c r="K2102" t="s">
        <v>32</v>
      </c>
      <c r="L2102" t="s">
        <v>926</v>
      </c>
      <c r="Q2102" t="s">
        <v>987</v>
      </c>
      <c r="R2102" t="s">
        <v>987</v>
      </c>
      <c r="S2102">
        <v>16</v>
      </c>
    </row>
    <row r="2103" spans="1:19" x14ac:dyDescent="0.25">
      <c r="A2103" t="s">
        <v>986</v>
      </c>
      <c r="B2103" t="s">
        <v>987</v>
      </c>
      <c r="C2103">
        <v>2</v>
      </c>
      <c r="D2103" t="s">
        <v>906</v>
      </c>
      <c r="E2103" t="s">
        <v>988</v>
      </c>
      <c r="F2103" t="s">
        <v>25</v>
      </c>
      <c r="G2103">
        <v>3</v>
      </c>
      <c r="H2103">
        <v>6</v>
      </c>
      <c r="I2103" t="b">
        <v>1</v>
      </c>
      <c r="J2103" t="s">
        <v>1400</v>
      </c>
      <c r="K2103" t="s">
        <v>32</v>
      </c>
      <c r="Q2103" t="s">
        <v>987</v>
      </c>
      <c r="R2103" t="s">
        <v>987</v>
      </c>
      <c r="S2103">
        <v>17</v>
      </c>
    </row>
    <row r="2104" spans="1:19" x14ac:dyDescent="0.25">
      <c r="A2104" t="s">
        <v>986</v>
      </c>
      <c r="B2104" t="s">
        <v>987</v>
      </c>
      <c r="C2104">
        <v>3</v>
      </c>
      <c r="D2104" t="s">
        <v>906</v>
      </c>
      <c r="E2104" t="s">
        <v>923</v>
      </c>
      <c r="F2104" t="s">
        <v>25</v>
      </c>
      <c r="G2104">
        <v>0</v>
      </c>
      <c r="H2104">
        <v>3</v>
      </c>
      <c r="I2104" t="b">
        <v>1</v>
      </c>
      <c r="J2104" t="s">
        <v>1400</v>
      </c>
      <c r="K2104" t="s">
        <v>32</v>
      </c>
      <c r="L2104" t="s">
        <v>926</v>
      </c>
      <c r="Q2104" t="s">
        <v>987</v>
      </c>
      <c r="R2104" t="s">
        <v>987</v>
      </c>
      <c r="S2104">
        <v>17</v>
      </c>
    </row>
    <row r="2105" spans="1:19" x14ac:dyDescent="0.25">
      <c r="A2105" t="s">
        <v>986</v>
      </c>
      <c r="B2105" t="s">
        <v>987</v>
      </c>
      <c r="C2105">
        <v>2</v>
      </c>
      <c r="D2105" t="s">
        <v>909</v>
      </c>
      <c r="E2105" t="s">
        <v>962</v>
      </c>
      <c r="F2105" t="s">
        <v>24</v>
      </c>
      <c r="G2105">
        <v>0</v>
      </c>
      <c r="H2105">
        <v>2</v>
      </c>
      <c r="I2105" t="b">
        <v>1</v>
      </c>
      <c r="J2105" t="s">
        <v>1403</v>
      </c>
      <c r="K2105" t="s">
        <v>32</v>
      </c>
      <c r="Q2105" t="s">
        <v>987</v>
      </c>
      <c r="R2105" t="s">
        <v>987</v>
      </c>
      <c r="S2105">
        <v>18</v>
      </c>
    </row>
    <row r="2106" spans="1:19" x14ac:dyDescent="0.25">
      <c r="A2106" t="s">
        <v>986</v>
      </c>
      <c r="B2106" t="s">
        <v>987</v>
      </c>
      <c r="C2106">
        <v>2</v>
      </c>
      <c r="D2106" t="s">
        <v>1425</v>
      </c>
      <c r="E2106" t="s">
        <v>1073</v>
      </c>
      <c r="F2106" t="s">
        <v>25</v>
      </c>
      <c r="G2106">
        <v>35</v>
      </c>
      <c r="H2106">
        <v>40</v>
      </c>
      <c r="I2106" t="b">
        <v>1</v>
      </c>
      <c r="J2106" t="s">
        <v>1426</v>
      </c>
      <c r="K2106" t="s">
        <v>32</v>
      </c>
      <c r="Q2106" t="s">
        <v>987</v>
      </c>
      <c r="R2106" t="s">
        <v>987</v>
      </c>
      <c r="S2106">
        <v>20</v>
      </c>
    </row>
    <row r="2107" spans="1:19" x14ac:dyDescent="0.25">
      <c r="A2107" t="s">
        <v>986</v>
      </c>
      <c r="B2107" t="s">
        <v>987</v>
      </c>
      <c r="C2107">
        <v>3</v>
      </c>
      <c r="D2107" t="s">
        <v>1425</v>
      </c>
      <c r="E2107" t="s">
        <v>1079</v>
      </c>
      <c r="F2107" t="s">
        <v>25</v>
      </c>
      <c r="G2107">
        <v>30</v>
      </c>
      <c r="H2107">
        <v>35</v>
      </c>
      <c r="I2107" t="b">
        <v>1</v>
      </c>
      <c r="J2107" t="s">
        <v>1426</v>
      </c>
      <c r="K2107" t="s">
        <v>32</v>
      </c>
      <c r="Q2107" t="s">
        <v>987</v>
      </c>
      <c r="R2107" t="s">
        <v>987</v>
      </c>
      <c r="S2107">
        <v>20</v>
      </c>
    </row>
    <row r="2108" spans="1:19" x14ac:dyDescent="0.25">
      <c r="A2108" t="s">
        <v>986</v>
      </c>
      <c r="B2108" t="s">
        <v>987</v>
      </c>
      <c r="C2108">
        <v>4</v>
      </c>
      <c r="D2108" t="s">
        <v>1425</v>
      </c>
      <c r="E2108" t="s">
        <v>1087</v>
      </c>
      <c r="F2108" t="s">
        <v>24</v>
      </c>
      <c r="G2108">
        <v>10</v>
      </c>
      <c r="H2108">
        <v>20</v>
      </c>
      <c r="I2108" t="b">
        <v>1</v>
      </c>
      <c r="J2108" t="s">
        <v>1426</v>
      </c>
      <c r="K2108" t="s">
        <v>32</v>
      </c>
      <c r="Q2108" t="s">
        <v>987</v>
      </c>
      <c r="R2108" t="s">
        <v>987</v>
      </c>
      <c r="S2108">
        <v>20</v>
      </c>
    </row>
    <row r="2109" spans="1:19" x14ac:dyDescent="0.25">
      <c r="A2109" t="s">
        <v>986</v>
      </c>
      <c r="B2109" t="s">
        <v>987</v>
      </c>
      <c r="C2109">
        <v>3</v>
      </c>
      <c r="D2109" t="s">
        <v>990</v>
      </c>
      <c r="E2109" t="s">
        <v>725</v>
      </c>
      <c r="F2109" t="s">
        <v>25</v>
      </c>
      <c r="G2109">
        <v>0</v>
      </c>
      <c r="H2109">
        <v>1</v>
      </c>
      <c r="I2109" t="b">
        <v>1</v>
      </c>
      <c r="J2109" t="s">
        <v>1365</v>
      </c>
      <c r="K2109" t="s">
        <v>32</v>
      </c>
      <c r="L2109" t="s">
        <v>926</v>
      </c>
      <c r="Q2109" t="s">
        <v>987</v>
      </c>
      <c r="R2109" t="s">
        <v>987</v>
      </c>
      <c r="S2109">
        <v>24</v>
      </c>
    </row>
    <row r="2110" spans="1:19" x14ac:dyDescent="0.25">
      <c r="A2110" t="s">
        <v>986</v>
      </c>
      <c r="B2110" t="s">
        <v>987</v>
      </c>
      <c r="C2110">
        <v>4</v>
      </c>
      <c r="D2110" t="s">
        <v>1085</v>
      </c>
      <c r="E2110" t="s">
        <v>1086</v>
      </c>
      <c r="F2110" t="s">
        <v>25</v>
      </c>
      <c r="G2110">
        <v>-0.5</v>
      </c>
      <c r="H2110">
        <v>2</v>
      </c>
      <c r="I2110" t="b">
        <v>1</v>
      </c>
      <c r="J2110" t="s">
        <v>1369</v>
      </c>
      <c r="K2110" t="s">
        <v>32</v>
      </c>
      <c r="Q2110" t="s">
        <v>987</v>
      </c>
      <c r="R2110" t="s">
        <v>987</v>
      </c>
      <c r="S2110">
        <v>27</v>
      </c>
    </row>
    <row r="2111" spans="1:19" x14ac:dyDescent="0.25">
      <c r="A2111" t="s">
        <v>986</v>
      </c>
      <c r="B2111" t="s">
        <v>987</v>
      </c>
      <c r="C2111">
        <v>5</v>
      </c>
      <c r="D2111" t="s">
        <v>1085</v>
      </c>
      <c r="E2111" t="s">
        <v>1086</v>
      </c>
      <c r="F2111" t="s">
        <v>25</v>
      </c>
      <c r="G2111">
        <v>-0.5</v>
      </c>
      <c r="H2111">
        <v>2</v>
      </c>
      <c r="I2111" t="b">
        <v>1</v>
      </c>
      <c r="J2111" t="s">
        <v>1369</v>
      </c>
      <c r="K2111" t="s">
        <v>32</v>
      </c>
      <c r="L2111" t="s">
        <v>716</v>
      </c>
      <c r="Q2111" t="s">
        <v>987</v>
      </c>
      <c r="R2111" t="s">
        <v>987</v>
      </c>
      <c r="S2111">
        <v>27</v>
      </c>
    </row>
    <row r="2112" spans="1:19" x14ac:dyDescent="0.25">
      <c r="A2112" t="s">
        <v>986</v>
      </c>
      <c r="B2112" t="s">
        <v>993</v>
      </c>
      <c r="C2112">
        <v>2</v>
      </c>
      <c r="D2112" t="s">
        <v>11</v>
      </c>
      <c r="E2112" t="s">
        <v>994</v>
      </c>
      <c r="F2112" t="s">
        <v>25</v>
      </c>
      <c r="G2112">
        <v>45</v>
      </c>
      <c r="H2112">
        <v>50</v>
      </c>
      <c r="I2112" t="b">
        <v>1</v>
      </c>
      <c r="J2112" t="s">
        <v>0</v>
      </c>
      <c r="K2112" t="s">
        <v>32</v>
      </c>
      <c r="L2112" t="s">
        <v>716</v>
      </c>
      <c r="Q2112" t="s">
        <v>993</v>
      </c>
      <c r="R2112" t="s">
        <v>993</v>
      </c>
      <c r="S2112">
        <v>1</v>
      </c>
    </row>
    <row r="2113" spans="1:19" x14ac:dyDescent="0.25">
      <c r="A2113" t="s">
        <v>986</v>
      </c>
      <c r="B2113" t="s">
        <v>993</v>
      </c>
      <c r="C2113">
        <v>3</v>
      </c>
      <c r="D2113" t="s">
        <v>11</v>
      </c>
      <c r="E2113" t="s">
        <v>995</v>
      </c>
      <c r="F2113" t="s">
        <v>25</v>
      </c>
      <c r="G2113">
        <v>40</v>
      </c>
      <c r="H2113">
        <v>45</v>
      </c>
      <c r="I2113" t="b">
        <v>1</v>
      </c>
      <c r="J2113" t="s">
        <v>0</v>
      </c>
      <c r="K2113" t="s">
        <v>32</v>
      </c>
      <c r="L2113" t="s">
        <v>929</v>
      </c>
      <c r="Q2113" t="s">
        <v>993</v>
      </c>
      <c r="R2113" t="s">
        <v>993</v>
      </c>
      <c r="S2113">
        <v>1</v>
      </c>
    </row>
    <row r="2114" spans="1:19" x14ac:dyDescent="0.25">
      <c r="A2114" t="s">
        <v>986</v>
      </c>
      <c r="B2114" t="s">
        <v>993</v>
      </c>
      <c r="C2114">
        <v>4</v>
      </c>
      <c r="D2114" t="s">
        <v>11</v>
      </c>
      <c r="E2114" t="s">
        <v>952</v>
      </c>
      <c r="F2114" t="s">
        <v>25</v>
      </c>
      <c r="G2114">
        <v>35</v>
      </c>
      <c r="H2114">
        <v>40</v>
      </c>
      <c r="I2114" t="b">
        <v>1</v>
      </c>
      <c r="J2114" t="s">
        <v>0</v>
      </c>
      <c r="K2114" t="s">
        <v>32</v>
      </c>
      <c r="L2114" t="s">
        <v>716</v>
      </c>
      <c r="Q2114" t="s">
        <v>993</v>
      </c>
      <c r="R2114" t="s">
        <v>993</v>
      </c>
      <c r="S2114">
        <v>1</v>
      </c>
    </row>
    <row r="2115" spans="1:19" x14ac:dyDescent="0.25">
      <c r="A2115" t="s">
        <v>986</v>
      </c>
      <c r="B2115" t="s">
        <v>993</v>
      </c>
      <c r="C2115">
        <v>5</v>
      </c>
      <c r="D2115" t="s">
        <v>11</v>
      </c>
      <c r="E2115" t="s">
        <v>966</v>
      </c>
      <c r="F2115" t="s">
        <v>25</v>
      </c>
      <c r="G2115">
        <v>30</v>
      </c>
      <c r="H2115">
        <v>35</v>
      </c>
      <c r="I2115" t="b">
        <v>1</v>
      </c>
      <c r="J2115" t="s">
        <v>0</v>
      </c>
      <c r="K2115" t="s">
        <v>32</v>
      </c>
      <c r="L2115" t="s">
        <v>716</v>
      </c>
      <c r="Q2115" t="s">
        <v>993</v>
      </c>
      <c r="R2115" t="s">
        <v>993</v>
      </c>
      <c r="S2115">
        <v>1</v>
      </c>
    </row>
    <row r="2116" spans="1:19" x14ac:dyDescent="0.25">
      <c r="A2116" t="s">
        <v>986</v>
      </c>
      <c r="B2116" t="s">
        <v>993</v>
      </c>
      <c r="C2116">
        <v>2</v>
      </c>
      <c r="D2116" t="s">
        <v>342</v>
      </c>
      <c r="E2116" t="s">
        <v>992</v>
      </c>
      <c r="F2116" t="s">
        <v>24</v>
      </c>
      <c r="G2116">
        <v>4.3</v>
      </c>
      <c r="H2116">
        <v>4.7</v>
      </c>
      <c r="I2116" t="b">
        <v>1</v>
      </c>
      <c r="J2116" t="s">
        <v>343</v>
      </c>
      <c r="K2116" t="s">
        <v>32</v>
      </c>
      <c r="L2116" t="s">
        <v>716</v>
      </c>
      <c r="Q2116" t="s">
        <v>993</v>
      </c>
      <c r="R2116" t="s">
        <v>993</v>
      </c>
      <c r="S2116">
        <v>4</v>
      </c>
    </row>
    <row r="2117" spans="1:19" x14ac:dyDescent="0.25">
      <c r="A2117" t="s">
        <v>986</v>
      </c>
      <c r="B2117" t="s">
        <v>993</v>
      </c>
      <c r="C2117">
        <v>3</v>
      </c>
      <c r="D2117" t="s">
        <v>342</v>
      </c>
      <c r="E2117" t="s">
        <v>980</v>
      </c>
      <c r="F2117" t="s">
        <v>25</v>
      </c>
      <c r="G2117">
        <v>3.8</v>
      </c>
      <c r="H2117">
        <v>4.3</v>
      </c>
      <c r="I2117" t="b">
        <v>1</v>
      </c>
      <c r="J2117" t="s">
        <v>343</v>
      </c>
      <c r="K2117" t="s">
        <v>32</v>
      </c>
      <c r="L2117" t="s">
        <v>929</v>
      </c>
      <c r="Q2117" t="s">
        <v>993</v>
      </c>
      <c r="R2117" t="s">
        <v>993</v>
      </c>
      <c r="S2117">
        <v>4</v>
      </c>
    </row>
    <row r="2118" spans="1:19" x14ac:dyDescent="0.25">
      <c r="A2118" t="s">
        <v>986</v>
      </c>
      <c r="B2118" t="s">
        <v>993</v>
      </c>
      <c r="C2118">
        <v>4</v>
      </c>
      <c r="D2118" t="s">
        <v>342</v>
      </c>
      <c r="E2118" t="s">
        <v>1102</v>
      </c>
      <c r="F2118" t="s">
        <v>24</v>
      </c>
      <c r="G2118">
        <v>3.3</v>
      </c>
      <c r="H2118">
        <v>3.7</v>
      </c>
      <c r="I2118" t="b">
        <v>1</v>
      </c>
      <c r="J2118" t="s">
        <v>343</v>
      </c>
      <c r="K2118" t="s">
        <v>32</v>
      </c>
      <c r="L2118" t="s">
        <v>716</v>
      </c>
      <c r="Q2118" t="s">
        <v>993</v>
      </c>
      <c r="R2118" t="s">
        <v>993</v>
      </c>
      <c r="S2118">
        <v>4</v>
      </c>
    </row>
    <row r="2119" spans="1:19" x14ac:dyDescent="0.25">
      <c r="A2119" t="s">
        <v>986</v>
      </c>
      <c r="B2119" t="s">
        <v>993</v>
      </c>
      <c r="C2119">
        <v>5</v>
      </c>
      <c r="D2119" t="s">
        <v>342</v>
      </c>
      <c r="E2119" t="s">
        <v>1103</v>
      </c>
      <c r="F2119" t="s">
        <v>24</v>
      </c>
      <c r="G2119">
        <v>2.7</v>
      </c>
      <c r="H2119">
        <v>3.3</v>
      </c>
      <c r="I2119" t="b">
        <v>1</v>
      </c>
      <c r="J2119" t="s">
        <v>343</v>
      </c>
      <c r="K2119" t="s">
        <v>32</v>
      </c>
      <c r="L2119" t="s">
        <v>716</v>
      </c>
      <c r="Q2119" t="s">
        <v>993</v>
      </c>
      <c r="R2119" t="s">
        <v>993</v>
      </c>
      <c r="S2119">
        <v>4</v>
      </c>
    </row>
    <row r="2120" spans="1:19" x14ac:dyDescent="0.25">
      <c r="A2120" t="s">
        <v>986</v>
      </c>
      <c r="B2120" t="s">
        <v>993</v>
      </c>
      <c r="C2120">
        <v>2</v>
      </c>
      <c r="D2120" t="s">
        <v>921</v>
      </c>
      <c r="E2120" t="s">
        <v>932</v>
      </c>
      <c r="F2120" t="s">
        <v>25</v>
      </c>
      <c r="G2120">
        <v>25</v>
      </c>
      <c r="H2120">
        <v>30</v>
      </c>
      <c r="I2120" t="b">
        <v>1</v>
      </c>
      <c r="J2120" t="s">
        <v>1402</v>
      </c>
      <c r="K2120" t="s">
        <v>32</v>
      </c>
      <c r="L2120" t="s">
        <v>716</v>
      </c>
      <c r="Q2120" t="s">
        <v>993</v>
      </c>
      <c r="R2120" t="s">
        <v>993</v>
      </c>
      <c r="S2120">
        <v>5</v>
      </c>
    </row>
    <row r="2121" spans="1:19" x14ac:dyDescent="0.25">
      <c r="A2121" t="s">
        <v>986</v>
      </c>
      <c r="B2121" t="s">
        <v>993</v>
      </c>
      <c r="C2121">
        <v>3</v>
      </c>
      <c r="D2121" t="s">
        <v>921</v>
      </c>
      <c r="E2121" t="s">
        <v>939</v>
      </c>
      <c r="F2121" t="s">
        <v>25</v>
      </c>
      <c r="G2121">
        <v>18</v>
      </c>
      <c r="H2121">
        <v>25</v>
      </c>
      <c r="I2121" t="b">
        <v>1</v>
      </c>
      <c r="J2121" t="s">
        <v>1402</v>
      </c>
      <c r="K2121" t="s">
        <v>32</v>
      </c>
      <c r="L2121" t="s">
        <v>929</v>
      </c>
      <c r="Q2121" t="s">
        <v>993</v>
      </c>
      <c r="R2121" t="s">
        <v>993</v>
      </c>
      <c r="S2121">
        <v>5</v>
      </c>
    </row>
    <row r="2122" spans="1:19" x14ac:dyDescent="0.25">
      <c r="A2122" t="s">
        <v>986</v>
      </c>
      <c r="B2122" t="s">
        <v>993</v>
      </c>
      <c r="C2122">
        <v>4</v>
      </c>
      <c r="D2122" t="s">
        <v>921</v>
      </c>
      <c r="E2122" t="s">
        <v>996</v>
      </c>
      <c r="F2122" t="s">
        <v>24</v>
      </c>
      <c r="G2122">
        <v>12</v>
      </c>
      <c r="H2122">
        <v>18</v>
      </c>
      <c r="I2122" t="b">
        <v>1</v>
      </c>
      <c r="J2122" t="s">
        <v>1402</v>
      </c>
      <c r="K2122" t="s">
        <v>32</v>
      </c>
      <c r="L2122" t="s">
        <v>716</v>
      </c>
      <c r="Q2122" t="s">
        <v>993</v>
      </c>
      <c r="R2122" t="s">
        <v>993</v>
      </c>
      <c r="S2122">
        <v>5</v>
      </c>
    </row>
    <row r="2123" spans="1:19" x14ac:dyDescent="0.25">
      <c r="A2123" t="s">
        <v>986</v>
      </c>
      <c r="B2123" t="s">
        <v>993</v>
      </c>
      <c r="C2123">
        <v>2</v>
      </c>
      <c r="D2123" t="s">
        <v>957</v>
      </c>
      <c r="E2123" t="s">
        <v>1094</v>
      </c>
      <c r="F2123" t="s">
        <v>25</v>
      </c>
      <c r="G2123">
        <v>3</v>
      </c>
      <c r="H2123">
        <v>6</v>
      </c>
      <c r="I2123" t="b">
        <v>1</v>
      </c>
      <c r="J2123" t="s">
        <v>1423</v>
      </c>
      <c r="K2123" t="s">
        <v>32</v>
      </c>
      <c r="Q2123" t="s">
        <v>993</v>
      </c>
      <c r="R2123" t="s">
        <v>993</v>
      </c>
      <c r="S2123">
        <v>9</v>
      </c>
    </row>
    <row r="2124" spans="1:19" x14ac:dyDescent="0.25">
      <c r="A2124" t="s">
        <v>986</v>
      </c>
      <c r="B2124" t="s">
        <v>993</v>
      </c>
      <c r="C2124">
        <v>3</v>
      </c>
      <c r="D2124" t="s">
        <v>957</v>
      </c>
      <c r="E2124" t="s">
        <v>1096</v>
      </c>
      <c r="F2124" t="s">
        <v>25</v>
      </c>
      <c r="G2124">
        <v>0</v>
      </c>
      <c r="H2124">
        <v>3</v>
      </c>
      <c r="I2124" t="b">
        <v>1</v>
      </c>
      <c r="J2124" t="s">
        <v>1423</v>
      </c>
      <c r="K2124" t="s">
        <v>32</v>
      </c>
      <c r="Q2124" t="s">
        <v>993</v>
      </c>
      <c r="R2124" t="s">
        <v>993</v>
      </c>
      <c r="S2124">
        <v>9</v>
      </c>
    </row>
    <row r="2125" spans="1:19" x14ac:dyDescent="0.25">
      <c r="A2125" t="s">
        <v>986</v>
      </c>
      <c r="B2125" t="s">
        <v>993</v>
      </c>
      <c r="C2125">
        <v>2</v>
      </c>
      <c r="D2125" t="s">
        <v>914</v>
      </c>
      <c r="E2125" t="s">
        <v>1074</v>
      </c>
      <c r="F2125" t="s">
        <v>26</v>
      </c>
      <c r="G2125">
        <v>25</v>
      </c>
      <c r="H2125">
        <v>35</v>
      </c>
      <c r="I2125" t="b">
        <v>0</v>
      </c>
      <c r="J2125" t="s">
        <v>1405</v>
      </c>
      <c r="K2125" t="s">
        <v>32</v>
      </c>
      <c r="Q2125" t="s">
        <v>993</v>
      </c>
      <c r="R2125" t="s">
        <v>993</v>
      </c>
      <c r="S2125">
        <v>10</v>
      </c>
    </row>
    <row r="2126" spans="1:19" x14ac:dyDescent="0.25">
      <c r="A2126" t="s">
        <v>986</v>
      </c>
      <c r="B2126" t="s">
        <v>993</v>
      </c>
      <c r="C2126">
        <v>3</v>
      </c>
      <c r="D2126" t="s">
        <v>914</v>
      </c>
      <c r="E2126" t="s">
        <v>1082</v>
      </c>
      <c r="F2126" t="s">
        <v>26</v>
      </c>
      <c r="G2126">
        <v>40</v>
      </c>
      <c r="H2126">
        <v>50</v>
      </c>
      <c r="I2126" t="b">
        <v>0</v>
      </c>
      <c r="J2126" t="s">
        <v>1405</v>
      </c>
      <c r="K2126" t="s">
        <v>32</v>
      </c>
      <c r="Q2126" t="s">
        <v>993</v>
      </c>
      <c r="R2126" t="s">
        <v>993</v>
      </c>
      <c r="S2126">
        <v>10</v>
      </c>
    </row>
    <row r="2127" spans="1:19" x14ac:dyDescent="0.25">
      <c r="A2127" t="s">
        <v>986</v>
      </c>
      <c r="B2127" t="s">
        <v>993</v>
      </c>
      <c r="C2127">
        <v>4</v>
      </c>
      <c r="D2127" t="s">
        <v>914</v>
      </c>
      <c r="E2127" t="s">
        <v>1101</v>
      </c>
      <c r="F2127" t="s">
        <v>26</v>
      </c>
      <c r="G2127">
        <v>65</v>
      </c>
      <c r="H2127">
        <v>75</v>
      </c>
      <c r="I2127" t="b">
        <v>0</v>
      </c>
      <c r="J2127" t="s">
        <v>1405</v>
      </c>
      <c r="K2127" t="s">
        <v>32</v>
      </c>
      <c r="L2127" t="s">
        <v>716</v>
      </c>
      <c r="Q2127" t="s">
        <v>993</v>
      </c>
      <c r="R2127" t="s">
        <v>993</v>
      </c>
      <c r="S2127">
        <v>10</v>
      </c>
    </row>
    <row r="2128" spans="1:19" x14ac:dyDescent="0.25">
      <c r="A2128" t="s">
        <v>986</v>
      </c>
      <c r="B2128" t="s">
        <v>993</v>
      </c>
      <c r="C2128">
        <v>5</v>
      </c>
      <c r="D2128" t="s">
        <v>914</v>
      </c>
      <c r="E2128" t="s">
        <v>1427</v>
      </c>
      <c r="F2128" t="s">
        <v>26</v>
      </c>
      <c r="G2128">
        <v>75</v>
      </c>
      <c r="H2128">
        <v>85</v>
      </c>
      <c r="I2128" t="b">
        <v>0</v>
      </c>
      <c r="J2128" t="s">
        <v>1405</v>
      </c>
      <c r="K2128" t="s">
        <v>32</v>
      </c>
      <c r="L2128" t="s">
        <v>716</v>
      </c>
      <c r="Q2128" t="s">
        <v>993</v>
      </c>
      <c r="R2128" t="s">
        <v>993</v>
      </c>
      <c r="S2128">
        <v>10</v>
      </c>
    </row>
    <row r="2129" spans="1:19" x14ac:dyDescent="0.25">
      <c r="A2129" t="s">
        <v>986</v>
      </c>
      <c r="B2129" t="s">
        <v>993</v>
      </c>
      <c r="C2129">
        <v>2</v>
      </c>
      <c r="D2129" t="s">
        <v>916</v>
      </c>
      <c r="E2129" t="s">
        <v>1095</v>
      </c>
      <c r="F2129" t="s">
        <v>27</v>
      </c>
      <c r="G2129">
        <v>25</v>
      </c>
      <c r="H2129">
        <v>30</v>
      </c>
      <c r="I2129" t="b">
        <v>0</v>
      </c>
      <c r="J2129" t="s">
        <v>1424</v>
      </c>
      <c r="K2129" t="s">
        <v>32</v>
      </c>
      <c r="Q2129" t="s">
        <v>993</v>
      </c>
      <c r="R2129" t="s">
        <v>993</v>
      </c>
      <c r="S2129">
        <v>11</v>
      </c>
    </row>
    <row r="2130" spans="1:19" x14ac:dyDescent="0.25">
      <c r="A2130" t="s">
        <v>986</v>
      </c>
      <c r="B2130" t="s">
        <v>993</v>
      </c>
      <c r="C2130">
        <v>3</v>
      </c>
      <c r="D2130" t="s">
        <v>916</v>
      </c>
      <c r="E2130" t="s">
        <v>1076</v>
      </c>
      <c r="F2130" t="s">
        <v>26</v>
      </c>
      <c r="G2130">
        <v>30</v>
      </c>
      <c r="H2130">
        <v>40</v>
      </c>
      <c r="I2130" t="b">
        <v>0</v>
      </c>
      <c r="J2130" t="s">
        <v>1424</v>
      </c>
      <c r="K2130" t="s">
        <v>32</v>
      </c>
      <c r="Q2130" t="s">
        <v>993</v>
      </c>
      <c r="R2130" t="s">
        <v>993</v>
      </c>
      <c r="S2130">
        <v>11</v>
      </c>
    </row>
    <row r="2131" spans="1:19" x14ac:dyDescent="0.25">
      <c r="A2131" t="s">
        <v>986</v>
      </c>
      <c r="B2131" t="s">
        <v>993</v>
      </c>
      <c r="C2131">
        <v>2</v>
      </c>
      <c r="D2131" t="s">
        <v>407</v>
      </c>
      <c r="E2131" t="s">
        <v>1075</v>
      </c>
      <c r="F2131" t="s">
        <v>26</v>
      </c>
      <c r="G2131">
        <v>1</v>
      </c>
      <c r="H2131">
        <v>3</v>
      </c>
      <c r="I2131" t="b">
        <v>0</v>
      </c>
      <c r="J2131" t="s">
        <v>1407</v>
      </c>
      <c r="K2131" t="s">
        <v>32</v>
      </c>
      <c r="Q2131" t="s">
        <v>993</v>
      </c>
      <c r="R2131" t="s">
        <v>993</v>
      </c>
      <c r="S2131">
        <v>12</v>
      </c>
    </row>
    <row r="2132" spans="1:19" x14ac:dyDescent="0.25">
      <c r="A2132" t="s">
        <v>986</v>
      </c>
      <c r="B2132" t="s">
        <v>993</v>
      </c>
      <c r="C2132">
        <v>3</v>
      </c>
      <c r="D2132" t="s">
        <v>407</v>
      </c>
      <c r="E2132" t="s">
        <v>1098</v>
      </c>
      <c r="F2132" t="s">
        <v>26</v>
      </c>
      <c r="G2132">
        <v>3</v>
      </c>
      <c r="H2132">
        <v>7</v>
      </c>
      <c r="I2132" t="b">
        <v>0</v>
      </c>
      <c r="J2132" t="s">
        <v>1407</v>
      </c>
      <c r="K2132" t="s">
        <v>32</v>
      </c>
      <c r="Q2132" t="s">
        <v>993</v>
      </c>
      <c r="R2132" t="s">
        <v>993</v>
      </c>
      <c r="S2132">
        <v>12</v>
      </c>
    </row>
    <row r="2133" spans="1:19" x14ac:dyDescent="0.25">
      <c r="A2133" t="s">
        <v>986</v>
      </c>
      <c r="B2133" t="s">
        <v>993</v>
      </c>
      <c r="C2133">
        <v>4</v>
      </c>
      <c r="D2133" t="s">
        <v>407</v>
      </c>
      <c r="E2133" t="s">
        <v>1088</v>
      </c>
      <c r="F2133" t="s">
        <v>26</v>
      </c>
      <c r="G2133">
        <v>15</v>
      </c>
      <c r="H2133">
        <v>25</v>
      </c>
      <c r="I2133" t="b">
        <v>0</v>
      </c>
      <c r="J2133" t="s">
        <v>1407</v>
      </c>
      <c r="K2133" t="s">
        <v>32</v>
      </c>
      <c r="Q2133" t="s">
        <v>993</v>
      </c>
      <c r="R2133" t="s">
        <v>993</v>
      </c>
      <c r="S2133">
        <v>12</v>
      </c>
    </row>
    <row r="2134" spans="1:19" x14ac:dyDescent="0.25">
      <c r="A2134" t="s">
        <v>986</v>
      </c>
      <c r="B2134" t="s">
        <v>993</v>
      </c>
      <c r="C2134">
        <v>5</v>
      </c>
      <c r="D2134" t="s">
        <v>407</v>
      </c>
      <c r="E2134" t="s">
        <v>1080</v>
      </c>
      <c r="F2134" t="s">
        <v>26</v>
      </c>
      <c r="G2134">
        <v>35</v>
      </c>
      <c r="H2134">
        <v>45</v>
      </c>
      <c r="I2134" t="b">
        <v>0</v>
      </c>
      <c r="J2134" t="s">
        <v>1407</v>
      </c>
      <c r="K2134" t="s">
        <v>32</v>
      </c>
      <c r="L2134" t="s">
        <v>716</v>
      </c>
      <c r="Q2134" t="s">
        <v>993</v>
      </c>
      <c r="R2134" t="s">
        <v>993</v>
      </c>
      <c r="S2134">
        <v>12</v>
      </c>
    </row>
    <row r="2135" spans="1:19" x14ac:dyDescent="0.25">
      <c r="A2135" t="s">
        <v>986</v>
      </c>
      <c r="B2135" t="s">
        <v>993</v>
      </c>
      <c r="C2135">
        <v>2</v>
      </c>
      <c r="D2135" t="s">
        <v>908</v>
      </c>
      <c r="E2135" t="s">
        <v>956</v>
      </c>
      <c r="F2135" t="s">
        <v>25</v>
      </c>
      <c r="G2135">
        <v>5</v>
      </c>
      <c r="H2135">
        <v>8</v>
      </c>
      <c r="I2135" t="b">
        <v>1</v>
      </c>
      <c r="J2135" t="s">
        <v>1401</v>
      </c>
      <c r="K2135" t="s">
        <v>32</v>
      </c>
      <c r="Q2135" t="s">
        <v>993</v>
      </c>
      <c r="R2135" t="s">
        <v>993</v>
      </c>
      <c r="S2135">
        <v>15</v>
      </c>
    </row>
    <row r="2136" spans="1:19" x14ac:dyDescent="0.25">
      <c r="A2136" t="s">
        <v>986</v>
      </c>
      <c r="B2136" t="s">
        <v>993</v>
      </c>
      <c r="C2136">
        <v>3</v>
      </c>
      <c r="D2136" t="s">
        <v>908</v>
      </c>
      <c r="E2136" t="s">
        <v>912</v>
      </c>
      <c r="F2136" t="s">
        <v>25</v>
      </c>
      <c r="G2136">
        <v>2</v>
      </c>
      <c r="H2136">
        <v>5</v>
      </c>
      <c r="I2136" t="b">
        <v>1</v>
      </c>
      <c r="J2136" t="s">
        <v>1401</v>
      </c>
      <c r="K2136" t="s">
        <v>32</v>
      </c>
      <c r="L2136" t="s">
        <v>926</v>
      </c>
      <c r="Q2136" t="s">
        <v>993</v>
      </c>
      <c r="R2136" t="s">
        <v>993</v>
      </c>
      <c r="S2136">
        <v>15</v>
      </c>
    </row>
    <row r="2137" spans="1:19" x14ac:dyDescent="0.25">
      <c r="A2137" t="s">
        <v>986</v>
      </c>
      <c r="B2137" t="s">
        <v>993</v>
      </c>
      <c r="C2137">
        <v>2</v>
      </c>
      <c r="D2137" t="s">
        <v>911</v>
      </c>
      <c r="E2137" t="s">
        <v>956</v>
      </c>
      <c r="F2137" t="s">
        <v>25</v>
      </c>
      <c r="G2137">
        <v>5</v>
      </c>
      <c r="H2137">
        <v>8</v>
      </c>
      <c r="I2137" t="b">
        <v>1</v>
      </c>
      <c r="J2137" t="s">
        <v>1404</v>
      </c>
      <c r="K2137" t="s">
        <v>32</v>
      </c>
      <c r="Q2137" t="s">
        <v>993</v>
      </c>
      <c r="R2137" t="s">
        <v>993</v>
      </c>
      <c r="S2137">
        <v>16</v>
      </c>
    </row>
    <row r="2138" spans="1:19" x14ac:dyDescent="0.25">
      <c r="A2138" t="s">
        <v>986</v>
      </c>
      <c r="B2138" t="s">
        <v>993</v>
      </c>
      <c r="C2138">
        <v>3</v>
      </c>
      <c r="D2138" t="s">
        <v>911</v>
      </c>
      <c r="E2138" t="s">
        <v>912</v>
      </c>
      <c r="F2138" t="s">
        <v>25</v>
      </c>
      <c r="G2138">
        <v>2</v>
      </c>
      <c r="H2138">
        <v>5</v>
      </c>
      <c r="I2138" t="b">
        <v>1</v>
      </c>
      <c r="J2138" t="s">
        <v>1404</v>
      </c>
      <c r="K2138" t="s">
        <v>32</v>
      </c>
      <c r="L2138" t="s">
        <v>926</v>
      </c>
      <c r="Q2138" t="s">
        <v>993</v>
      </c>
      <c r="R2138" t="s">
        <v>993</v>
      </c>
      <c r="S2138">
        <v>16</v>
      </c>
    </row>
    <row r="2139" spans="1:19" x14ac:dyDescent="0.25">
      <c r="A2139" t="s">
        <v>986</v>
      </c>
      <c r="B2139" t="s">
        <v>993</v>
      </c>
      <c r="C2139">
        <v>2</v>
      </c>
      <c r="D2139" t="s">
        <v>906</v>
      </c>
      <c r="E2139" t="s">
        <v>988</v>
      </c>
      <c r="F2139" t="s">
        <v>25</v>
      </c>
      <c r="G2139">
        <v>3</v>
      </c>
      <c r="H2139">
        <v>6</v>
      </c>
      <c r="I2139" t="b">
        <v>1</v>
      </c>
      <c r="J2139" t="s">
        <v>1400</v>
      </c>
      <c r="K2139" t="s">
        <v>32</v>
      </c>
      <c r="Q2139" t="s">
        <v>993</v>
      </c>
      <c r="R2139" t="s">
        <v>993</v>
      </c>
      <c r="S2139">
        <v>17</v>
      </c>
    </row>
    <row r="2140" spans="1:19" x14ac:dyDescent="0.25">
      <c r="A2140" t="s">
        <v>986</v>
      </c>
      <c r="B2140" t="s">
        <v>993</v>
      </c>
      <c r="C2140">
        <v>3</v>
      </c>
      <c r="D2140" t="s">
        <v>906</v>
      </c>
      <c r="E2140" t="s">
        <v>923</v>
      </c>
      <c r="F2140" t="s">
        <v>25</v>
      </c>
      <c r="G2140">
        <v>0</v>
      </c>
      <c r="H2140">
        <v>3</v>
      </c>
      <c r="I2140" t="b">
        <v>1</v>
      </c>
      <c r="J2140" t="s">
        <v>1400</v>
      </c>
      <c r="K2140" t="s">
        <v>32</v>
      </c>
      <c r="L2140" t="s">
        <v>926</v>
      </c>
      <c r="Q2140" t="s">
        <v>993</v>
      </c>
      <c r="R2140" t="s">
        <v>993</v>
      </c>
      <c r="S2140">
        <v>17</v>
      </c>
    </row>
    <row r="2141" spans="1:19" x14ac:dyDescent="0.25">
      <c r="A2141" t="s">
        <v>986</v>
      </c>
      <c r="B2141" t="s">
        <v>993</v>
      </c>
      <c r="C2141">
        <v>2</v>
      </c>
      <c r="D2141" t="s">
        <v>909</v>
      </c>
      <c r="E2141" t="s">
        <v>834</v>
      </c>
      <c r="F2141" t="s">
        <v>24</v>
      </c>
      <c r="G2141">
        <v>1</v>
      </c>
      <c r="H2141">
        <v>3</v>
      </c>
      <c r="I2141" t="b">
        <v>1</v>
      </c>
      <c r="J2141" t="s">
        <v>1403</v>
      </c>
      <c r="K2141" t="s">
        <v>32</v>
      </c>
      <c r="Q2141" t="s">
        <v>993</v>
      </c>
      <c r="R2141" t="s">
        <v>993</v>
      </c>
      <c r="S2141">
        <v>18</v>
      </c>
    </row>
    <row r="2142" spans="1:19" x14ac:dyDescent="0.25">
      <c r="A2142" t="s">
        <v>986</v>
      </c>
      <c r="B2142" t="s">
        <v>993</v>
      </c>
      <c r="C2142">
        <v>3</v>
      </c>
      <c r="D2142" t="s">
        <v>909</v>
      </c>
      <c r="E2142" t="s">
        <v>725</v>
      </c>
      <c r="F2142" t="s">
        <v>25</v>
      </c>
      <c r="G2142">
        <v>0</v>
      </c>
      <c r="H2142">
        <v>1</v>
      </c>
      <c r="I2142" t="b">
        <v>1</v>
      </c>
      <c r="J2142" t="s">
        <v>1403</v>
      </c>
      <c r="K2142" t="s">
        <v>32</v>
      </c>
      <c r="L2142" t="s">
        <v>926</v>
      </c>
      <c r="Q2142" t="s">
        <v>993</v>
      </c>
      <c r="R2142" t="s">
        <v>993</v>
      </c>
      <c r="S2142">
        <v>18</v>
      </c>
    </row>
    <row r="2143" spans="1:19" x14ac:dyDescent="0.25">
      <c r="A2143" t="s">
        <v>986</v>
      </c>
      <c r="B2143" t="s">
        <v>993</v>
      </c>
      <c r="C2143">
        <v>2</v>
      </c>
      <c r="D2143" t="s">
        <v>1425</v>
      </c>
      <c r="E2143" t="s">
        <v>1073</v>
      </c>
      <c r="F2143" t="s">
        <v>25</v>
      </c>
      <c r="G2143">
        <v>35</v>
      </c>
      <c r="H2143">
        <v>40</v>
      </c>
      <c r="I2143" t="b">
        <v>1</v>
      </c>
      <c r="J2143" t="s">
        <v>1426</v>
      </c>
      <c r="K2143" t="s">
        <v>32</v>
      </c>
      <c r="Q2143" t="s">
        <v>993</v>
      </c>
      <c r="R2143" t="s">
        <v>993</v>
      </c>
      <c r="S2143">
        <v>20</v>
      </c>
    </row>
    <row r="2144" spans="1:19" x14ac:dyDescent="0.25">
      <c r="A2144" t="s">
        <v>986</v>
      </c>
      <c r="B2144" t="s">
        <v>993</v>
      </c>
      <c r="C2144">
        <v>3</v>
      </c>
      <c r="D2144" t="s">
        <v>1425</v>
      </c>
      <c r="E2144" t="s">
        <v>1097</v>
      </c>
      <c r="F2144" t="s">
        <v>24</v>
      </c>
      <c r="G2144">
        <v>25</v>
      </c>
      <c r="H2144">
        <v>35</v>
      </c>
      <c r="I2144" t="b">
        <v>1</v>
      </c>
      <c r="J2144" t="s">
        <v>1426</v>
      </c>
      <c r="K2144" t="s">
        <v>32</v>
      </c>
      <c r="Q2144" t="s">
        <v>993</v>
      </c>
      <c r="R2144" t="s">
        <v>993</v>
      </c>
      <c r="S2144">
        <v>20</v>
      </c>
    </row>
    <row r="2145" spans="1:19" x14ac:dyDescent="0.25">
      <c r="A2145" t="s">
        <v>986</v>
      </c>
      <c r="B2145" t="s">
        <v>993</v>
      </c>
      <c r="C2145">
        <v>4</v>
      </c>
      <c r="D2145" t="s">
        <v>1425</v>
      </c>
      <c r="E2145" t="s">
        <v>1100</v>
      </c>
      <c r="F2145" t="s">
        <v>25</v>
      </c>
      <c r="G2145">
        <v>20</v>
      </c>
      <c r="H2145">
        <v>25</v>
      </c>
      <c r="I2145" t="b">
        <v>1</v>
      </c>
      <c r="J2145" t="s">
        <v>1426</v>
      </c>
      <c r="K2145" t="s">
        <v>32</v>
      </c>
      <c r="Q2145" t="s">
        <v>993</v>
      </c>
      <c r="R2145" t="s">
        <v>993</v>
      </c>
      <c r="S2145">
        <v>20</v>
      </c>
    </row>
    <row r="2146" spans="1:19" x14ac:dyDescent="0.25">
      <c r="A2146" t="s">
        <v>986</v>
      </c>
      <c r="B2146" t="s">
        <v>993</v>
      </c>
      <c r="C2146">
        <v>4</v>
      </c>
      <c r="D2146" t="s">
        <v>1085</v>
      </c>
      <c r="E2146" t="s">
        <v>1099</v>
      </c>
      <c r="F2146" t="s">
        <v>25</v>
      </c>
      <c r="G2146">
        <v>1</v>
      </c>
      <c r="H2146">
        <v>2</v>
      </c>
      <c r="I2146" t="b">
        <v>1</v>
      </c>
      <c r="J2146" t="s">
        <v>1369</v>
      </c>
      <c r="K2146" t="s">
        <v>32</v>
      </c>
      <c r="Q2146" t="s">
        <v>993</v>
      </c>
      <c r="R2146" t="s">
        <v>993</v>
      </c>
      <c r="S2146">
        <v>27</v>
      </c>
    </row>
    <row r="2147" spans="1:19" x14ac:dyDescent="0.25">
      <c r="A2147" t="s">
        <v>986</v>
      </c>
      <c r="B2147" t="s">
        <v>993</v>
      </c>
      <c r="C2147">
        <v>5</v>
      </c>
      <c r="D2147" t="s">
        <v>1085</v>
      </c>
      <c r="E2147" t="s">
        <v>1086</v>
      </c>
      <c r="F2147" t="s">
        <v>25</v>
      </c>
      <c r="G2147">
        <v>-0.5</v>
      </c>
      <c r="H2147">
        <v>2</v>
      </c>
      <c r="I2147" t="b">
        <v>1</v>
      </c>
      <c r="J2147" t="s">
        <v>1369</v>
      </c>
      <c r="K2147" t="s">
        <v>32</v>
      </c>
      <c r="L2147" t="s">
        <v>716</v>
      </c>
      <c r="Q2147" t="s">
        <v>993</v>
      </c>
      <c r="R2147" t="s">
        <v>993</v>
      </c>
      <c r="S2147">
        <v>27</v>
      </c>
    </row>
    <row r="2148" spans="1:19" x14ac:dyDescent="0.25">
      <c r="A2148" t="s">
        <v>986</v>
      </c>
      <c r="B2148" t="s">
        <v>991</v>
      </c>
      <c r="C2148">
        <v>2</v>
      </c>
      <c r="D2148" t="s">
        <v>11</v>
      </c>
      <c r="E2148" t="s">
        <v>953</v>
      </c>
      <c r="F2148" t="s">
        <v>24</v>
      </c>
      <c r="G2148">
        <v>40</v>
      </c>
      <c r="H2148">
        <v>50</v>
      </c>
      <c r="I2148" t="b">
        <v>1</v>
      </c>
      <c r="J2148" t="s">
        <v>0</v>
      </c>
      <c r="K2148" t="s">
        <v>32</v>
      </c>
      <c r="L2148" t="s">
        <v>716</v>
      </c>
      <c r="Q2148" t="s">
        <v>991</v>
      </c>
      <c r="R2148" t="s">
        <v>991</v>
      </c>
      <c r="S2148">
        <v>1</v>
      </c>
    </row>
    <row r="2149" spans="1:19" x14ac:dyDescent="0.25">
      <c r="A2149" t="s">
        <v>986</v>
      </c>
      <c r="B2149" t="s">
        <v>991</v>
      </c>
      <c r="C2149">
        <v>3</v>
      </c>
      <c r="D2149" t="s">
        <v>11</v>
      </c>
      <c r="E2149" t="s">
        <v>952</v>
      </c>
      <c r="F2149" t="s">
        <v>25</v>
      </c>
      <c r="G2149">
        <v>35</v>
      </c>
      <c r="H2149">
        <v>40</v>
      </c>
      <c r="I2149" t="b">
        <v>1</v>
      </c>
      <c r="J2149" t="s">
        <v>0</v>
      </c>
      <c r="K2149" t="s">
        <v>32</v>
      </c>
      <c r="L2149" t="s">
        <v>929</v>
      </c>
      <c r="Q2149" t="s">
        <v>991</v>
      </c>
      <c r="R2149" t="s">
        <v>991</v>
      </c>
      <c r="S2149">
        <v>1</v>
      </c>
    </row>
    <row r="2150" spans="1:19" x14ac:dyDescent="0.25">
      <c r="A2150" t="s">
        <v>986</v>
      </c>
      <c r="B2150" t="s">
        <v>991</v>
      </c>
      <c r="C2150">
        <v>4</v>
      </c>
      <c r="D2150" t="s">
        <v>11</v>
      </c>
      <c r="E2150" t="s">
        <v>966</v>
      </c>
      <c r="F2150" t="s">
        <v>25</v>
      </c>
      <c r="G2150">
        <v>30</v>
      </c>
      <c r="H2150">
        <v>35</v>
      </c>
      <c r="I2150" t="b">
        <v>1</v>
      </c>
      <c r="J2150" t="s">
        <v>0</v>
      </c>
      <c r="K2150" t="s">
        <v>32</v>
      </c>
      <c r="L2150" t="s">
        <v>716</v>
      </c>
      <c r="Q2150" t="s">
        <v>991</v>
      </c>
      <c r="R2150" t="s">
        <v>991</v>
      </c>
      <c r="S2150">
        <v>1</v>
      </c>
    </row>
    <row r="2151" spans="1:19" x14ac:dyDescent="0.25">
      <c r="A2151" t="s">
        <v>986</v>
      </c>
      <c r="B2151" t="s">
        <v>991</v>
      </c>
      <c r="C2151">
        <v>5</v>
      </c>
      <c r="D2151" t="s">
        <v>11</v>
      </c>
      <c r="E2151" t="s">
        <v>932</v>
      </c>
      <c r="F2151" t="s">
        <v>25</v>
      </c>
      <c r="G2151">
        <v>25</v>
      </c>
      <c r="H2151">
        <v>30</v>
      </c>
      <c r="I2151" t="b">
        <v>1</v>
      </c>
      <c r="J2151" t="s">
        <v>0</v>
      </c>
      <c r="K2151" t="s">
        <v>32</v>
      </c>
      <c r="L2151" t="s">
        <v>716</v>
      </c>
      <c r="Q2151" t="s">
        <v>991</v>
      </c>
      <c r="R2151" t="s">
        <v>991</v>
      </c>
      <c r="S2151">
        <v>1</v>
      </c>
    </row>
    <row r="2152" spans="1:19" x14ac:dyDescent="0.25">
      <c r="A2152" t="s">
        <v>986</v>
      </c>
      <c r="B2152" t="s">
        <v>991</v>
      </c>
      <c r="C2152">
        <v>2</v>
      </c>
      <c r="D2152" t="s">
        <v>342</v>
      </c>
      <c r="E2152" t="s">
        <v>992</v>
      </c>
      <c r="F2152" t="s">
        <v>24</v>
      </c>
      <c r="G2152">
        <v>4.3</v>
      </c>
      <c r="H2152">
        <v>4.7</v>
      </c>
      <c r="I2152" t="b">
        <v>1</v>
      </c>
      <c r="J2152" t="s">
        <v>343</v>
      </c>
      <c r="K2152" t="s">
        <v>32</v>
      </c>
      <c r="L2152" t="s">
        <v>716</v>
      </c>
      <c r="Q2152" t="s">
        <v>991</v>
      </c>
      <c r="R2152" t="s">
        <v>991</v>
      </c>
      <c r="S2152">
        <v>4</v>
      </c>
    </row>
    <row r="2153" spans="1:19" x14ac:dyDescent="0.25">
      <c r="A2153" t="s">
        <v>986</v>
      </c>
      <c r="B2153" t="s">
        <v>991</v>
      </c>
      <c r="C2153">
        <v>3</v>
      </c>
      <c r="D2153" t="s">
        <v>342</v>
      </c>
      <c r="E2153" t="s">
        <v>1105</v>
      </c>
      <c r="F2153" t="s">
        <v>25</v>
      </c>
      <c r="G2153">
        <v>3.3</v>
      </c>
      <c r="H2153">
        <v>4</v>
      </c>
      <c r="I2153" t="b">
        <v>1</v>
      </c>
      <c r="J2153" t="s">
        <v>343</v>
      </c>
      <c r="K2153" t="s">
        <v>32</v>
      </c>
      <c r="L2153" t="s">
        <v>929</v>
      </c>
      <c r="Q2153" t="s">
        <v>991</v>
      </c>
      <c r="R2153" t="s">
        <v>991</v>
      </c>
      <c r="S2153">
        <v>4</v>
      </c>
    </row>
    <row r="2154" spans="1:19" x14ac:dyDescent="0.25">
      <c r="A2154" t="s">
        <v>986</v>
      </c>
      <c r="B2154" t="s">
        <v>991</v>
      </c>
      <c r="C2154">
        <v>4</v>
      </c>
      <c r="D2154" t="s">
        <v>342</v>
      </c>
      <c r="E2154" t="s">
        <v>1107</v>
      </c>
      <c r="F2154" t="s">
        <v>24</v>
      </c>
      <c r="G2154">
        <v>2.8</v>
      </c>
      <c r="H2154">
        <v>3.3</v>
      </c>
      <c r="I2154" t="b">
        <v>1</v>
      </c>
      <c r="J2154" t="s">
        <v>343</v>
      </c>
      <c r="K2154" t="s">
        <v>32</v>
      </c>
      <c r="L2154" t="s">
        <v>716</v>
      </c>
      <c r="Q2154" t="s">
        <v>991</v>
      </c>
      <c r="R2154" t="s">
        <v>991</v>
      </c>
      <c r="S2154">
        <v>4</v>
      </c>
    </row>
    <row r="2155" spans="1:19" x14ac:dyDescent="0.25">
      <c r="A2155" t="s">
        <v>986</v>
      </c>
      <c r="B2155" t="s">
        <v>991</v>
      </c>
      <c r="C2155">
        <v>5</v>
      </c>
      <c r="D2155" t="s">
        <v>342</v>
      </c>
      <c r="E2155" t="s">
        <v>1108</v>
      </c>
      <c r="F2155" t="s">
        <v>24</v>
      </c>
      <c r="G2155">
        <v>1.8</v>
      </c>
      <c r="H2155">
        <v>2.2000000000000002</v>
      </c>
      <c r="I2155" t="b">
        <v>1</v>
      </c>
      <c r="J2155" t="s">
        <v>343</v>
      </c>
      <c r="K2155" t="s">
        <v>32</v>
      </c>
      <c r="L2155" t="s">
        <v>716</v>
      </c>
      <c r="Q2155" t="s">
        <v>991</v>
      </c>
      <c r="R2155" t="s">
        <v>991</v>
      </c>
      <c r="S2155">
        <v>4</v>
      </c>
    </row>
    <row r="2156" spans="1:19" x14ac:dyDescent="0.25">
      <c r="A2156" t="s">
        <v>986</v>
      </c>
      <c r="B2156" t="s">
        <v>991</v>
      </c>
      <c r="C2156">
        <v>2</v>
      </c>
      <c r="D2156" t="s">
        <v>921</v>
      </c>
      <c r="E2156" t="s">
        <v>922</v>
      </c>
      <c r="F2156" t="s">
        <v>24</v>
      </c>
      <c r="G2156">
        <v>20</v>
      </c>
      <c r="H2156">
        <v>30</v>
      </c>
      <c r="I2156" t="b">
        <v>1</v>
      </c>
      <c r="J2156" t="s">
        <v>1402</v>
      </c>
      <c r="K2156" t="s">
        <v>32</v>
      </c>
      <c r="L2156" t="s">
        <v>716</v>
      </c>
      <c r="Q2156" t="s">
        <v>991</v>
      </c>
      <c r="R2156" t="s">
        <v>991</v>
      </c>
      <c r="S2156">
        <v>5</v>
      </c>
    </row>
    <row r="2157" spans="1:19" x14ac:dyDescent="0.25">
      <c r="A2157" t="s">
        <v>986</v>
      </c>
      <c r="B2157" t="s">
        <v>991</v>
      </c>
      <c r="C2157">
        <v>3</v>
      </c>
      <c r="D2157" t="s">
        <v>921</v>
      </c>
      <c r="E2157" t="s">
        <v>1083</v>
      </c>
      <c r="F2157" t="s">
        <v>25</v>
      </c>
      <c r="G2157">
        <v>13</v>
      </c>
      <c r="H2157">
        <v>20</v>
      </c>
      <c r="I2157" t="b">
        <v>1</v>
      </c>
      <c r="J2157" t="s">
        <v>1402</v>
      </c>
      <c r="K2157" t="s">
        <v>32</v>
      </c>
      <c r="L2157" t="s">
        <v>929</v>
      </c>
      <c r="Q2157" t="s">
        <v>991</v>
      </c>
      <c r="R2157" t="s">
        <v>991</v>
      </c>
      <c r="S2157">
        <v>5</v>
      </c>
    </row>
    <row r="2158" spans="1:19" x14ac:dyDescent="0.25">
      <c r="A2158" t="s">
        <v>986</v>
      </c>
      <c r="B2158" t="s">
        <v>991</v>
      </c>
      <c r="C2158">
        <v>4</v>
      </c>
      <c r="D2158" t="s">
        <v>921</v>
      </c>
      <c r="E2158" t="s">
        <v>934</v>
      </c>
      <c r="F2158" t="s">
        <v>25</v>
      </c>
      <c r="G2158">
        <v>10</v>
      </c>
      <c r="H2158">
        <v>15</v>
      </c>
      <c r="I2158" t="b">
        <v>1</v>
      </c>
      <c r="J2158" t="s">
        <v>1402</v>
      </c>
      <c r="K2158" t="s">
        <v>32</v>
      </c>
      <c r="L2158" t="s">
        <v>716</v>
      </c>
      <c r="Q2158" t="s">
        <v>991</v>
      </c>
      <c r="R2158" t="s">
        <v>991</v>
      </c>
      <c r="S2158">
        <v>5</v>
      </c>
    </row>
    <row r="2159" spans="1:19" x14ac:dyDescent="0.25">
      <c r="A2159" t="s">
        <v>986</v>
      </c>
      <c r="B2159" t="s">
        <v>991</v>
      </c>
      <c r="C2159">
        <v>2</v>
      </c>
      <c r="D2159" t="s">
        <v>957</v>
      </c>
      <c r="E2159" t="s">
        <v>1094</v>
      </c>
      <c r="F2159" t="s">
        <v>25</v>
      </c>
      <c r="G2159">
        <v>3</v>
      </c>
      <c r="H2159">
        <v>6</v>
      </c>
      <c r="I2159" t="b">
        <v>1</v>
      </c>
      <c r="J2159" t="s">
        <v>1423</v>
      </c>
      <c r="K2159" t="s">
        <v>32</v>
      </c>
      <c r="Q2159" t="s">
        <v>991</v>
      </c>
      <c r="R2159" t="s">
        <v>991</v>
      </c>
      <c r="S2159">
        <v>9</v>
      </c>
    </row>
    <row r="2160" spans="1:19" x14ac:dyDescent="0.25">
      <c r="A2160" t="s">
        <v>986</v>
      </c>
      <c r="B2160" t="s">
        <v>991</v>
      </c>
      <c r="C2160">
        <v>3</v>
      </c>
      <c r="D2160" t="s">
        <v>957</v>
      </c>
      <c r="E2160" t="s">
        <v>1096</v>
      </c>
      <c r="F2160" t="s">
        <v>25</v>
      </c>
      <c r="G2160">
        <v>0</v>
      </c>
      <c r="H2160">
        <v>3</v>
      </c>
      <c r="I2160" t="b">
        <v>1</v>
      </c>
      <c r="J2160" t="s">
        <v>1423</v>
      </c>
      <c r="K2160" t="s">
        <v>32</v>
      </c>
      <c r="Q2160" t="s">
        <v>991</v>
      </c>
      <c r="R2160" t="s">
        <v>991</v>
      </c>
      <c r="S2160">
        <v>9</v>
      </c>
    </row>
    <row r="2161" spans="1:19" x14ac:dyDescent="0.25">
      <c r="A2161" t="s">
        <v>986</v>
      </c>
      <c r="B2161" t="s">
        <v>991</v>
      </c>
      <c r="C2161">
        <v>2</v>
      </c>
      <c r="D2161" t="s">
        <v>914</v>
      </c>
      <c r="E2161" t="s">
        <v>1080</v>
      </c>
      <c r="F2161" t="s">
        <v>26</v>
      </c>
      <c r="G2161">
        <v>35</v>
      </c>
      <c r="H2161">
        <v>45</v>
      </c>
      <c r="I2161" t="b">
        <v>0</v>
      </c>
      <c r="J2161" t="s">
        <v>1405</v>
      </c>
      <c r="K2161" t="s">
        <v>32</v>
      </c>
      <c r="Q2161" t="s">
        <v>991</v>
      </c>
      <c r="R2161" t="s">
        <v>991</v>
      </c>
      <c r="S2161">
        <v>10</v>
      </c>
    </row>
    <row r="2162" spans="1:19" x14ac:dyDescent="0.25">
      <c r="A2162" t="s">
        <v>986</v>
      </c>
      <c r="B2162" t="s">
        <v>991</v>
      </c>
      <c r="C2162">
        <v>3</v>
      </c>
      <c r="D2162" t="s">
        <v>914</v>
      </c>
      <c r="E2162" t="s">
        <v>1104</v>
      </c>
      <c r="F2162" t="s">
        <v>26</v>
      </c>
      <c r="G2162">
        <v>45</v>
      </c>
      <c r="H2162">
        <v>55</v>
      </c>
      <c r="I2162" t="b">
        <v>0</v>
      </c>
      <c r="J2162" t="s">
        <v>1405</v>
      </c>
      <c r="K2162" t="s">
        <v>32</v>
      </c>
      <c r="Q2162" t="s">
        <v>991</v>
      </c>
      <c r="R2162" t="s">
        <v>991</v>
      </c>
      <c r="S2162">
        <v>10</v>
      </c>
    </row>
    <row r="2163" spans="1:19" x14ac:dyDescent="0.25">
      <c r="A2163" t="s">
        <v>986</v>
      </c>
      <c r="B2163" t="s">
        <v>991</v>
      </c>
      <c r="C2163">
        <v>4</v>
      </c>
      <c r="D2163" t="s">
        <v>914</v>
      </c>
      <c r="E2163" t="s">
        <v>1089</v>
      </c>
      <c r="F2163" t="s">
        <v>26</v>
      </c>
      <c r="G2163">
        <v>70</v>
      </c>
      <c r="H2163">
        <v>80</v>
      </c>
      <c r="I2163" t="b">
        <v>0</v>
      </c>
      <c r="J2163" t="s">
        <v>1405</v>
      </c>
      <c r="K2163" t="s">
        <v>32</v>
      </c>
      <c r="L2163" t="s">
        <v>716</v>
      </c>
      <c r="Q2163" t="s">
        <v>991</v>
      </c>
      <c r="R2163" t="s">
        <v>991</v>
      </c>
      <c r="S2163">
        <v>10</v>
      </c>
    </row>
    <row r="2164" spans="1:19" x14ac:dyDescent="0.25">
      <c r="A2164" t="s">
        <v>986</v>
      </c>
      <c r="B2164" t="s">
        <v>991</v>
      </c>
      <c r="C2164">
        <v>5</v>
      </c>
      <c r="D2164" t="s">
        <v>914</v>
      </c>
      <c r="E2164" t="s">
        <v>1092</v>
      </c>
      <c r="F2164" t="s">
        <v>26</v>
      </c>
      <c r="G2164">
        <v>85</v>
      </c>
      <c r="H2164">
        <v>95</v>
      </c>
      <c r="I2164" t="b">
        <v>0</v>
      </c>
      <c r="J2164" t="s">
        <v>1405</v>
      </c>
      <c r="K2164" t="s">
        <v>32</v>
      </c>
      <c r="L2164" t="s">
        <v>716</v>
      </c>
      <c r="Q2164" t="s">
        <v>991</v>
      </c>
      <c r="R2164" t="s">
        <v>991</v>
      </c>
      <c r="S2164">
        <v>10</v>
      </c>
    </row>
    <row r="2165" spans="1:19" x14ac:dyDescent="0.25">
      <c r="A2165" t="s">
        <v>986</v>
      </c>
      <c r="B2165" t="s">
        <v>991</v>
      </c>
      <c r="C2165">
        <v>2</v>
      </c>
      <c r="D2165" t="s">
        <v>916</v>
      </c>
      <c r="E2165" t="s">
        <v>1095</v>
      </c>
      <c r="F2165" t="s">
        <v>27</v>
      </c>
      <c r="G2165">
        <v>25</v>
      </c>
      <c r="H2165">
        <v>30</v>
      </c>
      <c r="I2165" t="b">
        <v>0</v>
      </c>
      <c r="J2165" t="s">
        <v>1424</v>
      </c>
      <c r="K2165" t="s">
        <v>32</v>
      </c>
      <c r="Q2165" t="s">
        <v>991</v>
      </c>
      <c r="R2165" t="s">
        <v>991</v>
      </c>
      <c r="S2165">
        <v>11</v>
      </c>
    </row>
    <row r="2166" spans="1:19" x14ac:dyDescent="0.25">
      <c r="A2166" t="s">
        <v>986</v>
      </c>
      <c r="B2166" t="s">
        <v>991</v>
      </c>
      <c r="C2166">
        <v>3</v>
      </c>
      <c r="D2166" t="s">
        <v>916</v>
      </c>
      <c r="E2166" t="s">
        <v>1076</v>
      </c>
      <c r="F2166" t="s">
        <v>26</v>
      </c>
      <c r="G2166">
        <v>30</v>
      </c>
      <c r="H2166">
        <v>40</v>
      </c>
      <c r="I2166" t="b">
        <v>0</v>
      </c>
      <c r="J2166" t="s">
        <v>1424</v>
      </c>
      <c r="K2166" t="s">
        <v>32</v>
      </c>
      <c r="Q2166" t="s">
        <v>991</v>
      </c>
      <c r="R2166" t="s">
        <v>991</v>
      </c>
      <c r="S2166">
        <v>11</v>
      </c>
    </row>
    <row r="2167" spans="1:19" x14ac:dyDescent="0.25">
      <c r="A2167" t="s">
        <v>986</v>
      </c>
      <c r="B2167" t="s">
        <v>991</v>
      </c>
      <c r="C2167">
        <v>2</v>
      </c>
      <c r="D2167" t="s">
        <v>407</v>
      </c>
      <c r="E2167" t="s">
        <v>1075</v>
      </c>
      <c r="F2167" t="s">
        <v>26</v>
      </c>
      <c r="G2167">
        <v>1</v>
      </c>
      <c r="H2167">
        <v>3</v>
      </c>
      <c r="I2167" t="b">
        <v>0</v>
      </c>
      <c r="J2167" t="s">
        <v>1407</v>
      </c>
      <c r="K2167" t="s">
        <v>32</v>
      </c>
      <c r="Q2167" t="s">
        <v>991</v>
      </c>
      <c r="R2167" t="s">
        <v>991</v>
      </c>
      <c r="S2167">
        <v>12</v>
      </c>
    </row>
    <row r="2168" spans="1:19" x14ac:dyDescent="0.25">
      <c r="A2168" t="s">
        <v>986</v>
      </c>
      <c r="B2168" t="s">
        <v>991</v>
      </c>
      <c r="C2168">
        <v>3</v>
      </c>
      <c r="D2168" t="s">
        <v>407</v>
      </c>
      <c r="E2168" t="s">
        <v>1081</v>
      </c>
      <c r="F2168" t="s">
        <v>26</v>
      </c>
      <c r="G2168">
        <v>3</v>
      </c>
      <c r="H2168">
        <v>13</v>
      </c>
      <c r="I2168" t="b">
        <v>0</v>
      </c>
      <c r="J2168" t="s">
        <v>1407</v>
      </c>
      <c r="K2168" t="s">
        <v>32</v>
      </c>
      <c r="Q2168" t="s">
        <v>991</v>
      </c>
      <c r="R2168" t="s">
        <v>991</v>
      </c>
      <c r="S2168">
        <v>12</v>
      </c>
    </row>
    <row r="2169" spans="1:19" x14ac:dyDescent="0.25">
      <c r="A2169" t="s">
        <v>986</v>
      </c>
      <c r="B2169" t="s">
        <v>991</v>
      </c>
      <c r="C2169">
        <v>4</v>
      </c>
      <c r="D2169" t="s">
        <v>407</v>
      </c>
      <c r="E2169" t="s">
        <v>1088</v>
      </c>
      <c r="F2169" t="s">
        <v>26</v>
      </c>
      <c r="G2169">
        <v>15</v>
      </c>
      <c r="H2169">
        <v>25</v>
      </c>
      <c r="I2169" t="b">
        <v>0</v>
      </c>
      <c r="J2169" t="s">
        <v>1407</v>
      </c>
      <c r="K2169" t="s">
        <v>32</v>
      </c>
      <c r="Q2169" t="s">
        <v>991</v>
      </c>
      <c r="R2169" t="s">
        <v>991</v>
      </c>
      <c r="S2169">
        <v>12</v>
      </c>
    </row>
    <row r="2170" spans="1:19" x14ac:dyDescent="0.25">
      <c r="A2170" t="s">
        <v>986</v>
      </c>
      <c r="B2170" t="s">
        <v>991</v>
      </c>
      <c r="C2170">
        <v>5</v>
      </c>
      <c r="D2170" t="s">
        <v>407</v>
      </c>
      <c r="E2170" t="s">
        <v>1104</v>
      </c>
      <c r="F2170" t="s">
        <v>26</v>
      </c>
      <c r="G2170">
        <v>45</v>
      </c>
      <c r="H2170">
        <v>55</v>
      </c>
      <c r="I2170" t="b">
        <v>0</v>
      </c>
      <c r="J2170" t="s">
        <v>1407</v>
      </c>
      <c r="K2170" t="s">
        <v>32</v>
      </c>
      <c r="L2170" t="s">
        <v>716</v>
      </c>
      <c r="Q2170" t="s">
        <v>991</v>
      </c>
      <c r="R2170" t="s">
        <v>991</v>
      </c>
      <c r="S2170">
        <v>12</v>
      </c>
    </row>
    <row r="2171" spans="1:19" x14ac:dyDescent="0.25">
      <c r="A2171" t="s">
        <v>986</v>
      </c>
      <c r="B2171" t="s">
        <v>991</v>
      </c>
      <c r="C2171">
        <v>2</v>
      </c>
      <c r="D2171" t="s">
        <v>908</v>
      </c>
      <c r="E2171" t="s">
        <v>956</v>
      </c>
      <c r="F2171" t="s">
        <v>25</v>
      </c>
      <c r="G2171">
        <v>5</v>
      </c>
      <c r="H2171">
        <v>8</v>
      </c>
      <c r="I2171" t="b">
        <v>1</v>
      </c>
      <c r="J2171" t="s">
        <v>1401</v>
      </c>
      <c r="K2171" t="s">
        <v>32</v>
      </c>
      <c r="Q2171" t="s">
        <v>991</v>
      </c>
      <c r="R2171" t="s">
        <v>991</v>
      </c>
      <c r="S2171">
        <v>15</v>
      </c>
    </row>
    <row r="2172" spans="1:19" x14ac:dyDescent="0.25">
      <c r="A2172" t="s">
        <v>986</v>
      </c>
      <c r="B2172" t="s">
        <v>991</v>
      </c>
      <c r="C2172">
        <v>3</v>
      </c>
      <c r="D2172" t="s">
        <v>908</v>
      </c>
      <c r="E2172" t="s">
        <v>912</v>
      </c>
      <c r="F2172" t="s">
        <v>25</v>
      </c>
      <c r="G2172">
        <v>2</v>
      </c>
      <c r="H2172">
        <v>5</v>
      </c>
      <c r="I2172" t="b">
        <v>1</v>
      </c>
      <c r="J2172" t="s">
        <v>1401</v>
      </c>
      <c r="K2172" t="s">
        <v>32</v>
      </c>
      <c r="L2172" t="s">
        <v>926</v>
      </c>
      <c r="Q2172" t="s">
        <v>991</v>
      </c>
      <c r="R2172" t="s">
        <v>991</v>
      </c>
      <c r="S2172">
        <v>15</v>
      </c>
    </row>
    <row r="2173" spans="1:19" x14ac:dyDescent="0.25">
      <c r="A2173" t="s">
        <v>986</v>
      </c>
      <c r="B2173" t="s">
        <v>991</v>
      </c>
      <c r="C2173">
        <v>2</v>
      </c>
      <c r="D2173" t="s">
        <v>911</v>
      </c>
      <c r="E2173" t="s">
        <v>989</v>
      </c>
      <c r="F2173" t="s">
        <v>25</v>
      </c>
      <c r="G2173">
        <v>4</v>
      </c>
      <c r="H2173">
        <v>7</v>
      </c>
      <c r="I2173" t="b">
        <v>1</v>
      </c>
      <c r="J2173" t="s">
        <v>1404</v>
      </c>
      <c r="K2173" t="s">
        <v>32</v>
      </c>
      <c r="Q2173" t="s">
        <v>991</v>
      </c>
      <c r="R2173" t="s">
        <v>991</v>
      </c>
      <c r="S2173">
        <v>16</v>
      </c>
    </row>
    <row r="2174" spans="1:19" x14ac:dyDescent="0.25">
      <c r="A2174" t="s">
        <v>986</v>
      </c>
      <c r="B2174" t="s">
        <v>991</v>
      </c>
      <c r="C2174">
        <v>3</v>
      </c>
      <c r="D2174" t="s">
        <v>911</v>
      </c>
      <c r="E2174" t="s">
        <v>924</v>
      </c>
      <c r="F2174" t="s">
        <v>25</v>
      </c>
      <c r="G2174">
        <v>1</v>
      </c>
      <c r="H2174">
        <v>4</v>
      </c>
      <c r="I2174" t="b">
        <v>1</v>
      </c>
      <c r="J2174" t="s">
        <v>1404</v>
      </c>
      <c r="K2174" t="s">
        <v>32</v>
      </c>
      <c r="L2174" t="s">
        <v>926</v>
      </c>
      <c r="Q2174" t="s">
        <v>991</v>
      </c>
      <c r="R2174" t="s">
        <v>991</v>
      </c>
      <c r="S2174">
        <v>16</v>
      </c>
    </row>
    <row r="2175" spans="1:19" x14ac:dyDescent="0.25">
      <c r="A2175" t="s">
        <v>986</v>
      </c>
      <c r="B2175" t="s">
        <v>991</v>
      </c>
      <c r="C2175">
        <v>2</v>
      </c>
      <c r="D2175" t="s">
        <v>906</v>
      </c>
      <c r="E2175" t="s">
        <v>988</v>
      </c>
      <c r="F2175" t="s">
        <v>25</v>
      </c>
      <c r="G2175">
        <v>3</v>
      </c>
      <c r="H2175">
        <v>6</v>
      </c>
      <c r="I2175" t="b">
        <v>1</v>
      </c>
      <c r="J2175" t="s">
        <v>1400</v>
      </c>
      <c r="K2175" t="s">
        <v>32</v>
      </c>
      <c r="Q2175" t="s">
        <v>991</v>
      </c>
      <c r="R2175" t="s">
        <v>991</v>
      </c>
      <c r="S2175">
        <v>17</v>
      </c>
    </row>
    <row r="2176" spans="1:19" x14ac:dyDescent="0.25">
      <c r="A2176" t="s">
        <v>986</v>
      </c>
      <c r="B2176" t="s">
        <v>991</v>
      </c>
      <c r="C2176">
        <v>3</v>
      </c>
      <c r="D2176" t="s">
        <v>906</v>
      </c>
      <c r="E2176" t="s">
        <v>923</v>
      </c>
      <c r="F2176" t="s">
        <v>25</v>
      </c>
      <c r="G2176">
        <v>0</v>
      </c>
      <c r="H2176">
        <v>3</v>
      </c>
      <c r="I2176" t="b">
        <v>1</v>
      </c>
      <c r="J2176" t="s">
        <v>1400</v>
      </c>
      <c r="K2176" t="s">
        <v>32</v>
      </c>
      <c r="L2176" t="s">
        <v>926</v>
      </c>
      <c r="Q2176" t="s">
        <v>991</v>
      </c>
      <c r="R2176" t="s">
        <v>991</v>
      </c>
      <c r="S2176">
        <v>17</v>
      </c>
    </row>
    <row r="2177" spans="1:19" x14ac:dyDescent="0.25">
      <c r="A2177" t="s">
        <v>986</v>
      </c>
      <c r="B2177" t="s">
        <v>991</v>
      </c>
      <c r="C2177">
        <v>2</v>
      </c>
      <c r="D2177" t="s">
        <v>909</v>
      </c>
      <c r="E2177" t="s">
        <v>834</v>
      </c>
      <c r="F2177" t="s">
        <v>24</v>
      </c>
      <c r="G2177">
        <v>1</v>
      </c>
      <c r="H2177">
        <v>3</v>
      </c>
      <c r="I2177" t="b">
        <v>1</v>
      </c>
      <c r="J2177" t="s">
        <v>1403</v>
      </c>
      <c r="K2177" t="s">
        <v>32</v>
      </c>
      <c r="Q2177" t="s">
        <v>991</v>
      </c>
      <c r="R2177" t="s">
        <v>991</v>
      </c>
      <c r="S2177">
        <v>18</v>
      </c>
    </row>
    <row r="2178" spans="1:19" x14ac:dyDescent="0.25">
      <c r="A2178" t="s">
        <v>986</v>
      </c>
      <c r="B2178" t="s">
        <v>991</v>
      </c>
      <c r="C2178">
        <v>3</v>
      </c>
      <c r="D2178" t="s">
        <v>909</v>
      </c>
      <c r="E2178" t="s">
        <v>725</v>
      </c>
      <c r="F2178" t="s">
        <v>25</v>
      </c>
      <c r="G2178">
        <v>0</v>
      </c>
      <c r="H2178">
        <v>1</v>
      </c>
      <c r="I2178" t="b">
        <v>1</v>
      </c>
      <c r="J2178" t="s">
        <v>1403</v>
      </c>
      <c r="K2178" t="s">
        <v>32</v>
      </c>
      <c r="L2178" t="s">
        <v>926</v>
      </c>
      <c r="Q2178" t="s">
        <v>991</v>
      </c>
      <c r="R2178" t="s">
        <v>991</v>
      </c>
      <c r="S2178">
        <v>18</v>
      </c>
    </row>
    <row r="2179" spans="1:19" x14ac:dyDescent="0.25">
      <c r="A2179" t="s">
        <v>986</v>
      </c>
      <c r="B2179" t="s">
        <v>991</v>
      </c>
      <c r="C2179">
        <v>2</v>
      </c>
      <c r="D2179" t="s">
        <v>1425</v>
      </c>
      <c r="E2179" t="s">
        <v>1073</v>
      </c>
      <c r="F2179" t="s">
        <v>25</v>
      </c>
      <c r="G2179">
        <v>35</v>
      </c>
      <c r="H2179">
        <v>40</v>
      </c>
      <c r="I2179" t="b">
        <v>1</v>
      </c>
      <c r="J2179" t="s">
        <v>1426</v>
      </c>
      <c r="K2179" t="s">
        <v>32</v>
      </c>
      <c r="Q2179" t="s">
        <v>991</v>
      </c>
      <c r="R2179" t="s">
        <v>991</v>
      </c>
      <c r="S2179">
        <v>20</v>
      </c>
    </row>
    <row r="2180" spans="1:19" x14ac:dyDescent="0.25">
      <c r="A2180" t="s">
        <v>986</v>
      </c>
      <c r="B2180" t="s">
        <v>991</v>
      </c>
      <c r="C2180">
        <v>3</v>
      </c>
      <c r="D2180" t="s">
        <v>1425</v>
      </c>
      <c r="E2180" t="s">
        <v>1097</v>
      </c>
      <c r="F2180" t="s">
        <v>24</v>
      </c>
      <c r="G2180">
        <v>25</v>
      </c>
      <c r="H2180">
        <v>35</v>
      </c>
      <c r="I2180" t="b">
        <v>1</v>
      </c>
      <c r="J2180" t="s">
        <v>1426</v>
      </c>
      <c r="K2180" t="s">
        <v>32</v>
      </c>
      <c r="Q2180" t="s">
        <v>991</v>
      </c>
      <c r="R2180" t="s">
        <v>991</v>
      </c>
      <c r="S2180">
        <v>20</v>
      </c>
    </row>
    <row r="2181" spans="1:19" x14ac:dyDescent="0.25">
      <c r="A2181" t="s">
        <v>986</v>
      </c>
      <c r="B2181" t="s">
        <v>991</v>
      </c>
      <c r="C2181">
        <v>4</v>
      </c>
      <c r="D2181" t="s">
        <v>1425</v>
      </c>
      <c r="E2181" t="s">
        <v>1106</v>
      </c>
      <c r="F2181" t="s">
        <v>24</v>
      </c>
      <c r="G2181">
        <v>15</v>
      </c>
      <c r="H2181">
        <v>25</v>
      </c>
      <c r="I2181" t="b">
        <v>1</v>
      </c>
      <c r="J2181" t="s">
        <v>1426</v>
      </c>
      <c r="K2181" t="s">
        <v>32</v>
      </c>
      <c r="Q2181" t="s">
        <v>991</v>
      </c>
      <c r="R2181" t="s">
        <v>991</v>
      </c>
      <c r="S2181">
        <v>20</v>
      </c>
    </row>
    <row r="2182" spans="1:19" x14ac:dyDescent="0.25">
      <c r="A2182" t="s">
        <v>986</v>
      </c>
      <c r="B2182" t="s">
        <v>991</v>
      </c>
      <c r="C2182">
        <v>4</v>
      </c>
      <c r="D2182" t="s">
        <v>1085</v>
      </c>
      <c r="E2182" t="s">
        <v>1086</v>
      </c>
      <c r="F2182" t="s">
        <v>25</v>
      </c>
      <c r="G2182">
        <v>-0.5</v>
      </c>
      <c r="H2182">
        <v>2</v>
      </c>
      <c r="I2182" t="b">
        <v>1</v>
      </c>
      <c r="J2182" t="s">
        <v>1369</v>
      </c>
      <c r="K2182" t="s">
        <v>32</v>
      </c>
      <c r="Q2182" t="s">
        <v>991</v>
      </c>
      <c r="R2182" t="s">
        <v>991</v>
      </c>
      <c r="S2182">
        <v>27</v>
      </c>
    </row>
    <row r="2183" spans="1:19" x14ac:dyDescent="0.25">
      <c r="A2183" t="s">
        <v>986</v>
      </c>
      <c r="B2183" t="s">
        <v>991</v>
      </c>
      <c r="C2183">
        <v>5</v>
      </c>
      <c r="D2183" t="s">
        <v>1085</v>
      </c>
      <c r="E2183" t="s">
        <v>1086</v>
      </c>
      <c r="F2183" t="s">
        <v>25</v>
      </c>
      <c r="G2183">
        <v>-0.5</v>
      </c>
      <c r="H2183">
        <v>2</v>
      </c>
      <c r="I2183" t="b">
        <v>1</v>
      </c>
      <c r="J2183" t="s">
        <v>1369</v>
      </c>
      <c r="K2183" t="s">
        <v>32</v>
      </c>
      <c r="L2183" t="s">
        <v>716</v>
      </c>
      <c r="Q2183" t="s">
        <v>991</v>
      </c>
      <c r="R2183" t="s">
        <v>991</v>
      </c>
      <c r="S2183">
        <v>27</v>
      </c>
    </row>
    <row r="2184" spans="1:19" x14ac:dyDescent="0.25">
      <c r="A2184" t="s">
        <v>1350</v>
      </c>
      <c r="B2184" t="s">
        <v>1351</v>
      </c>
      <c r="C2184">
        <v>2</v>
      </c>
      <c r="D2184" t="s">
        <v>11</v>
      </c>
      <c r="E2184" t="s">
        <v>1352</v>
      </c>
      <c r="F2184" t="s">
        <v>25</v>
      </c>
      <c r="G2184">
        <v>15</v>
      </c>
      <c r="H2184">
        <v>18</v>
      </c>
      <c r="I2184" t="b">
        <v>1</v>
      </c>
      <c r="J2184" t="s">
        <v>0</v>
      </c>
      <c r="K2184" t="s">
        <v>32</v>
      </c>
      <c r="L2184" t="s">
        <v>1353</v>
      </c>
      <c r="M2184" t="s">
        <v>1353</v>
      </c>
      <c r="N2184" t="s">
        <v>1353</v>
      </c>
      <c r="O2184" t="s">
        <v>1353</v>
      </c>
      <c r="P2184" t="s">
        <v>1353</v>
      </c>
      <c r="Q2184" t="s">
        <v>1351</v>
      </c>
      <c r="R2184" t="s">
        <v>1351</v>
      </c>
      <c r="S2184">
        <v>1</v>
      </c>
    </row>
    <row r="2185" spans="1:19" x14ac:dyDescent="0.25">
      <c r="A2185" t="s">
        <v>1350</v>
      </c>
      <c r="B2185" t="s">
        <v>1351</v>
      </c>
      <c r="C2185">
        <v>2</v>
      </c>
      <c r="D2185" t="s">
        <v>342</v>
      </c>
      <c r="E2185" t="s">
        <v>1355</v>
      </c>
      <c r="F2185" t="s">
        <v>25</v>
      </c>
      <c r="G2185">
        <v>2.9</v>
      </c>
      <c r="H2185">
        <v>3.2</v>
      </c>
      <c r="I2185" t="b">
        <v>1</v>
      </c>
      <c r="J2185" t="s">
        <v>343</v>
      </c>
      <c r="K2185" t="s">
        <v>32</v>
      </c>
      <c r="L2185" t="s">
        <v>1353</v>
      </c>
      <c r="M2185" t="s">
        <v>1353</v>
      </c>
      <c r="N2185" t="s">
        <v>1353</v>
      </c>
      <c r="O2185" t="s">
        <v>1353</v>
      </c>
      <c r="P2185" t="s">
        <v>1353</v>
      </c>
      <c r="Q2185" t="s">
        <v>1351</v>
      </c>
      <c r="R2185" t="s">
        <v>1351</v>
      </c>
      <c r="S2185">
        <v>4</v>
      </c>
    </row>
    <row r="2186" spans="1:19" x14ac:dyDescent="0.25">
      <c r="A2186" t="s">
        <v>1350</v>
      </c>
      <c r="B2186" t="s">
        <v>1351</v>
      </c>
      <c r="C2186">
        <v>2</v>
      </c>
      <c r="D2186" t="s">
        <v>364</v>
      </c>
      <c r="E2186" t="s">
        <v>912</v>
      </c>
      <c r="F2186" t="s">
        <v>25</v>
      </c>
      <c r="G2186">
        <v>2</v>
      </c>
      <c r="H2186">
        <v>5</v>
      </c>
      <c r="I2186" t="b">
        <v>1</v>
      </c>
      <c r="J2186" t="s">
        <v>1428</v>
      </c>
      <c r="K2186" t="s">
        <v>32</v>
      </c>
      <c r="L2186" t="s">
        <v>1353</v>
      </c>
      <c r="M2186" t="s">
        <v>1353</v>
      </c>
      <c r="N2186" t="s">
        <v>1353</v>
      </c>
      <c r="O2186" t="s">
        <v>1353</v>
      </c>
      <c r="P2186" t="s">
        <v>1353</v>
      </c>
      <c r="Q2186" t="s">
        <v>1351</v>
      </c>
      <c r="R2186" t="s">
        <v>1351</v>
      </c>
      <c r="S2186">
        <v>6</v>
      </c>
    </row>
    <row r="2187" spans="1:19" x14ac:dyDescent="0.25">
      <c r="A2187" t="s">
        <v>1350</v>
      </c>
      <c r="B2187" t="s">
        <v>1351</v>
      </c>
      <c r="C2187">
        <v>2</v>
      </c>
      <c r="D2187" t="s">
        <v>957</v>
      </c>
      <c r="E2187" t="s">
        <v>948</v>
      </c>
      <c r="F2187" t="s">
        <v>25</v>
      </c>
      <c r="G2187">
        <v>5</v>
      </c>
      <c r="H2187">
        <v>10</v>
      </c>
      <c r="I2187" t="b">
        <v>1</v>
      </c>
      <c r="J2187" t="s">
        <v>1423</v>
      </c>
      <c r="K2187" t="s">
        <v>32</v>
      </c>
      <c r="L2187" t="s">
        <v>1353</v>
      </c>
      <c r="M2187" t="s">
        <v>1353</v>
      </c>
      <c r="N2187" t="s">
        <v>1353</v>
      </c>
      <c r="O2187" t="s">
        <v>1353</v>
      </c>
      <c r="P2187" t="s">
        <v>1353</v>
      </c>
      <c r="Q2187" t="s">
        <v>1351</v>
      </c>
      <c r="R2187" t="s">
        <v>1351</v>
      </c>
      <c r="S2187">
        <v>9</v>
      </c>
    </row>
    <row r="2188" spans="1:19" x14ac:dyDescent="0.25">
      <c r="A2188" t="s">
        <v>1350</v>
      </c>
      <c r="B2188" t="s">
        <v>1351</v>
      </c>
      <c r="C2188">
        <v>2</v>
      </c>
      <c r="D2188" t="s">
        <v>407</v>
      </c>
      <c r="E2188" t="s">
        <v>1301</v>
      </c>
      <c r="F2188" t="s">
        <v>26</v>
      </c>
      <c r="G2188">
        <v>1</v>
      </c>
      <c r="H2188">
        <v>3</v>
      </c>
      <c r="I2188" t="b">
        <v>0</v>
      </c>
      <c r="J2188" t="s">
        <v>1407</v>
      </c>
      <c r="K2188" t="s">
        <v>32</v>
      </c>
      <c r="L2188" t="s">
        <v>1353</v>
      </c>
      <c r="M2188" t="s">
        <v>1353</v>
      </c>
      <c r="N2188" t="s">
        <v>1353</v>
      </c>
      <c r="O2188" t="s">
        <v>1353</v>
      </c>
      <c r="P2188" t="s">
        <v>1353</v>
      </c>
      <c r="Q2188" t="s">
        <v>1351</v>
      </c>
      <c r="R2188" t="s">
        <v>1351</v>
      </c>
      <c r="S2188">
        <v>12</v>
      </c>
    </row>
    <row r="2189" spans="1:19" x14ac:dyDescent="0.25">
      <c r="A2189" t="s">
        <v>1350</v>
      </c>
      <c r="B2189" t="s">
        <v>1351</v>
      </c>
      <c r="C2189">
        <v>2</v>
      </c>
      <c r="D2189" t="s">
        <v>1363</v>
      </c>
      <c r="E2189" t="s">
        <v>1364</v>
      </c>
      <c r="F2189" t="s">
        <v>27</v>
      </c>
      <c r="G2189">
        <v>0</v>
      </c>
      <c r="H2189">
        <v>0.01</v>
      </c>
      <c r="I2189" t="b">
        <v>0</v>
      </c>
      <c r="J2189" t="s">
        <v>1429</v>
      </c>
      <c r="K2189" t="s">
        <v>32</v>
      </c>
      <c r="L2189" t="s">
        <v>1353</v>
      </c>
      <c r="M2189" t="s">
        <v>1353</v>
      </c>
      <c r="N2189" t="s">
        <v>1353</v>
      </c>
      <c r="O2189" t="s">
        <v>1353</v>
      </c>
      <c r="P2189" t="s">
        <v>1353</v>
      </c>
      <c r="Q2189" t="s">
        <v>1351</v>
      </c>
      <c r="R2189" t="s">
        <v>1351</v>
      </c>
      <c r="S2189">
        <v>14</v>
      </c>
    </row>
    <row r="2190" spans="1:19" x14ac:dyDescent="0.25">
      <c r="A2190" t="s">
        <v>1350</v>
      </c>
      <c r="B2190" t="s">
        <v>1351</v>
      </c>
      <c r="C2190">
        <v>2</v>
      </c>
      <c r="D2190" t="s">
        <v>908</v>
      </c>
      <c r="E2190" t="s">
        <v>924</v>
      </c>
      <c r="F2190" t="s">
        <v>25</v>
      </c>
      <c r="G2190">
        <v>1</v>
      </c>
      <c r="H2190">
        <v>4</v>
      </c>
      <c r="I2190" t="b">
        <v>1</v>
      </c>
      <c r="J2190" t="s">
        <v>1401</v>
      </c>
      <c r="K2190" t="s">
        <v>32</v>
      </c>
      <c r="L2190" t="s">
        <v>1353</v>
      </c>
      <c r="M2190" t="s">
        <v>1353</v>
      </c>
      <c r="N2190" t="s">
        <v>1353</v>
      </c>
      <c r="O2190" t="s">
        <v>1353</v>
      </c>
      <c r="P2190" t="s">
        <v>1353</v>
      </c>
      <c r="Q2190" t="s">
        <v>1351</v>
      </c>
      <c r="R2190" t="s">
        <v>1351</v>
      </c>
      <c r="S2190">
        <v>15</v>
      </c>
    </row>
    <row r="2191" spans="1:19" x14ac:dyDescent="0.25">
      <c r="A2191" t="s">
        <v>1350</v>
      </c>
      <c r="B2191" t="s">
        <v>1351</v>
      </c>
      <c r="C2191">
        <v>2</v>
      </c>
      <c r="D2191" t="s">
        <v>911</v>
      </c>
      <c r="E2191" t="s">
        <v>924</v>
      </c>
      <c r="F2191" t="s">
        <v>25</v>
      </c>
      <c r="G2191">
        <v>1</v>
      </c>
      <c r="H2191">
        <v>4</v>
      </c>
      <c r="I2191" t="b">
        <v>1</v>
      </c>
      <c r="J2191" t="s">
        <v>1404</v>
      </c>
      <c r="K2191" t="s">
        <v>32</v>
      </c>
      <c r="L2191" t="s">
        <v>1353</v>
      </c>
      <c r="M2191" t="s">
        <v>1353</v>
      </c>
      <c r="N2191" t="s">
        <v>1353</v>
      </c>
      <c r="O2191" t="s">
        <v>1353</v>
      </c>
      <c r="P2191" t="s">
        <v>1353</v>
      </c>
      <c r="Q2191" t="s">
        <v>1351</v>
      </c>
      <c r="R2191" t="s">
        <v>1351</v>
      </c>
      <c r="S2191">
        <v>16</v>
      </c>
    </row>
    <row r="2192" spans="1:19" x14ac:dyDescent="0.25">
      <c r="A2192" t="s">
        <v>1350</v>
      </c>
      <c r="B2192" t="s">
        <v>1351</v>
      </c>
      <c r="C2192">
        <v>2</v>
      </c>
      <c r="D2192" t="s">
        <v>906</v>
      </c>
      <c r="E2192" t="s">
        <v>1099</v>
      </c>
      <c r="F2192" t="s">
        <v>25</v>
      </c>
      <c r="G2192">
        <v>1</v>
      </c>
      <c r="H2192">
        <v>2</v>
      </c>
      <c r="I2192" t="b">
        <v>1</v>
      </c>
      <c r="J2192" t="s">
        <v>1400</v>
      </c>
      <c r="K2192" t="s">
        <v>32</v>
      </c>
      <c r="L2192" t="s">
        <v>1353</v>
      </c>
      <c r="M2192" t="s">
        <v>1353</v>
      </c>
      <c r="N2192" t="s">
        <v>1353</v>
      </c>
      <c r="O2192" t="s">
        <v>1353</v>
      </c>
      <c r="P2192" t="s">
        <v>1353</v>
      </c>
      <c r="Q2192" t="s">
        <v>1351</v>
      </c>
      <c r="R2192" t="s">
        <v>1351</v>
      </c>
      <c r="S2192">
        <v>17</v>
      </c>
    </row>
    <row r="2193" spans="1:19" x14ac:dyDescent="0.25">
      <c r="A2193" t="s">
        <v>1350</v>
      </c>
      <c r="B2193" t="s">
        <v>1351</v>
      </c>
      <c r="C2193">
        <v>2</v>
      </c>
      <c r="D2193" t="s">
        <v>1331</v>
      </c>
      <c r="E2193" t="s">
        <v>1359</v>
      </c>
      <c r="F2193" t="s">
        <v>25</v>
      </c>
      <c r="G2193">
        <v>8</v>
      </c>
      <c r="H2193">
        <v>11</v>
      </c>
      <c r="I2193" t="b">
        <v>1</v>
      </c>
      <c r="J2193" t="s">
        <v>1332</v>
      </c>
      <c r="K2193" t="s">
        <v>32</v>
      </c>
      <c r="L2193" t="s">
        <v>1353</v>
      </c>
      <c r="M2193" t="s">
        <v>1353</v>
      </c>
      <c r="N2193" t="s">
        <v>1353</v>
      </c>
      <c r="O2193" t="s">
        <v>1353</v>
      </c>
      <c r="P2193" t="s">
        <v>1353</v>
      </c>
      <c r="Q2193" t="s">
        <v>1351</v>
      </c>
      <c r="R2193" t="s">
        <v>1351</v>
      </c>
      <c r="S2193">
        <v>19</v>
      </c>
    </row>
    <row r="2194" spans="1:19" x14ac:dyDescent="0.25">
      <c r="A2194" t="s">
        <v>1350</v>
      </c>
      <c r="B2194" t="s">
        <v>1351</v>
      </c>
      <c r="C2194">
        <v>2</v>
      </c>
      <c r="D2194" t="s">
        <v>990</v>
      </c>
      <c r="E2194" t="s">
        <v>962</v>
      </c>
      <c r="F2194" t="s">
        <v>24</v>
      </c>
      <c r="G2194">
        <v>0</v>
      </c>
      <c r="H2194">
        <v>2</v>
      </c>
      <c r="I2194" t="b">
        <v>1</v>
      </c>
      <c r="J2194" t="s">
        <v>1365</v>
      </c>
      <c r="K2194" t="s">
        <v>32</v>
      </c>
      <c r="L2194" t="s">
        <v>1353</v>
      </c>
      <c r="M2194" t="s">
        <v>1353</v>
      </c>
      <c r="N2194" t="s">
        <v>1353</v>
      </c>
      <c r="O2194" t="s">
        <v>1353</v>
      </c>
      <c r="P2194" t="s">
        <v>1353</v>
      </c>
      <c r="Q2194" t="s">
        <v>1351</v>
      </c>
      <c r="R2194" t="s">
        <v>1351</v>
      </c>
      <c r="S2194">
        <v>24</v>
      </c>
    </row>
    <row r="2195" spans="1:19" x14ac:dyDescent="0.25">
      <c r="A2195" t="s">
        <v>1350</v>
      </c>
      <c r="B2195" t="s">
        <v>1351</v>
      </c>
      <c r="C2195">
        <v>2</v>
      </c>
      <c r="D2195" t="s">
        <v>1376</v>
      </c>
      <c r="E2195" t="s">
        <v>1394</v>
      </c>
      <c r="F2195" t="s">
        <v>24</v>
      </c>
      <c r="G2195">
        <v>22</v>
      </c>
      <c r="H2195">
        <v>32</v>
      </c>
      <c r="I2195" t="b">
        <v>1</v>
      </c>
      <c r="J2195" t="s">
        <v>1430</v>
      </c>
      <c r="K2195" t="s">
        <v>32</v>
      </c>
      <c r="L2195" t="s">
        <v>1353</v>
      </c>
      <c r="M2195" t="s">
        <v>1353</v>
      </c>
      <c r="N2195" t="s">
        <v>1353</v>
      </c>
      <c r="O2195" t="s">
        <v>1353</v>
      </c>
      <c r="P2195" t="s">
        <v>1353</v>
      </c>
      <c r="Q2195" t="s">
        <v>1351</v>
      </c>
      <c r="R2195" t="s">
        <v>1351</v>
      </c>
      <c r="S2195">
        <v>28</v>
      </c>
    </row>
    <row r="2196" spans="1:19" x14ac:dyDescent="0.25">
      <c r="A2196" t="s">
        <v>1350</v>
      </c>
      <c r="B2196" t="s">
        <v>1351</v>
      </c>
      <c r="C2196">
        <v>3</v>
      </c>
      <c r="D2196" t="s">
        <v>11</v>
      </c>
      <c r="E2196" t="s">
        <v>1354</v>
      </c>
      <c r="F2196" t="s">
        <v>25</v>
      </c>
      <c r="G2196">
        <v>11</v>
      </c>
      <c r="H2196">
        <v>14</v>
      </c>
      <c r="I2196" t="b">
        <v>1</v>
      </c>
      <c r="J2196" t="s">
        <v>0</v>
      </c>
      <c r="K2196" t="s">
        <v>32</v>
      </c>
      <c r="L2196" t="s">
        <v>1353</v>
      </c>
      <c r="M2196" t="s">
        <v>1353</v>
      </c>
      <c r="N2196" t="s">
        <v>1353</v>
      </c>
      <c r="O2196" t="s">
        <v>1353</v>
      </c>
      <c r="P2196" t="s">
        <v>1353</v>
      </c>
      <c r="Q2196" t="s">
        <v>1351</v>
      </c>
      <c r="R2196" t="s">
        <v>1351</v>
      </c>
      <c r="S2196">
        <v>1</v>
      </c>
    </row>
    <row r="2197" spans="1:19" x14ac:dyDescent="0.25">
      <c r="A2197" t="s">
        <v>1350</v>
      </c>
      <c r="B2197" t="s">
        <v>1351</v>
      </c>
      <c r="C2197">
        <v>3</v>
      </c>
      <c r="D2197" t="s">
        <v>342</v>
      </c>
      <c r="E2197" t="s">
        <v>1356</v>
      </c>
      <c r="F2197" t="s">
        <v>24</v>
      </c>
      <c r="G2197">
        <v>2.5</v>
      </c>
      <c r="H2197">
        <v>2.9</v>
      </c>
      <c r="I2197" t="b">
        <v>1</v>
      </c>
      <c r="J2197" t="s">
        <v>343</v>
      </c>
      <c r="K2197" t="s">
        <v>32</v>
      </c>
      <c r="L2197" t="s">
        <v>1353</v>
      </c>
      <c r="M2197" t="s">
        <v>1353</v>
      </c>
      <c r="N2197" t="s">
        <v>1353</v>
      </c>
      <c r="O2197" t="s">
        <v>1353</v>
      </c>
      <c r="P2197" t="s">
        <v>1353</v>
      </c>
      <c r="Q2197" t="s">
        <v>1351</v>
      </c>
      <c r="R2197" t="s">
        <v>1351</v>
      </c>
      <c r="S2197">
        <v>4</v>
      </c>
    </row>
    <row r="2198" spans="1:19" x14ac:dyDescent="0.25">
      <c r="A2198" t="s">
        <v>1350</v>
      </c>
      <c r="B2198" t="s">
        <v>1351</v>
      </c>
      <c r="C2198">
        <v>3</v>
      </c>
      <c r="D2198" t="s">
        <v>364</v>
      </c>
      <c r="E2198" t="s">
        <v>1360</v>
      </c>
      <c r="F2198" t="s">
        <v>25</v>
      </c>
      <c r="G2198">
        <v>-0.5</v>
      </c>
      <c r="H2198">
        <v>1</v>
      </c>
      <c r="I2198" t="b">
        <v>1</v>
      </c>
      <c r="J2198" t="s">
        <v>1428</v>
      </c>
      <c r="K2198" t="s">
        <v>32</v>
      </c>
      <c r="L2198" t="s">
        <v>1353</v>
      </c>
      <c r="M2198" t="s">
        <v>1361</v>
      </c>
      <c r="N2198" t="s">
        <v>1353</v>
      </c>
      <c r="O2198" t="s">
        <v>1353</v>
      </c>
      <c r="P2198" t="s">
        <v>1353</v>
      </c>
      <c r="Q2198" t="s">
        <v>1351</v>
      </c>
      <c r="R2198" t="s">
        <v>1351</v>
      </c>
      <c r="S2198">
        <v>6</v>
      </c>
    </row>
    <row r="2199" spans="1:19" x14ac:dyDescent="0.25">
      <c r="A2199" t="s">
        <v>1350</v>
      </c>
      <c r="B2199" t="s">
        <v>1351</v>
      </c>
      <c r="C2199">
        <v>3</v>
      </c>
      <c r="D2199" t="s">
        <v>957</v>
      </c>
      <c r="E2199" t="s">
        <v>1362</v>
      </c>
      <c r="F2199" t="s">
        <v>25</v>
      </c>
      <c r="G2199">
        <v>-1</v>
      </c>
      <c r="H2199">
        <v>5</v>
      </c>
      <c r="I2199" t="b">
        <v>1</v>
      </c>
      <c r="J2199" t="s">
        <v>1423</v>
      </c>
      <c r="K2199" t="s">
        <v>32</v>
      </c>
      <c r="L2199" t="s">
        <v>1353</v>
      </c>
      <c r="M2199" t="s">
        <v>1361</v>
      </c>
      <c r="N2199" t="s">
        <v>1353</v>
      </c>
      <c r="O2199" t="s">
        <v>1353</v>
      </c>
      <c r="P2199" t="s">
        <v>1353</v>
      </c>
      <c r="Q2199" t="s">
        <v>1351</v>
      </c>
      <c r="R2199" t="s">
        <v>1351</v>
      </c>
      <c r="S2199">
        <v>9</v>
      </c>
    </row>
    <row r="2200" spans="1:19" x14ac:dyDescent="0.25">
      <c r="A2200" t="s">
        <v>1350</v>
      </c>
      <c r="B2200" t="s">
        <v>1351</v>
      </c>
      <c r="C2200">
        <v>3</v>
      </c>
      <c r="D2200" t="s">
        <v>407</v>
      </c>
      <c r="E2200" t="s">
        <v>1302</v>
      </c>
      <c r="F2200" t="s">
        <v>27</v>
      </c>
      <c r="G2200">
        <v>3</v>
      </c>
      <c r="H2200">
        <v>8</v>
      </c>
      <c r="I2200" t="b">
        <v>0</v>
      </c>
      <c r="J2200" t="s">
        <v>1407</v>
      </c>
      <c r="K2200" t="s">
        <v>32</v>
      </c>
      <c r="L2200" t="s">
        <v>1353</v>
      </c>
      <c r="M2200" t="s">
        <v>1353</v>
      </c>
      <c r="N2200" t="s">
        <v>1353</v>
      </c>
      <c r="O2200" t="s">
        <v>1353</v>
      </c>
      <c r="P2200" t="s">
        <v>1353</v>
      </c>
      <c r="Q2200" t="s">
        <v>1351</v>
      </c>
      <c r="R2200" t="s">
        <v>1351</v>
      </c>
      <c r="S2200">
        <v>12</v>
      </c>
    </row>
    <row r="2201" spans="1:19" x14ac:dyDescent="0.25">
      <c r="A2201" t="s">
        <v>1350</v>
      </c>
      <c r="B2201" t="s">
        <v>1351</v>
      </c>
      <c r="C2201">
        <v>3</v>
      </c>
      <c r="D2201" t="s">
        <v>1363</v>
      </c>
      <c r="E2201" t="s">
        <v>1236</v>
      </c>
      <c r="F2201" t="s">
        <v>27</v>
      </c>
      <c r="G2201">
        <v>2</v>
      </c>
      <c r="H2201">
        <v>5</v>
      </c>
      <c r="I2201" t="b">
        <v>0</v>
      </c>
      <c r="J2201" t="s">
        <v>1429</v>
      </c>
      <c r="K2201" t="s">
        <v>32</v>
      </c>
      <c r="L2201" t="s">
        <v>1353</v>
      </c>
      <c r="M2201" t="s">
        <v>1353</v>
      </c>
      <c r="N2201" t="s">
        <v>1353</v>
      </c>
      <c r="O2201" t="s">
        <v>1353</v>
      </c>
      <c r="P2201" t="s">
        <v>1353</v>
      </c>
      <c r="Q2201" t="s">
        <v>1351</v>
      </c>
      <c r="R2201" t="s">
        <v>1351</v>
      </c>
      <c r="S2201">
        <v>14</v>
      </c>
    </row>
    <row r="2202" spans="1:19" x14ac:dyDescent="0.25">
      <c r="A2202" t="s">
        <v>1350</v>
      </c>
      <c r="B2202" t="s">
        <v>1351</v>
      </c>
      <c r="C2202">
        <v>3</v>
      </c>
      <c r="D2202" t="s">
        <v>908</v>
      </c>
      <c r="E2202" t="s">
        <v>725</v>
      </c>
      <c r="F2202" t="s">
        <v>25</v>
      </c>
      <c r="G2202">
        <v>0</v>
      </c>
      <c r="H2202">
        <v>1</v>
      </c>
      <c r="I2202" t="b">
        <v>1</v>
      </c>
      <c r="J2202" t="s">
        <v>1401</v>
      </c>
      <c r="K2202" t="s">
        <v>32</v>
      </c>
      <c r="L2202" t="s">
        <v>1353</v>
      </c>
      <c r="M2202" t="s">
        <v>1353</v>
      </c>
      <c r="N2202" t="s">
        <v>1353</v>
      </c>
      <c r="O2202" t="s">
        <v>1353</v>
      </c>
      <c r="P2202" t="s">
        <v>1353</v>
      </c>
      <c r="Q2202" t="s">
        <v>1351</v>
      </c>
      <c r="R2202" t="s">
        <v>1351</v>
      </c>
      <c r="S2202">
        <v>15</v>
      </c>
    </row>
    <row r="2203" spans="1:19" x14ac:dyDescent="0.25">
      <c r="A2203" t="s">
        <v>1350</v>
      </c>
      <c r="B2203" t="s">
        <v>1351</v>
      </c>
      <c r="C2203">
        <v>3</v>
      </c>
      <c r="D2203" t="s">
        <v>911</v>
      </c>
      <c r="E2203" t="s">
        <v>725</v>
      </c>
      <c r="F2203" t="s">
        <v>25</v>
      </c>
      <c r="G2203">
        <v>0</v>
      </c>
      <c r="H2203">
        <v>1</v>
      </c>
      <c r="I2203" t="b">
        <v>1</v>
      </c>
      <c r="J2203" t="s">
        <v>1404</v>
      </c>
      <c r="K2203" t="s">
        <v>32</v>
      </c>
      <c r="L2203" t="s">
        <v>1353</v>
      </c>
      <c r="M2203" t="s">
        <v>1353</v>
      </c>
      <c r="N2203" t="s">
        <v>1353</v>
      </c>
      <c r="O2203" t="s">
        <v>1353</v>
      </c>
      <c r="P2203" t="s">
        <v>1353</v>
      </c>
      <c r="Q2203" t="s">
        <v>1351</v>
      </c>
      <c r="R2203" t="s">
        <v>1351</v>
      </c>
      <c r="S2203">
        <v>16</v>
      </c>
    </row>
    <row r="2204" spans="1:19" x14ac:dyDescent="0.25">
      <c r="A2204" t="s">
        <v>1350</v>
      </c>
      <c r="B2204" t="s">
        <v>1351</v>
      </c>
      <c r="C2204">
        <v>3</v>
      </c>
      <c r="D2204" t="s">
        <v>906</v>
      </c>
      <c r="E2204" t="s">
        <v>725</v>
      </c>
      <c r="F2204" t="s">
        <v>25</v>
      </c>
      <c r="G2204">
        <v>0</v>
      </c>
      <c r="H2204">
        <v>1</v>
      </c>
      <c r="I2204" t="b">
        <v>1</v>
      </c>
      <c r="J2204" t="s">
        <v>1400</v>
      </c>
      <c r="K2204" t="s">
        <v>32</v>
      </c>
      <c r="L2204" t="s">
        <v>1353</v>
      </c>
      <c r="M2204" t="s">
        <v>1353</v>
      </c>
      <c r="N2204" t="s">
        <v>1353</v>
      </c>
      <c r="O2204" t="s">
        <v>1353</v>
      </c>
      <c r="P2204" t="s">
        <v>1353</v>
      </c>
      <c r="Q2204" t="s">
        <v>1351</v>
      </c>
      <c r="R2204" t="s">
        <v>1351</v>
      </c>
      <c r="S2204">
        <v>17</v>
      </c>
    </row>
    <row r="2205" spans="1:19" x14ac:dyDescent="0.25">
      <c r="A2205" t="s">
        <v>1350</v>
      </c>
      <c r="B2205" t="s">
        <v>1351</v>
      </c>
      <c r="C2205">
        <v>3</v>
      </c>
      <c r="D2205" t="s">
        <v>1331</v>
      </c>
      <c r="E2205" t="s">
        <v>956</v>
      </c>
      <c r="F2205" t="s">
        <v>25</v>
      </c>
      <c r="G2205">
        <v>5</v>
      </c>
      <c r="H2205">
        <v>8</v>
      </c>
      <c r="I2205" t="b">
        <v>1</v>
      </c>
      <c r="J2205" t="s">
        <v>1332</v>
      </c>
      <c r="K2205" t="s">
        <v>32</v>
      </c>
      <c r="L2205" t="s">
        <v>1353</v>
      </c>
      <c r="M2205" t="s">
        <v>1353</v>
      </c>
      <c r="N2205" t="s">
        <v>1353</v>
      </c>
      <c r="O2205" t="s">
        <v>1353</v>
      </c>
      <c r="P2205" t="s">
        <v>1353</v>
      </c>
      <c r="Q2205" t="s">
        <v>1351</v>
      </c>
      <c r="R2205" t="s">
        <v>1351</v>
      </c>
      <c r="S2205">
        <v>19</v>
      </c>
    </row>
    <row r="2206" spans="1:19" x14ac:dyDescent="0.25">
      <c r="A2206" t="s">
        <v>1350</v>
      </c>
      <c r="B2206" t="s">
        <v>1351</v>
      </c>
      <c r="C2206">
        <v>3</v>
      </c>
      <c r="D2206" t="s">
        <v>990</v>
      </c>
      <c r="E2206" t="s">
        <v>1366</v>
      </c>
      <c r="F2206" t="s">
        <v>25</v>
      </c>
      <c r="G2206">
        <v>-1</v>
      </c>
      <c r="H2206">
        <v>0.5</v>
      </c>
      <c r="I2206" t="b">
        <v>1</v>
      </c>
      <c r="J2206" t="s">
        <v>1365</v>
      </c>
      <c r="K2206" t="s">
        <v>32</v>
      </c>
      <c r="L2206" t="s">
        <v>1353</v>
      </c>
      <c r="M2206" t="s">
        <v>1367</v>
      </c>
      <c r="N2206" t="s">
        <v>1353</v>
      </c>
      <c r="O2206" t="s">
        <v>1353</v>
      </c>
      <c r="P2206" t="s">
        <v>1353</v>
      </c>
      <c r="Q2206" t="s">
        <v>1351</v>
      </c>
      <c r="R2206" t="s">
        <v>1351</v>
      </c>
      <c r="S2206">
        <v>24</v>
      </c>
    </row>
    <row r="2207" spans="1:19" x14ac:dyDescent="0.25">
      <c r="A2207" t="s">
        <v>1350</v>
      </c>
      <c r="B2207" t="s">
        <v>1351</v>
      </c>
      <c r="C2207">
        <v>3</v>
      </c>
      <c r="D2207" t="s">
        <v>1376</v>
      </c>
      <c r="E2207" t="s">
        <v>1253</v>
      </c>
      <c r="F2207" t="s">
        <v>24</v>
      </c>
      <c r="G2207">
        <v>12</v>
      </c>
      <c r="H2207">
        <v>22</v>
      </c>
      <c r="I2207" t="b">
        <v>1</v>
      </c>
      <c r="J2207" t="s">
        <v>1430</v>
      </c>
      <c r="K2207" t="s">
        <v>32</v>
      </c>
      <c r="L2207" t="s">
        <v>1353</v>
      </c>
      <c r="M2207" t="s">
        <v>1353</v>
      </c>
      <c r="N2207" t="s">
        <v>1353</v>
      </c>
      <c r="O2207" t="s">
        <v>1353</v>
      </c>
      <c r="P2207" t="s">
        <v>1353</v>
      </c>
      <c r="Q2207" t="s">
        <v>1351</v>
      </c>
      <c r="R2207" t="s">
        <v>1351</v>
      </c>
      <c r="S2207">
        <v>28</v>
      </c>
    </row>
    <row r="2208" spans="1:19" x14ac:dyDescent="0.25">
      <c r="A2208" t="s">
        <v>1350</v>
      </c>
      <c r="B2208" t="s">
        <v>1351</v>
      </c>
      <c r="C2208">
        <v>4</v>
      </c>
      <c r="D2208" t="s">
        <v>11</v>
      </c>
      <c r="E2208" t="s">
        <v>948</v>
      </c>
      <c r="F2208" t="s">
        <v>25</v>
      </c>
      <c r="G2208">
        <v>5</v>
      </c>
      <c r="H2208">
        <v>10</v>
      </c>
      <c r="I2208" t="b">
        <v>1</v>
      </c>
      <c r="J2208" t="s">
        <v>0</v>
      </c>
      <c r="K2208" t="s">
        <v>32</v>
      </c>
      <c r="L2208" t="s">
        <v>1353</v>
      </c>
      <c r="M2208" t="s">
        <v>1353</v>
      </c>
      <c r="N2208" t="s">
        <v>1353</v>
      </c>
      <c r="O2208" t="s">
        <v>1353</v>
      </c>
      <c r="P2208" t="s">
        <v>1353</v>
      </c>
      <c r="Q2208" t="s">
        <v>1351</v>
      </c>
      <c r="R2208" t="s">
        <v>1351</v>
      </c>
      <c r="S2208">
        <v>1</v>
      </c>
    </row>
    <row r="2209" spans="1:19" x14ac:dyDescent="0.25">
      <c r="A2209" t="s">
        <v>1350</v>
      </c>
      <c r="B2209" t="s">
        <v>1351</v>
      </c>
      <c r="C2209">
        <v>4</v>
      </c>
      <c r="D2209" t="s">
        <v>342</v>
      </c>
      <c r="E2209" t="s">
        <v>1357</v>
      </c>
      <c r="F2209" t="s">
        <v>25</v>
      </c>
      <c r="G2209">
        <v>1.5</v>
      </c>
      <c r="H2209">
        <v>2.2000000000000002</v>
      </c>
      <c r="I2209" t="b">
        <v>1</v>
      </c>
      <c r="J2209" t="s">
        <v>343</v>
      </c>
      <c r="K2209" t="s">
        <v>32</v>
      </c>
      <c r="L2209" t="s">
        <v>1353</v>
      </c>
      <c r="M2209" t="s">
        <v>1353</v>
      </c>
      <c r="N2209" t="s">
        <v>1353</v>
      </c>
      <c r="O2209" t="s">
        <v>1353</v>
      </c>
      <c r="P2209" t="s">
        <v>1353</v>
      </c>
      <c r="Q2209" t="s">
        <v>1351</v>
      </c>
      <c r="R2209" t="s">
        <v>1351</v>
      </c>
      <c r="S2209">
        <v>4</v>
      </c>
    </row>
    <row r="2210" spans="1:19" x14ac:dyDescent="0.25">
      <c r="A2210" t="s">
        <v>1350</v>
      </c>
      <c r="B2210" t="s">
        <v>1351</v>
      </c>
      <c r="C2210">
        <v>4</v>
      </c>
      <c r="D2210" t="s">
        <v>407</v>
      </c>
      <c r="E2210" t="s">
        <v>917</v>
      </c>
      <c r="F2210" t="s">
        <v>26</v>
      </c>
      <c r="G2210">
        <v>20</v>
      </c>
      <c r="H2210">
        <v>30</v>
      </c>
      <c r="I2210" t="b">
        <v>0</v>
      </c>
      <c r="J2210" t="s">
        <v>1407</v>
      </c>
      <c r="K2210" t="s">
        <v>32</v>
      </c>
      <c r="L2210" t="s">
        <v>1353</v>
      </c>
      <c r="M2210" t="s">
        <v>1353</v>
      </c>
      <c r="N2210" t="s">
        <v>1353</v>
      </c>
      <c r="O2210" t="s">
        <v>1353</v>
      </c>
      <c r="P2210" t="s">
        <v>1353</v>
      </c>
      <c r="Q2210" t="s">
        <v>1351</v>
      </c>
      <c r="R2210" t="s">
        <v>1351</v>
      </c>
      <c r="S2210">
        <v>12</v>
      </c>
    </row>
    <row r="2211" spans="1:19" x14ac:dyDescent="0.25">
      <c r="A2211" t="s">
        <v>1350</v>
      </c>
      <c r="B2211" t="s">
        <v>1351</v>
      </c>
      <c r="C2211">
        <v>4</v>
      </c>
      <c r="D2211" t="s">
        <v>1331</v>
      </c>
      <c r="E2211" t="s">
        <v>912</v>
      </c>
      <c r="F2211" t="s">
        <v>25</v>
      </c>
      <c r="G2211">
        <v>2</v>
      </c>
      <c r="H2211">
        <v>5</v>
      </c>
      <c r="I2211" t="b">
        <v>1</v>
      </c>
      <c r="J2211" t="s">
        <v>1332</v>
      </c>
      <c r="K2211" t="s">
        <v>32</v>
      </c>
      <c r="L2211" t="s">
        <v>1353</v>
      </c>
      <c r="M2211" t="s">
        <v>1353</v>
      </c>
      <c r="N2211" t="s">
        <v>1353</v>
      </c>
      <c r="O2211" t="s">
        <v>1353</v>
      </c>
      <c r="P2211" t="s">
        <v>1353</v>
      </c>
      <c r="Q2211" t="s">
        <v>1351</v>
      </c>
      <c r="R2211" t="s">
        <v>1351</v>
      </c>
      <c r="S2211">
        <v>19</v>
      </c>
    </row>
    <row r="2212" spans="1:19" x14ac:dyDescent="0.25">
      <c r="A2212" t="s">
        <v>1350</v>
      </c>
      <c r="B2212" t="s">
        <v>1351</v>
      </c>
      <c r="C2212">
        <v>4</v>
      </c>
      <c r="D2212" t="s">
        <v>1085</v>
      </c>
      <c r="E2212" t="s">
        <v>1368</v>
      </c>
      <c r="F2212" t="s">
        <v>25</v>
      </c>
      <c r="G2212">
        <v>0.5</v>
      </c>
      <c r="H2212">
        <v>2</v>
      </c>
      <c r="I2212" t="b">
        <v>1</v>
      </c>
      <c r="J2212" t="s">
        <v>1369</v>
      </c>
      <c r="K2212" t="s">
        <v>32</v>
      </c>
      <c r="L2212" t="s">
        <v>1353</v>
      </c>
      <c r="M2212" t="s">
        <v>1353</v>
      </c>
      <c r="N2212" t="s">
        <v>1353</v>
      </c>
      <c r="O2212" t="s">
        <v>1353</v>
      </c>
      <c r="P2212" t="s">
        <v>1353</v>
      </c>
      <c r="Q2212" t="s">
        <v>1351</v>
      </c>
      <c r="R2212" t="s">
        <v>1351</v>
      </c>
      <c r="S2212">
        <v>27</v>
      </c>
    </row>
    <row r="2213" spans="1:19" x14ac:dyDescent="0.25">
      <c r="A2213" t="s">
        <v>1350</v>
      </c>
      <c r="B2213" t="s">
        <v>1351</v>
      </c>
      <c r="C2213">
        <v>4</v>
      </c>
      <c r="D2213" t="s">
        <v>1376</v>
      </c>
      <c r="E2213" t="s">
        <v>948</v>
      </c>
      <c r="F2213" t="s">
        <v>25</v>
      </c>
      <c r="G2213">
        <v>5</v>
      </c>
      <c r="H2213">
        <v>10</v>
      </c>
      <c r="I2213" t="b">
        <v>1</v>
      </c>
      <c r="J2213" t="s">
        <v>1430</v>
      </c>
      <c r="K2213" t="s">
        <v>32</v>
      </c>
      <c r="L2213" t="s">
        <v>1353</v>
      </c>
      <c r="M2213" t="s">
        <v>1353</v>
      </c>
      <c r="N2213" t="s">
        <v>1353</v>
      </c>
      <c r="O2213" t="s">
        <v>1353</v>
      </c>
      <c r="P2213" t="s">
        <v>1353</v>
      </c>
      <c r="Q2213" t="s">
        <v>1351</v>
      </c>
      <c r="R2213" t="s">
        <v>1351</v>
      </c>
      <c r="S2213">
        <v>28</v>
      </c>
    </row>
    <row r="2214" spans="1:19" x14ac:dyDescent="0.25">
      <c r="A2214" t="s">
        <v>1350</v>
      </c>
      <c r="B2214" t="s">
        <v>1351</v>
      </c>
      <c r="C2214">
        <v>5</v>
      </c>
      <c r="D2214" t="s">
        <v>11</v>
      </c>
      <c r="E2214" t="s">
        <v>924</v>
      </c>
      <c r="F2214" t="s">
        <v>25</v>
      </c>
      <c r="G2214">
        <v>1</v>
      </c>
      <c r="H2214">
        <v>4</v>
      </c>
      <c r="I2214" t="b">
        <v>1</v>
      </c>
      <c r="J2214" t="s">
        <v>0</v>
      </c>
      <c r="K2214" t="s">
        <v>32</v>
      </c>
      <c r="L2214" t="s">
        <v>1353</v>
      </c>
      <c r="M2214" t="s">
        <v>1353</v>
      </c>
      <c r="N2214" t="s">
        <v>1353</v>
      </c>
      <c r="O2214" t="s">
        <v>1353</v>
      </c>
      <c r="P2214" t="s">
        <v>1353</v>
      </c>
      <c r="Q2214" t="s">
        <v>1351</v>
      </c>
      <c r="R2214" t="s">
        <v>1351</v>
      </c>
      <c r="S2214">
        <v>1</v>
      </c>
    </row>
    <row r="2215" spans="1:19" x14ac:dyDescent="0.25">
      <c r="A2215" t="s">
        <v>1350</v>
      </c>
      <c r="B2215" t="s">
        <v>1351</v>
      </c>
      <c r="C2215">
        <v>5</v>
      </c>
      <c r="D2215" t="s">
        <v>342</v>
      </c>
      <c r="E2215" t="s">
        <v>1358</v>
      </c>
      <c r="F2215" t="s">
        <v>24</v>
      </c>
      <c r="G2215">
        <v>0.5</v>
      </c>
      <c r="H2215">
        <v>1</v>
      </c>
      <c r="I2215" t="b">
        <v>1</v>
      </c>
      <c r="J2215" t="s">
        <v>343</v>
      </c>
      <c r="K2215" t="s">
        <v>32</v>
      </c>
      <c r="L2215" t="s">
        <v>1353</v>
      </c>
      <c r="M2215" t="s">
        <v>1353</v>
      </c>
      <c r="N2215" t="s">
        <v>1353</v>
      </c>
      <c r="O2215" t="s">
        <v>1353</v>
      </c>
      <c r="P2215" t="s">
        <v>1353</v>
      </c>
      <c r="Q2215" t="s">
        <v>1351</v>
      </c>
      <c r="R2215" t="s">
        <v>1351</v>
      </c>
      <c r="S2215">
        <v>4</v>
      </c>
    </row>
    <row r="2216" spans="1:19" x14ac:dyDescent="0.25">
      <c r="A2216" t="s">
        <v>1350</v>
      </c>
      <c r="B2216" t="s">
        <v>1351</v>
      </c>
      <c r="C2216">
        <v>5</v>
      </c>
      <c r="D2216" t="s">
        <v>1370</v>
      </c>
      <c r="E2216" t="s">
        <v>1360</v>
      </c>
      <c r="F2216" t="s">
        <v>25</v>
      </c>
      <c r="G2216">
        <v>-0.5</v>
      </c>
      <c r="H2216">
        <v>1</v>
      </c>
      <c r="I2216" t="b">
        <v>1</v>
      </c>
      <c r="J2216" t="s">
        <v>1371</v>
      </c>
      <c r="K2216" t="s">
        <v>32</v>
      </c>
      <c r="L2216" t="s">
        <v>1353</v>
      </c>
      <c r="M2216" t="s">
        <v>1372</v>
      </c>
      <c r="N2216" t="s">
        <v>1353</v>
      </c>
      <c r="O2216" t="s">
        <v>1353</v>
      </c>
      <c r="P2216" t="s">
        <v>1353</v>
      </c>
      <c r="Q2216" t="s">
        <v>1351</v>
      </c>
      <c r="R2216" t="s">
        <v>1351</v>
      </c>
      <c r="S2216">
        <v>22</v>
      </c>
    </row>
    <row r="2217" spans="1:19" x14ac:dyDescent="0.25">
      <c r="A2217" t="s">
        <v>1350</v>
      </c>
      <c r="B2217" t="s">
        <v>1373</v>
      </c>
      <c r="C2217">
        <v>2</v>
      </c>
      <c r="D2217" t="s">
        <v>11</v>
      </c>
      <c r="E2217" t="s">
        <v>1352</v>
      </c>
      <c r="F2217" t="s">
        <v>25</v>
      </c>
      <c r="G2217">
        <v>15</v>
      </c>
      <c r="H2217">
        <v>18</v>
      </c>
      <c r="I2217" t="b">
        <v>1</v>
      </c>
      <c r="J2217" t="s">
        <v>0</v>
      </c>
      <c r="K2217" t="s">
        <v>32</v>
      </c>
      <c r="L2217" t="s">
        <v>1353</v>
      </c>
      <c r="M2217" t="s">
        <v>1353</v>
      </c>
      <c r="N2217" t="s">
        <v>1353</v>
      </c>
      <c r="O2217" t="s">
        <v>1353</v>
      </c>
      <c r="P2217" t="s">
        <v>1353</v>
      </c>
      <c r="Q2217" t="s">
        <v>1373</v>
      </c>
      <c r="R2217" t="s">
        <v>1373</v>
      </c>
      <c r="S2217">
        <v>1</v>
      </c>
    </row>
    <row r="2218" spans="1:19" x14ac:dyDescent="0.25">
      <c r="A2218" t="s">
        <v>1350</v>
      </c>
      <c r="B2218" t="s">
        <v>1373</v>
      </c>
      <c r="C2218">
        <v>2</v>
      </c>
      <c r="D2218" t="s">
        <v>342</v>
      </c>
      <c r="E2218" t="s">
        <v>1355</v>
      </c>
      <c r="F2218" t="s">
        <v>25</v>
      </c>
      <c r="G2218">
        <v>2.9</v>
      </c>
      <c r="H2218">
        <v>3.2</v>
      </c>
      <c r="I2218" t="b">
        <v>1</v>
      </c>
      <c r="J2218" t="s">
        <v>343</v>
      </c>
      <c r="K2218" t="s">
        <v>32</v>
      </c>
      <c r="L2218" t="s">
        <v>1353</v>
      </c>
      <c r="M2218" t="s">
        <v>1353</v>
      </c>
      <c r="N2218" t="s">
        <v>1353</v>
      </c>
      <c r="O2218" t="s">
        <v>1353</v>
      </c>
      <c r="P2218" t="s">
        <v>1353</v>
      </c>
      <c r="Q2218" t="s">
        <v>1373</v>
      </c>
      <c r="R2218" t="s">
        <v>1373</v>
      </c>
      <c r="S2218">
        <v>4</v>
      </c>
    </row>
    <row r="2219" spans="1:19" x14ac:dyDescent="0.25">
      <c r="A2219" t="s">
        <v>1350</v>
      </c>
      <c r="B2219" t="s">
        <v>1373</v>
      </c>
      <c r="C2219">
        <v>2</v>
      </c>
      <c r="D2219" t="s">
        <v>364</v>
      </c>
      <c r="E2219" t="s">
        <v>912</v>
      </c>
      <c r="F2219" t="s">
        <v>25</v>
      </c>
      <c r="G2219">
        <v>2</v>
      </c>
      <c r="H2219">
        <v>5</v>
      </c>
      <c r="I2219" t="b">
        <v>1</v>
      </c>
      <c r="J2219" t="s">
        <v>1428</v>
      </c>
      <c r="K2219" t="s">
        <v>32</v>
      </c>
      <c r="L2219" t="s">
        <v>1353</v>
      </c>
      <c r="M2219" t="s">
        <v>1353</v>
      </c>
      <c r="N2219" t="s">
        <v>1353</v>
      </c>
      <c r="O2219" t="s">
        <v>1353</v>
      </c>
      <c r="P2219" t="s">
        <v>1353</v>
      </c>
      <c r="Q2219" t="s">
        <v>1373</v>
      </c>
      <c r="R2219" t="s">
        <v>1373</v>
      </c>
      <c r="S2219">
        <v>6</v>
      </c>
    </row>
    <row r="2220" spans="1:19" x14ac:dyDescent="0.25">
      <c r="A2220" t="s">
        <v>1350</v>
      </c>
      <c r="B2220" t="s">
        <v>1373</v>
      </c>
      <c r="C2220">
        <v>2</v>
      </c>
      <c r="D2220" t="s">
        <v>397</v>
      </c>
      <c r="E2220" t="s">
        <v>948</v>
      </c>
      <c r="F2220" t="s">
        <v>25</v>
      </c>
      <c r="G2220">
        <v>5</v>
      </c>
      <c r="H2220">
        <v>10</v>
      </c>
      <c r="I2220" t="b">
        <v>1</v>
      </c>
      <c r="J2220" t="s">
        <v>1431</v>
      </c>
      <c r="K2220" t="s">
        <v>32</v>
      </c>
      <c r="L2220" t="s">
        <v>1353</v>
      </c>
      <c r="M2220" t="s">
        <v>1353</v>
      </c>
      <c r="N2220" t="s">
        <v>1353</v>
      </c>
      <c r="O2220" t="s">
        <v>1353</v>
      </c>
      <c r="P2220" t="s">
        <v>1353</v>
      </c>
      <c r="Q2220" t="s">
        <v>1373</v>
      </c>
      <c r="R2220" t="s">
        <v>1373</v>
      </c>
      <c r="S2220">
        <v>7</v>
      </c>
    </row>
    <row r="2221" spans="1:19" x14ac:dyDescent="0.25">
      <c r="A2221" t="s">
        <v>1350</v>
      </c>
      <c r="B2221" t="s">
        <v>1373</v>
      </c>
      <c r="C2221">
        <v>2</v>
      </c>
      <c r="D2221" t="s">
        <v>407</v>
      </c>
      <c r="E2221" t="s">
        <v>1301</v>
      </c>
      <c r="F2221" t="s">
        <v>26</v>
      </c>
      <c r="G2221">
        <v>1</v>
      </c>
      <c r="H2221">
        <v>3</v>
      </c>
      <c r="I2221" t="b">
        <v>0</v>
      </c>
      <c r="J2221" t="s">
        <v>1407</v>
      </c>
      <c r="K2221" t="s">
        <v>32</v>
      </c>
      <c r="L2221" t="s">
        <v>1353</v>
      </c>
      <c r="M2221" t="s">
        <v>1353</v>
      </c>
      <c r="N2221" t="s">
        <v>1353</v>
      </c>
      <c r="O2221" t="s">
        <v>1353</v>
      </c>
      <c r="P2221" t="s">
        <v>1353</v>
      </c>
      <c r="Q2221" t="s">
        <v>1373</v>
      </c>
      <c r="R2221" t="s">
        <v>1373</v>
      </c>
      <c r="S2221">
        <v>12</v>
      </c>
    </row>
    <row r="2222" spans="1:19" x14ac:dyDescent="0.25">
      <c r="A2222" t="s">
        <v>1350</v>
      </c>
      <c r="B2222" t="s">
        <v>1373</v>
      </c>
      <c r="C2222">
        <v>2</v>
      </c>
      <c r="D2222" t="s">
        <v>1363</v>
      </c>
      <c r="E2222" t="s">
        <v>1364</v>
      </c>
      <c r="F2222" t="s">
        <v>27</v>
      </c>
      <c r="G2222">
        <v>0</v>
      </c>
      <c r="H2222">
        <v>0.01</v>
      </c>
      <c r="I2222" t="b">
        <v>0</v>
      </c>
      <c r="J2222" t="s">
        <v>1429</v>
      </c>
      <c r="K2222" t="s">
        <v>32</v>
      </c>
      <c r="L2222" t="s">
        <v>1353</v>
      </c>
      <c r="M2222" t="s">
        <v>1353</v>
      </c>
      <c r="N2222" t="s">
        <v>1353</v>
      </c>
      <c r="O2222" t="s">
        <v>1353</v>
      </c>
      <c r="P2222" t="s">
        <v>1353</v>
      </c>
      <c r="Q2222" t="s">
        <v>1373</v>
      </c>
      <c r="R2222" t="s">
        <v>1373</v>
      </c>
      <c r="S2222">
        <v>14</v>
      </c>
    </row>
    <row r="2223" spans="1:19" x14ac:dyDescent="0.25">
      <c r="A2223" t="s">
        <v>1350</v>
      </c>
      <c r="B2223" t="s">
        <v>1373</v>
      </c>
      <c r="C2223">
        <v>2</v>
      </c>
      <c r="D2223" t="s">
        <v>908</v>
      </c>
      <c r="E2223" t="s">
        <v>924</v>
      </c>
      <c r="F2223" t="s">
        <v>25</v>
      </c>
      <c r="G2223">
        <v>1</v>
      </c>
      <c r="H2223">
        <v>4</v>
      </c>
      <c r="I2223" t="b">
        <v>1</v>
      </c>
      <c r="J2223" t="s">
        <v>1401</v>
      </c>
      <c r="K2223" t="s">
        <v>32</v>
      </c>
      <c r="L2223" t="s">
        <v>1353</v>
      </c>
      <c r="M2223" t="s">
        <v>1353</v>
      </c>
      <c r="N2223" t="s">
        <v>1353</v>
      </c>
      <c r="O2223" t="s">
        <v>1353</v>
      </c>
      <c r="P2223" t="s">
        <v>1353</v>
      </c>
      <c r="Q2223" t="s">
        <v>1373</v>
      </c>
      <c r="R2223" t="s">
        <v>1373</v>
      </c>
      <c r="S2223">
        <v>15</v>
      </c>
    </row>
    <row r="2224" spans="1:19" x14ac:dyDescent="0.25">
      <c r="A2224" t="s">
        <v>1350</v>
      </c>
      <c r="B2224" t="s">
        <v>1373</v>
      </c>
      <c r="C2224">
        <v>2</v>
      </c>
      <c r="D2224" t="s">
        <v>911</v>
      </c>
      <c r="E2224" t="s">
        <v>924</v>
      </c>
      <c r="F2224" t="s">
        <v>25</v>
      </c>
      <c r="G2224">
        <v>1</v>
      </c>
      <c r="H2224">
        <v>4</v>
      </c>
      <c r="I2224" t="b">
        <v>1</v>
      </c>
      <c r="J2224" t="s">
        <v>1404</v>
      </c>
      <c r="K2224" t="s">
        <v>32</v>
      </c>
      <c r="L2224" t="s">
        <v>1353</v>
      </c>
      <c r="M2224" t="s">
        <v>1353</v>
      </c>
      <c r="N2224" t="s">
        <v>1353</v>
      </c>
      <c r="O2224" t="s">
        <v>1353</v>
      </c>
      <c r="P2224" t="s">
        <v>1353</v>
      </c>
      <c r="Q2224" t="s">
        <v>1373</v>
      </c>
      <c r="R2224" t="s">
        <v>1373</v>
      </c>
      <c r="S2224">
        <v>16</v>
      </c>
    </row>
    <row r="2225" spans="1:19" x14ac:dyDescent="0.25">
      <c r="A2225" t="s">
        <v>1350</v>
      </c>
      <c r="B2225" t="s">
        <v>1373</v>
      </c>
      <c r="C2225">
        <v>2</v>
      </c>
      <c r="D2225" t="s">
        <v>906</v>
      </c>
      <c r="E2225" t="s">
        <v>1099</v>
      </c>
      <c r="F2225" t="s">
        <v>25</v>
      </c>
      <c r="G2225">
        <v>1</v>
      </c>
      <c r="H2225">
        <v>2</v>
      </c>
      <c r="I2225" t="b">
        <v>1</v>
      </c>
      <c r="J2225" t="s">
        <v>1400</v>
      </c>
      <c r="K2225" t="s">
        <v>32</v>
      </c>
      <c r="L2225" t="s">
        <v>1353</v>
      </c>
      <c r="M2225" t="s">
        <v>1353</v>
      </c>
      <c r="N2225" t="s">
        <v>1353</v>
      </c>
      <c r="O2225" t="s">
        <v>1353</v>
      </c>
      <c r="P2225" t="s">
        <v>1353</v>
      </c>
      <c r="Q2225" t="s">
        <v>1373</v>
      </c>
      <c r="R2225" t="s">
        <v>1373</v>
      </c>
      <c r="S2225">
        <v>17</v>
      </c>
    </row>
    <row r="2226" spans="1:19" x14ac:dyDescent="0.25">
      <c r="A2226" t="s">
        <v>1350</v>
      </c>
      <c r="B2226" t="s">
        <v>1373</v>
      </c>
      <c r="C2226">
        <v>2</v>
      </c>
      <c r="D2226" t="s">
        <v>1331</v>
      </c>
      <c r="E2226" t="s">
        <v>1375</v>
      </c>
      <c r="F2226" t="s">
        <v>25</v>
      </c>
      <c r="G2226">
        <v>9</v>
      </c>
      <c r="H2226">
        <v>12</v>
      </c>
      <c r="I2226" t="b">
        <v>1</v>
      </c>
      <c r="J2226" t="s">
        <v>1332</v>
      </c>
      <c r="K2226" t="s">
        <v>32</v>
      </c>
      <c r="L2226" t="s">
        <v>1353</v>
      </c>
      <c r="M2226" t="s">
        <v>1353</v>
      </c>
      <c r="N2226" t="s">
        <v>1353</v>
      </c>
      <c r="O2226" t="s">
        <v>1353</v>
      </c>
      <c r="P2226" t="s">
        <v>1353</v>
      </c>
      <c r="Q2226" t="s">
        <v>1373</v>
      </c>
      <c r="R2226" t="s">
        <v>1373</v>
      </c>
      <c r="S2226">
        <v>19</v>
      </c>
    </row>
    <row r="2227" spans="1:19" x14ac:dyDescent="0.25">
      <c r="A2227" t="s">
        <v>1350</v>
      </c>
      <c r="B2227" t="s">
        <v>1373</v>
      </c>
      <c r="C2227">
        <v>2</v>
      </c>
      <c r="D2227" t="s">
        <v>990</v>
      </c>
      <c r="E2227" t="s">
        <v>962</v>
      </c>
      <c r="F2227" t="s">
        <v>24</v>
      </c>
      <c r="G2227">
        <v>0</v>
      </c>
      <c r="H2227">
        <v>2</v>
      </c>
      <c r="I2227" t="b">
        <v>1</v>
      </c>
      <c r="J2227" t="s">
        <v>1365</v>
      </c>
      <c r="K2227" t="s">
        <v>32</v>
      </c>
      <c r="L2227" t="s">
        <v>1353</v>
      </c>
      <c r="M2227" t="s">
        <v>1353</v>
      </c>
      <c r="N2227" t="s">
        <v>1353</v>
      </c>
      <c r="O2227" t="s">
        <v>1353</v>
      </c>
      <c r="P2227" t="s">
        <v>1353</v>
      </c>
      <c r="Q2227" t="s">
        <v>1373</v>
      </c>
      <c r="R2227" t="s">
        <v>1373</v>
      </c>
      <c r="S2227">
        <v>24</v>
      </c>
    </row>
    <row r="2228" spans="1:19" x14ac:dyDescent="0.25">
      <c r="A2228" t="s">
        <v>1350</v>
      </c>
      <c r="B2228" t="s">
        <v>1373</v>
      </c>
      <c r="C2228">
        <v>2</v>
      </c>
      <c r="D2228" t="s">
        <v>1376</v>
      </c>
      <c r="E2228" t="s">
        <v>1394</v>
      </c>
      <c r="F2228" t="s">
        <v>24</v>
      </c>
      <c r="G2228">
        <v>22</v>
      </c>
      <c r="H2228">
        <v>32</v>
      </c>
      <c r="I2228" t="b">
        <v>1</v>
      </c>
      <c r="J2228" t="s">
        <v>1430</v>
      </c>
      <c r="K2228" t="s">
        <v>32</v>
      </c>
      <c r="L2228" t="s">
        <v>1353</v>
      </c>
      <c r="M2228" t="s">
        <v>1353</v>
      </c>
      <c r="N2228" t="s">
        <v>1353</v>
      </c>
      <c r="O2228" t="s">
        <v>1353</v>
      </c>
      <c r="P2228" t="s">
        <v>1353</v>
      </c>
      <c r="Q2228" t="s">
        <v>1373</v>
      </c>
      <c r="R2228" t="s">
        <v>1373</v>
      </c>
      <c r="S2228">
        <v>28</v>
      </c>
    </row>
    <row r="2229" spans="1:19" x14ac:dyDescent="0.25">
      <c r="A2229" t="s">
        <v>1350</v>
      </c>
      <c r="B2229" t="s">
        <v>1373</v>
      </c>
      <c r="C2229">
        <v>3</v>
      </c>
      <c r="D2229" t="s">
        <v>11</v>
      </c>
      <c r="E2229" t="s">
        <v>1374</v>
      </c>
      <c r="F2229" t="s">
        <v>25</v>
      </c>
      <c r="G2229">
        <v>12</v>
      </c>
      <c r="H2229">
        <v>15</v>
      </c>
      <c r="I2229" t="b">
        <v>1</v>
      </c>
      <c r="J2229" t="s">
        <v>0</v>
      </c>
      <c r="K2229" t="s">
        <v>32</v>
      </c>
      <c r="L2229" t="s">
        <v>1353</v>
      </c>
      <c r="M2229" t="s">
        <v>1353</v>
      </c>
      <c r="N2229" t="s">
        <v>1353</v>
      </c>
      <c r="O2229" t="s">
        <v>1353</v>
      </c>
      <c r="P2229" t="s">
        <v>1353</v>
      </c>
      <c r="Q2229" t="s">
        <v>1373</v>
      </c>
      <c r="R2229" t="s">
        <v>1373</v>
      </c>
      <c r="S2229">
        <v>1</v>
      </c>
    </row>
    <row r="2230" spans="1:19" x14ac:dyDescent="0.25">
      <c r="A2230" t="s">
        <v>1350</v>
      </c>
      <c r="B2230" t="s">
        <v>1373</v>
      </c>
      <c r="C2230">
        <v>3</v>
      </c>
      <c r="D2230" t="s">
        <v>342</v>
      </c>
      <c r="E2230" t="s">
        <v>1356</v>
      </c>
      <c r="F2230" t="s">
        <v>24</v>
      </c>
      <c r="G2230">
        <v>2.5</v>
      </c>
      <c r="H2230">
        <v>2.9</v>
      </c>
      <c r="I2230" t="b">
        <v>1</v>
      </c>
      <c r="J2230" t="s">
        <v>343</v>
      </c>
      <c r="K2230" t="s">
        <v>32</v>
      </c>
      <c r="L2230" t="s">
        <v>1353</v>
      </c>
      <c r="M2230" t="s">
        <v>1353</v>
      </c>
      <c r="N2230" t="s">
        <v>1353</v>
      </c>
      <c r="O2230" t="s">
        <v>1353</v>
      </c>
      <c r="P2230" t="s">
        <v>1353</v>
      </c>
      <c r="Q2230" t="s">
        <v>1373</v>
      </c>
      <c r="R2230" t="s">
        <v>1373</v>
      </c>
      <c r="S2230">
        <v>4</v>
      </c>
    </row>
    <row r="2231" spans="1:19" x14ac:dyDescent="0.25">
      <c r="A2231" t="s">
        <v>1350</v>
      </c>
      <c r="B2231" t="s">
        <v>1373</v>
      </c>
      <c r="C2231">
        <v>3</v>
      </c>
      <c r="D2231" t="s">
        <v>364</v>
      </c>
      <c r="E2231" t="s">
        <v>1243</v>
      </c>
      <c r="F2231" t="s">
        <v>25</v>
      </c>
      <c r="G2231">
        <v>-0.5</v>
      </c>
      <c r="H2231">
        <v>2</v>
      </c>
      <c r="I2231" t="b">
        <v>1</v>
      </c>
      <c r="J2231" t="s">
        <v>1428</v>
      </c>
      <c r="K2231" t="s">
        <v>32</v>
      </c>
      <c r="L2231" t="s">
        <v>1353</v>
      </c>
      <c r="M2231" t="s">
        <v>1361</v>
      </c>
      <c r="N2231" t="s">
        <v>1353</v>
      </c>
      <c r="O2231" t="s">
        <v>1353</v>
      </c>
      <c r="P2231" t="s">
        <v>1353</v>
      </c>
      <c r="Q2231" t="s">
        <v>1373</v>
      </c>
      <c r="R2231" t="s">
        <v>1373</v>
      </c>
      <c r="S2231">
        <v>6</v>
      </c>
    </row>
    <row r="2232" spans="1:19" x14ac:dyDescent="0.25">
      <c r="A2232" t="s">
        <v>1350</v>
      </c>
      <c r="B2232" t="s">
        <v>1373</v>
      </c>
      <c r="C2232">
        <v>3</v>
      </c>
      <c r="D2232" t="s">
        <v>397</v>
      </c>
      <c r="E2232" t="s">
        <v>1362</v>
      </c>
      <c r="F2232" t="s">
        <v>25</v>
      </c>
      <c r="G2232">
        <v>-1</v>
      </c>
      <c r="H2232">
        <v>5</v>
      </c>
      <c r="I2232" t="b">
        <v>1</v>
      </c>
      <c r="J2232" t="s">
        <v>1431</v>
      </c>
      <c r="K2232" t="s">
        <v>32</v>
      </c>
      <c r="L2232" t="s">
        <v>1353</v>
      </c>
      <c r="M2232" t="s">
        <v>1361</v>
      </c>
      <c r="N2232" t="s">
        <v>1353</v>
      </c>
      <c r="O2232" t="s">
        <v>1353</v>
      </c>
      <c r="P2232" t="s">
        <v>1353</v>
      </c>
      <c r="Q2232" t="s">
        <v>1373</v>
      </c>
      <c r="R2232" t="s">
        <v>1373</v>
      </c>
      <c r="S2232">
        <v>7</v>
      </c>
    </row>
    <row r="2233" spans="1:19" x14ac:dyDescent="0.25">
      <c r="A2233" t="s">
        <v>1350</v>
      </c>
      <c r="B2233" t="s">
        <v>1373</v>
      </c>
      <c r="C2233">
        <v>3</v>
      </c>
      <c r="D2233" t="s">
        <v>407</v>
      </c>
      <c r="E2233" t="s">
        <v>1302</v>
      </c>
      <c r="F2233" t="s">
        <v>27</v>
      </c>
      <c r="G2233">
        <v>3</v>
      </c>
      <c r="H2233">
        <v>8</v>
      </c>
      <c r="I2233" t="b">
        <v>0</v>
      </c>
      <c r="J2233" t="s">
        <v>1407</v>
      </c>
      <c r="K2233" t="s">
        <v>32</v>
      </c>
      <c r="L2233" t="s">
        <v>1353</v>
      </c>
      <c r="M2233" t="s">
        <v>1353</v>
      </c>
      <c r="N2233" t="s">
        <v>1353</v>
      </c>
      <c r="O2233" t="s">
        <v>1353</v>
      </c>
      <c r="P2233" t="s">
        <v>1353</v>
      </c>
      <c r="Q2233" t="s">
        <v>1373</v>
      </c>
      <c r="R2233" t="s">
        <v>1373</v>
      </c>
      <c r="S2233">
        <v>12</v>
      </c>
    </row>
    <row r="2234" spans="1:19" x14ac:dyDescent="0.25">
      <c r="A2234" t="s">
        <v>1350</v>
      </c>
      <c r="B2234" t="s">
        <v>1373</v>
      </c>
      <c r="C2234">
        <v>3</v>
      </c>
      <c r="D2234" t="s">
        <v>1363</v>
      </c>
      <c r="E2234" t="s">
        <v>1236</v>
      </c>
      <c r="F2234" t="s">
        <v>27</v>
      </c>
      <c r="G2234">
        <v>2</v>
      </c>
      <c r="H2234">
        <v>5</v>
      </c>
      <c r="I2234" t="b">
        <v>0</v>
      </c>
      <c r="J2234" t="s">
        <v>1429</v>
      </c>
      <c r="K2234" t="s">
        <v>32</v>
      </c>
      <c r="L2234" t="s">
        <v>1353</v>
      </c>
      <c r="M2234" t="s">
        <v>1353</v>
      </c>
      <c r="N2234" t="s">
        <v>1353</v>
      </c>
      <c r="O2234" t="s">
        <v>1353</v>
      </c>
      <c r="P2234" t="s">
        <v>1353</v>
      </c>
      <c r="Q2234" t="s">
        <v>1373</v>
      </c>
      <c r="R2234" t="s">
        <v>1373</v>
      </c>
      <c r="S2234">
        <v>14</v>
      </c>
    </row>
    <row r="2235" spans="1:19" x14ac:dyDescent="0.25">
      <c r="A2235" t="s">
        <v>1350</v>
      </c>
      <c r="B2235" t="s">
        <v>1373</v>
      </c>
      <c r="C2235">
        <v>3</v>
      </c>
      <c r="D2235" t="s">
        <v>908</v>
      </c>
      <c r="E2235" t="s">
        <v>725</v>
      </c>
      <c r="F2235" t="s">
        <v>25</v>
      </c>
      <c r="G2235">
        <v>0</v>
      </c>
      <c r="H2235">
        <v>1</v>
      </c>
      <c r="I2235" t="b">
        <v>1</v>
      </c>
      <c r="J2235" t="s">
        <v>1401</v>
      </c>
      <c r="K2235" t="s">
        <v>32</v>
      </c>
      <c r="L2235" t="s">
        <v>1353</v>
      </c>
      <c r="M2235" t="s">
        <v>1353</v>
      </c>
      <c r="N2235" t="s">
        <v>1353</v>
      </c>
      <c r="O2235" t="s">
        <v>1353</v>
      </c>
      <c r="P2235" t="s">
        <v>1353</v>
      </c>
      <c r="Q2235" t="s">
        <v>1373</v>
      </c>
      <c r="R2235" t="s">
        <v>1373</v>
      </c>
      <c r="S2235">
        <v>15</v>
      </c>
    </row>
    <row r="2236" spans="1:19" x14ac:dyDescent="0.25">
      <c r="A2236" t="s">
        <v>1350</v>
      </c>
      <c r="B2236" t="s">
        <v>1373</v>
      </c>
      <c r="C2236">
        <v>3</v>
      </c>
      <c r="D2236" t="s">
        <v>911</v>
      </c>
      <c r="E2236" t="s">
        <v>725</v>
      </c>
      <c r="F2236" t="s">
        <v>25</v>
      </c>
      <c r="G2236">
        <v>0</v>
      </c>
      <c r="H2236">
        <v>1</v>
      </c>
      <c r="I2236" t="b">
        <v>1</v>
      </c>
      <c r="J2236" t="s">
        <v>1404</v>
      </c>
      <c r="K2236" t="s">
        <v>32</v>
      </c>
      <c r="L2236" t="s">
        <v>1353</v>
      </c>
      <c r="M2236" t="s">
        <v>1353</v>
      </c>
      <c r="N2236" t="s">
        <v>1353</v>
      </c>
      <c r="O2236" t="s">
        <v>1353</v>
      </c>
      <c r="P2236" t="s">
        <v>1353</v>
      </c>
      <c r="Q2236" t="s">
        <v>1373</v>
      </c>
      <c r="R2236" t="s">
        <v>1373</v>
      </c>
      <c r="S2236">
        <v>16</v>
      </c>
    </row>
    <row r="2237" spans="1:19" x14ac:dyDescent="0.25">
      <c r="A2237" t="s">
        <v>1350</v>
      </c>
      <c r="B2237" t="s">
        <v>1373</v>
      </c>
      <c r="C2237">
        <v>3</v>
      </c>
      <c r="D2237" t="s">
        <v>906</v>
      </c>
      <c r="E2237" t="s">
        <v>725</v>
      </c>
      <c r="F2237" t="s">
        <v>25</v>
      </c>
      <c r="G2237">
        <v>0</v>
      </c>
      <c r="H2237">
        <v>1</v>
      </c>
      <c r="I2237" t="b">
        <v>1</v>
      </c>
      <c r="J2237" t="s">
        <v>1400</v>
      </c>
      <c r="K2237" t="s">
        <v>32</v>
      </c>
      <c r="L2237" t="s">
        <v>1353</v>
      </c>
      <c r="M2237" t="s">
        <v>1353</v>
      </c>
      <c r="N2237" t="s">
        <v>1353</v>
      </c>
      <c r="O2237" t="s">
        <v>1353</v>
      </c>
      <c r="P2237" t="s">
        <v>1353</v>
      </c>
      <c r="Q2237" t="s">
        <v>1373</v>
      </c>
      <c r="R2237" t="s">
        <v>1373</v>
      </c>
      <c r="S2237">
        <v>17</v>
      </c>
    </row>
    <row r="2238" spans="1:19" x14ac:dyDescent="0.25">
      <c r="A2238" t="s">
        <v>1350</v>
      </c>
      <c r="B2238" t="s">
        <v>1373</v>
      </c>
      <c r="C2238">
        <v>3</v>
      </c>
      <c r="D2238" t="s">
        <v>1331</v>
      </c>
      <c r="E2238" t="s">
        <v>1324</v>
      </c>
      <c r="F2238" t="s">
        <v>25</v>
      </c>
      <c r="G2238">
        <v>6</v>
      </c>
      <c r="H2238">
        <v>9</v>
      </c>
      <c r="I2238" t="b">
        <v>1</v>
      </c>
      <c r="J2238" t="s">
        <v>1332</v>
      </c>
      <c r="K2238" t="s">
        <v>32</v>
      </c>
      <c r="L2238" t="s">
        <v>1353</v>
      </c>
      <c r="M2238" t="s">
        <v>1353</v>
      </c>
      <c r="N2238" t="s">
        <v>1353</v>
      </c>
      <c r="O2238" t="s">
        <v>1353</v>
      </c>
      <c r="P2238" t="s">
        <v>1353</v>
      </c>
      <c r="Q2238" t="s">
        <v>1373</v>
      </c>
      <c r="R2238" t="s">
        <v>1373</v>
      </c>
      <c r="S2238">
        <v>19</v>
      </c>
    </row>
    <row r="2239" spans="1:19" x14ac:dyDescent="0.25">
      <c r="A2239" t="s">
        <v>1350</v>
      </c>
      <c r="B2239" t="s">
        <v>1373</v>
      </c>
      <c r="C2239">
        <v>3</v>
      </c>
      <c r="D2239" t="s">
        <v>990</v>
      </c>
      <c r="E2239" t="s">
        <v>1366</v>
      </c>
      <c r="F2239" t="s">
        <v>25</v>
      </c>
      <c r="G2239">
        <v>-1</v>
      </c>
      <c r="H2239">
        <v>0.5</v>
      </c>
      <c r="I2239" t="b">
        <v>1</v>
      </c>
      <c r="J2239" t="s">
        <v>1365</v>
      </c>
      <c r="K2239" t="s">
        <v>32</v>
      </c>
      <c r="L2239" t="s">
        <v>1353</v>
      </c>
      <c r="M2239" t="s">
        <v>1367</v>
      </c>
      <c r="N2239" t="s">
        <v>1353</v>
      </c>
      <c r="O2239" t="s">
        <v>1353</v>
      </c>
      <c r="P2239" t="s">
        <v>1353</v>
      </c>
      <c r="Q2239" t="s">
        <v>1373</v>
      </c>
      <c r="R2239" t="s">
        <v>1373</v>
      </c>
      <c r="S2239">
        <v>24</v>
      </c>
    </row>
    <row r="2240" spans="1:19" x14ac:dyDescent="0.25">
      <c r="A2240" t="s">
        <v>1350</v>
      </c>
      <c r="B2240" t="s">
        <v>1373</v>
      </c>
      <c r="C2240">
        <v>3</v>
      </c>
      <c r="D2240" t="s">
        <v>1376</v>
      </c>
      <c r="E2240" t="s">
        <v>1253</v>
      </c>
      <c r="F2240" t="s">
        <v>24</v>
      </c>
      <c r="G2240">
        <v>12</v>
      </c>
      <c r="H2240">
        <v>22</v>
      </c>
      <c r="I2240" t="b">
        <v>1</v>
      </c>
      <c r="J2240" t="s">
        <v>1430</v>
      </c>
      <c r="K2240" t="s">
        <v>32</v>
      </c>
      <c r="L2240" t="s">
        <v>1353</v>
      </c>
      <c r="M2240" t="s">
        <v>1353</v>
      </c>
      <c r="N2240" t="s">
        <v>1353</v>
      </c>
      <c r="O2240" t="s">
        <v>1353</v>
      </c>
      <c r="P2240" t="s">
        <v>1353</v>
      </c>
      <c r="Q2240" t="s">
        <v>1373</v>
      </c>
      <c r="R2240" t="s">
        <v>1373</v>
      </c>
      <c r="S2240">
        <v>28</v>
      </c>
    </row>
    <row r="2241" spans="1:19" x14ac:dyDescent="0.25">
      <c r="A2241" t="s">
        <v>1350</v>
      </c>
      <c r="B2241" t="s">
        <v>1373</v>
      </c>
      <c r="C2241">
        <v>4</v>
      </c>
      <c r="D2241" t="s">
        <v>11</v>
      </c>
      <c r="E2241" t="s">
        <v>948</v>
      </c>
      <c r="F2241" t="s">
        <v>25</v>
      </c>
      <c r="G2241">
        <v>5</v>
      </c>
      <c r="H2241">
        <v>10</v>
      </c>
      <c r="I2241" t="b">
        <v>1</v>
      </c>
      <c r="J2241" t="s">
        <v>0</v>
      </c>
      <c r="K2241" t="s">
        <v>32</v>
      </c>
      <c r="L2241" t="s">
        <v>1353</v>
      </c>
      <c r="M2241" t="s">
        <v>1353</v>
      </c>
      <c r="N2241" t="s">
        <v>1353</v>
      </c>
      <c r="O2241" t="s">
        <v>1353</v>
      </c>
      <c r="P2241" t="s">
        <v>1353</v>
      </c>
      <c r="Q2241" t="s">
        <v>1373</v>
      </c>
      <c r="R2241" t="s">
        <v>1373</v>
      </c>
      <c r="S2241">
        <v>1</v>
      </c>
    </row>
    <row r="2242" spans="1:19" x14ac:dyDescent="0.25">
      <c r="A2242" t="s">
        <v>1350</v>
      </c>
      <c r="B2242" t="s">
        <v>1373</v>
      </c>
      <c r="C2242">
        <v>4</v>
      </c>
      <c r="D2242" t="s">
        <v>342</v>
      </c>
      <c r="E2242" t="s">
        <v>1357</v>
      </c>
      <c r="F2242" t="s">
        <v>25</v>
      </c>
      <c r="G2242">
        <v>1.5</v>
      </c>
      <c r="H2242">
        <v>2.2000000000000002</v>
      </c>
      <c r="I2242" t="b">
        <v>1</v>
      </c>
      <c r="J2242" t="s">
        <v>343</v>
      </c>
      <c r="K2242" t="s">
        <v>32</v>
      </c>
      <c r="L2242" t="s">
        <v>1353</v>
      </c>
      <c r="M2242" t="s">
        <v>1353</v>
      </c>
      <c r="N2242" t="s">
        <v>1353</v>
      </c>
      <c r="O2242" t="s">
        <v>1353</v>
      </c>
      <c r="P2242" t="s">
        <v>1353</v>
      </c>
      <c r="Q2242" t="s">
        <v>1373</v>
      </c>
      <c r="R2242" t="s">
        <v>1373</v>
      </c>
      <c r="S2242">
        <v>4</v>
      </c>
    </row>
    <row r="2243" spans="1:19" x14ac:dyDescent="0.25">
      <c r="A2243" t="s">
        <v>1350</v>
      </c>
      <c r="B2243" t="s">
        <v>1373</v>
      </c>
      <c r="C2243">
        <v>4</v>
      </c>
      <c r="D2243" t="s">
        <v>407</v>
      </c>
      <c r="E2243" t="s">
        <v>917</v>
      </c>
      <c r="F2243" t="s">
        <v>26</v>
      </c>
      <c r="G2243">
        <v>20</v>
      </c>
      <c r="H2243">
        <v>30</v>
      </c>
      <c r="I2243" t="b">
        <v>0</v>
      </c>
      <c r="J2243" t="s">
        <v>1407</v>
      </c>
      <c r="K2243" t="s">
        <v>32</v>
      </c>
      <c r="L2243" t="s">
        <v>1353</v>
      </c>
      <c r="M2243" t="s">
        <v>1353</v>
      </c>
      <c r="N2243" t="s">
        <v>1353</v>
      </c>
      <c r="O2243" t="s">
        <v>1353</v>
      </c>
      <c r="P2243" t="s">
        <v>1353</v>
      </c>
      <c r="Q2243" t="s">
        <v>1373</v>
      </c>
      <c r="R2243" t="s">
        <v>1373</v>
      </c>
      <c r="S2243">
        <v>12</v>
      </c>
    </row>
    <row r="2244" spans="1:19" x14ac:dyDescent="0.25">
      <c r="A2244" t="s">
        <v>1350</v>
      </c>
      <c r="B2244" t="s">
        <v>1373</v>
      </c>
      <c r="C2244">
        <v>4</v>
      </c>
      <c r="D2244" t="s">
        <v>1331</v>
      </c>
      <c r="E2244" t="s">
        <v>912</v>
      </c>
      <c r="F2244" t="s">
        <v>25</v>
      </c>
      <c r="G2244">
        <v>2</v>
      </c>
      <c r="H2244">
        <v>5</v>
      </c>
      <c r="I2244" t="b">
        <v>1</v>
      </c>
      <c r="J2244" t="s">
        <v>1332</v>
      </c>
      <c r="K2244" t="s">
        <v>32</v>
      </c>
      <c r="L2244" t="s">
        <v>1353</v>
      </c>
      <c r="M2244" t="s">
        <v>1353</v>
      </c>
      <c r="N2244" t="s">
        <v>1353</v>
      </c>
      <c r="O2244" t="s">
        <v>1353</v>
      </c>
      <c r="P2244" t="s">
        <v>1353</v>
      </c>
      <c r="Q2244" t="s">
        <v>1373</v>
      </c>
      <c r="R2244" t="s">
        <v>1373</v>
      </c>
      <c r="S2244">
        <v>19</v>
      </c>
    </row>
    <row r="2245" spans="1:19" x14ac:dyDescent="0.25">
      <c r="A2245" t="s">
        <v>1350</v>
      </c>
      <c r="B2245" t="s">
        <v>1373</v>
      </c>
      <c r="C2245">
        <v>4</v>
      </c>
      <c r="D2245" t="s">
        <v>1085</v>
      </c>
      <c r="E2245" t="s">
        <v>1334</v>
      </c>
      <c r="F2245" t="s">
        <v>25</v>
      </c>
      <c r="G2245">
        <v>0.5</v>
      </c>
      <c r="H2245">
        <v>2</v>
      </c>
      <c r="I2245" t="b">
        <v>1</v>
      </c>
      <c r="J2245" t="s">
        <v>1369</v>
      </c>
      <c r="K2245" t="s">
        <v>32</v>
      </c>
      <c r="L2245" t="s">
        <v>1353</v>
      </c>
      <c r="M2245" t="s">
        <v>1353</v>
      </c>
      <c r="N2245" t="s">
        <v>1353</v>
      </c>
      <c r="O2245" t="s">
        <v>1353</v>
      </c>
      <c r="P2245" t="s">
        <v>1353</v>
      </c>
      <c r="Q2245" t="s">
        <v>1373</v>
      </c>
      <c r="R2245" t="s">
        <v>1373</v>
      </c>
      <c r="S2245">
        <v>27</v>
      </c>
    </row>
    <row r="2246" spans="1:19" x14ac:dyDescent="0.25">
      <c r="A2246" t="s">
        <v>1350</v>
      </c>
      <c r="B2246" t="s">
        <v>1373</v>
      </c>
      <c r="C2246">
        <v>4</v>
      </c>
      <c r="D2246" t="s">
        <v>1376</v>
      </c>
      <c r="E2246" t="s">
        <v>948</v>
      </c>
      <c r="F2246" t="s">
        <v>25</v>
      </c>
      <c r="G2246">
        <v>5</v>
      </c>
      <c r="H2246">
        <v>10</v>
      </c>
      <c r="I2246" t="b">
        <v>1</v>
      </c>
      <c r="J2246" t="s">
        <v>1430</v>
      </c>
      <c r="K2246" t="s">
        <v>32</v>
      </c>
      <c r="L2246" t="s">
        <v>1353</v>
      </c>
      <c r="M2246" t="s">
        <v>1353</v>
      </c>
      <c r="N2246" t="s">
        <v>1353</v>
      </c>
      <c r="O2246" t="s">
        <v>1353</v>
      </c>
      <c r="P2246" t="s">
        <v>1353</v>
      </c>
      <c r="Q2246" t="s">
        <v>1373</v>
      </c>
      <c r="R2246" t="s">
        <v>1373</v>
      </c>
      <c r="S2246">
        <v>28</v>
      </c>
    </row>
    <row r="2247" spans="1:19" x14ac:dyDescent="0.25">
      <c r="A2247" t="s">
        <v>1350</v>
      </c>
      <c r="B2247" t="s">
        <v>1373</v>
      </c>
      <c r="C2247">
        <v>5</v>
      </c>
      <c r="D2247" t="s">
        <v>11</v>
      </c>
      <c r="E2247" t="s">
        <v>924</v>
      </c>
      <c r="F2247" t="s">
        <v>25</v>
      </c>
      <c r="G2247">
        <v>1</v>
      </c>
      <c r="H2247">
        <v>4</v>
      </c>
      <c r="I2247" t="b">
        <v>1</v>
      </c>
      <c r="J2247" t="s">
        <v>0</v>
      </c>
      <c r="K2247" t="s">
        <v>32</v>
      </c>
      <c r="L2247" t="s">
        <v>1353</v>
      </c>
      <c r="M2247" t="s">
        <v>1353</v>
      </c>
      <c r="N2247" t="s">
        <v>1353</v>
      </c>
      <c r="O2247" t="s">
        <v>1353</v>
      </c>
      <c r="P2247" t="s">
        <v>1353</v>
      </c>
      <c r="Q2247" t="s">
        <v>1373</v>
      </c>
      <c r="R2247" t="s">
        <v>1373</v>
      </c>
      <c r="S2247">
        <v>1</v>
      </c>
    </row>
    <row r="2248" spans="1:19" x14ac:dyDescent="0.25">
      <c r="A2248" t="s">
        <v>1350</v>
      </c>
      <c r="B2248" t="s">
        <v>1373</v>
      </c>
      <c r="C2248">
        <v>5</v>
      </c>
      <c r="D2248" t="s">
        <v>342</v>
      </c>
      <c r="E2248" t="s">
        <v>1358</v>
      </c>
      <c r="F2248" t="s">
        <v>24</v>
      </c>
      <c r="G2248">
        <v>0.5</v>
      </c>
      <c r="H2248">
        <v>1</v>
      </c>
      <c r="I2248" t="b">
        <v>1</v>
      </c>
      <c r="J2248" t="s">
        <v>343</v>
      </c>
      <c r="K2248" t="s">
        <v>32</v>
      </c>
      <c r="L2248" t="s">
        <v>1353</v>
      </c>
      <c r="M2248" t="s">
        <v>1353</v>
      </c>
      <c r="N2248" t="s">
        <v>1353</v>
      </c>
      <c r="O2248" t="s">
        <v>1353</v>
      </c>
      <c r="P2248" t="s">
        <v>1353</v>
      </c>
      <c r="Q2248" t="s">
        <v>1373</v>
      </c>
      <c r="R2248" t="s">
        <v>1373</v>
      </c>
      <c r="S2248">
        <v>4</v>
      </c>
    </row>
    <row r="2249" spans="1:19" x14ac:dyDescent="0.25">
      <c r="A2249" t="s">
        <v>1350</v>
      </c>
      <c r="B2249" t="s">
        <v>1373</v>
      </c>
      <c r="C2249">
        <v>5</v>
      </c>
      <c r="D2249" t="s">
        <v>1370</v>
      </c>
      <c r="E2249" t="s">
        <v>1360</v>
      </c>
      <c r="F2249" t="s">
        <v>25</v>
      </c>
      <c r="G2249">
        <v>-0.5</v>
      </c>
      <c r="H2249">
        <v>1</v>
      </c>
      <c r="I2249" t="b">
        <v>1</v>
      </c>
      <c r="J2249" t="s">
        <v>1371</v>
      </c>
      <c r="K2249" t="s">
        <v>32</v>
      </c>
      <c r="L2249" t="s">
        <v>1353</v>
      </c>
      <c r="M2249" t="s">
        <v>1372</v>
      </c>
      <c r="N2249" t="s">
        <v>1353</v>
      </c>
      <c r="O2249" t="s">
        <v>1353</v>
      </c>
      <c r="P2249" t="s">
        <v>1353</v>
      </c>
      <c r="Q2249" t="s">
        <v>1373</v>
      </c>
      <c r="R2249" t="s">
        <v>1373</v>
      </c>
      <c r="S2249">
        <v>22</v>
      </c>
    </row>
    <row r="2250" spans="1:19" x14ac:dyDescent="0.25">
      <c r="A2250" t="s">
        <v>955</v>
      </c>
      <c r="B2250" t="s">
        <v>1330</v>
      </c>
      <c r="C2250">
        <v>2</v>
      </c>
      <c r="D2250" t="s">
        <v>11</v>
      </c>
      <c r="E2250" t="s">
        <v>919</v>
      </c>
      <c r="F2250" t="s">
        <v>24</v>
      </c>
      <c r="G2250">
        <v>35</v>
      </c>
      <c r="H2250">
        <v>45</v>
      </c>
      <c r="I2250" t="b">
        <v>1</v>
      </c>
      <c r="J2250" t="s">
        <v>0</v>
      </c>
      <c r="K2250" t="s">
        <v>32</v>
      </c>
      <c r="Q2250" t="s">
        <v>1330</v>
      </c>
      <c r="R2250" t="s">
        <v>1330</v>
      </c>
      <c r="S2250">
        <v>1</v>
      </c>
    </row>
    <row r="2251" spans="1:19" x14ac:dyDescent="0.25">
      <c r="A2251" t="s">
        <v>955</v>
      </c>
      <c r="B2251" t="s">
        <v>1330</v>
      </c>
      <c r="C2251">
        <v>3</v>
      </c>
      <c r="D2251" t="s">
        <v>11</v>
      </c>
      <c r="E2251" t="s">
        <v>925</v>
      </c>
      <c r="F2251" t="s">
        <v>24</v>
      </c>
      <c r="G2251">
        <v>30</v>
      </c>
      <c r="H2251">
        <v>40</v>
      </c>
      <c r="I2251" t="b">
        <v>1</v>
      </c>
      <c r="J2251" t="s">
        <v>0</v>
      </c>
      <c r="K2251" t="s">
        <v>32</v>
      </c>
      <c r="L2251" t="s">
        <v>716</v>
      </c>
      <c r="M2251" t="s">
        <v>1138</v>
      </c>
      <c r="Q2251" t="s">
        <v>1330</v>
      </c>
      <c r="R2251" t="s">
        <v>1330</v>
      </c>
      <c r="S2251">
        <v>1</v>
      </c>
    </row>
    <row r="2252" spans="1:19" x14ac:dyDescent="0.25">
      <c r="A2252" t="s">
        <v>955</v>
      </c>
      <c r="B2252" t="s">
        <v>1330</v>
      </c>
      <c r="C2252">
        <v>4</v>
      </c>
      <c r="D2252" t="s">
        <v>11</v>
      </c>
      <c r="E2252" t="s">
        <v>932</v>
      </c>
      <c r="F2252" t="s">
        <v>25</v>
      </c>
      <c r="G2252">
        <v>25</v>
      </c>
      <c r="H2252">
        <v>30</v>
      </c>
      <c r="I2252" t="b">
        <v>1</v>
      </c>
      <c r="J2252" t="s">
        <v>0</v>
      </c>
      <c r="K2252" t="s">
        <v>32</v>
      </c>
      <c r="L2252" t="s">
        <v>716</v>
      </c>
      <c r="M2252" t="s">
        <v>1138</v>
      </c>
      <c r="Q2252" t="s">
        <v>1330</v>
      </c>
      <c r="R2252" t="s">
        <v>1330</v>
      </c>
      <c r="S2252">
        <v>1</v>
      </c>
    </row>
    <row r="2253" spans="1:19" x14ac:dyDescent="0.25">
      <c r="A2253" t="s">
        <v>955</v>
      </c>
      <c r="B2253" t="s">
        <v>1330</v>
      </c>
      <c r="C2253">
        <v>5</v>
      </c>
      <c r="D2253" t="s">
        <v>11</v>
      </c>
      <c r="E2253" t="s">
        <v>927</v>
      </c>
      <c r="F2253" t="s">
        <v>24</v>
      </c>
      <c r="G2253">
        <v>15</v>
      </c>
      <c r="H2253">
        <v>25</v>
      </c>
      <c r="I2253" t="b">
        <v>1</v>
      </c>
      <c r="J2253" t="s">
        <v>0</v>
      </c>
      <c r="K2253" t="s">
        <v>32</v>
      </c>
      <c r="L2253" t="s">
        <v>716</v>
      </c>
      <c r="M2253" t="s">
        <v>1138</v>
      </c>
      <c r="Q2253" t="s">
        <v>1330</v>
      </c>
      <c r="R2253" t="s">
        <v>1330</v>
      </c>
      <c r="S2253">
        <v>1</v>
      </c>
    </row>
    <row r="2254" spans="1:19" x14ac:dyDescent="0.25">
      <c r="A2254" t="s">
        <v>955</v>
      </c>
      <c r="B2254" t="s">
        <v>1330</v>
      </c>
      <c r="C2254">
        <v>2</v>
      </c>
      <c r="D2254" t="s">
        <v>311</v>
      </c>
      <c r="E2254" t="s">
        <v>917</v>
      </c>
      <c r="F2254" t="s">
        <v>26</v>
      </c>
      <c r="G2254">
        <v>20</v>
      </c>
      <c r="H2254">
        <v>30</v>
      </c>
      <c r="I2254" t="b">
        <v>0</v>
      </c>
      <c r="J2254" t="s">
        <v>1258</v>
      </c>
      <c r="K2254" t="s">
        <v>32</v>
      </c>
      <c r="L2254" t="s">
        <v>716</v>
      </c>
      <c r="M2254" t="s">
        <v>1138</v>
      </c>
      <c r="Q2254" t="s">
        <v>1330</v>
      </c>
      <c r="R2254" t="s">
        <v>1330</v>
      </c>
      <c r="S2254">
        <v>2</v>
      </c>
    </row>
    <row r="2255" spans="1:19" x14ac:dyDescent="0.25">
      <c r="A2255" t="s">
        <v>955</v>
      </c>
      <c r="B2255" t="s">
        <v>1330</v>
      </c>
      <c r="C2255">
        <v>3</v>
      </c>
      <c r="D2255" t="s">
        <v>311</v>
      </c>
      <c r="E2255" t="s">
        <v>1247</v>
      </c>
      <c r="F2255" t="s">
        <v>27</v>
      </c>
      <c r="G2255">
        <v>30</v>
      </c>
      <c r="H2255">
        <v>35</v>
      </c>
      <c r="I2255" t="b">
        <v>0</v>
      </c>
      <c r="J2255" t="s">
        <v>1258</v>
      </c>
      <c r="K2255" t="s">
        <v>32</v>
      </c>
      <c r="L2255" t="s">
        <v>716</v>
      </c>
      <c r="M2255" t="s">
        <v>1138</v>
      </c>
      <c r="Q2255" t="s">
        <v>1330</v>
      </c>
      <c r="R2255" t="s">
        <v>1330</v>
      </c>
      <c r="S2255">
        <v>2</v>
      </c>
    </row>
    <row r="2256" spans="1:19" x14ac:dyDescent="0.25">
      <c r="A2256" t="s">
        <v>955</v>
      </c>
      <c r="B2256" t="s">
        <v>1330</v>
      </c>
      <c r="C2256">
        <v>4</v>
      </c>
      <c r="D2256" t="s">
        <v>311</v>
      </c>
      <c r="E2256" t="s">
        <v>930</v>
      </c>
      <c r="F2256" t="s">
        <v>26</v>
      </c>
      <c r="G2256">
        <v>35</v>
      </c>
      <c r="H2256">
        <v>45</v>
      </c>
      <c r="I2256" t="b">
        <v>0</v>
      </c>
      <c r="J2256" t="s">
        <v>1258</v>
      </c>
      <c r="K2256" t="s">
        <v>32</v>
      </c>
      <c r="L2256" t="s">
        <v>716</v>
      </c>
      <c r="M2256" t="s">
        <v>1138</v>
      </c>
      <c r="Q2256" t="s">
        <v>1330</v>
      </c>
      <c r="R2256" t="s">
        <v>1330</v>
      </c>
      <c r="S2256">
        <v>2</v>
      </c>
    </row>
    <row r="2257" spans="1:19" x14ac:dyDescent="0.25">
      <c r="A2257" t="s">
        <v>955</v>
      </c>
      <c r="B2257" t="s">
        <v>1330</v>
      </c>
      <c r="C2257">
        <v>2</v>
      </c>
      <c r="D2257" t="s">
        <v>921</v>
      </c>
      <c r="E2257" t="s">
        <v>1333</v>
      </c>
      <c r="F2257" t="s">
        <v>25</v>
      </c>
      <c r="G2257">
        <v>22</v>
      </c>
      <c r="H2257">
        <v>27</v>
      </c>
      <c r="I2257" t="b">
        <v>1</v>
      </c>
      <c r="J2257" t="s">
        <v>1402</v>
      </c>
      <c r="K2257" t="s">
        <v>32</v>
      </c>
      <c r="L2257" t="s">
        <v>716</v>
      </c>
      <c r="M2257" t="s">
        <v>1138</v>
      </c>
      <c r="Q2257" t="s">
        <v>1330</v>
      </c>
      <c r="R2257" t="s">
        <v>1330</v>
      </c>
      <c r="S2257">
        <v>5</v>
      </c>
    </row>
    <row r="2258" spans="1:19" x14ac:dyDescent="0.25">
      <c r="A2258" t="s">
        <v>955</v>
      </c>
      <c r="B2258" t="s">
        <v>1330</v>
      </c>
      <c r="C2258">
        <v>3</v>
      </c>
      <c r="D2258" t="s">
        <v>921</v>
      </c>
      <c r="E2258" t="s">
        <v>944</v>
      </c>
      <c r="F2258" t="s">
        <v>25</v>
      </c>
      <c r="G2258">
        <v>17</v>
      </c>
      <c r="H2258">
        <v>22</v>
      </c>
      <c r="I2258" t="b">
        <v>1</v>
      </c>
      <c r="J2258" t="s">
        <v>1402</v>
      </c>
      <c r="K2258" t="s">
        <v>32</v>
      </c>
      <c r="L2258" t="s">
        <v>716</v>
      </c>
      <c r="M2258" t="s">
        <v>1138</v>
      </c>
      <c r="Q2258" t="s">
        <v>1330</v>
      </c>
      <c r="R2258" t="s">
        <v>1330</v>
      </c>
      <c r="S2258">
        <v>5</v>
      </c>
    </row>
    <row r="2259" spans="1:19" x14ac:dyDescent="0.25">
      <c r="A2259" t="s">
        <v>955</v>
      </c>
      <c r="B2259" t="s">
        <v>1330</v>
      </c>
      <c r="C2259">
        <v>2</v>
      </c>
      <c r="D2259" t="s">
        <v>903</v>
      </c>
      <c r="E2259" t="s">
        <v>989</v>
      </c>
      <c r="F2259" t="s">
        <v>25</v>
      </c>
      <c r="G2259">
        <v>4</v>
      </c>
      <c r="H2259">
        <v>7</v>
      </c>
      <c r="I2259" t="b">
        <v>1</v>
      </c>
      <c r="J2259" t="s">
        <v>1399</v>
      </c>
      <c r="K2259" t="s">
        <v>32</v>
      </c>
      <c r="Q2259" t="s">
        <v>1330</v>
      </c>
      <c r="R2259" t="s">
        <v>1330</v>
      </c>
      <c r="S2259">
        <v>8</v>
      </c>
    </row>
    <row r="2260" spans="1:19" x14ac:dyDescent="0.25">
      <c r="A2260" t="s">
        <v>955</v>
      </c>
      <c r="B2260" t="s">
        <v>1330</v>
      </c>
      <c r="C2260">
        <v>3</v>
      </c>
      <c r="D2260" t="s">
        <v>903</v>
      </c>
      <c r="E2260" t="s">
        <v>924</v>
      </c>
      <c r="F2260" t="s">
        <v>25</v>
      </c>
      <c r="G2260">
        <v>1</v>
      </c>
      <c r="H2260">
        <v>4</v>
      </c>
      <c r="I2260" t="b">
        <v>1</v>
      </c>
      <c r="J2260" t="s">
        <v>1399</v>
      </c>
      <c r="K2260" t="s">
        <v>32</v>
      </c>
      <c r="Q2260" t="s">
        <v>1330</v>
      </c>
      <c r="R2260" t="s">
        <v>1330</v>
      </c>
      <c r="S2260">
        <v>8</v>
      </c>
    </row>
    <row r="2261" spans="1:19" x14ac:dyDescent="0.25">
      <c r="A2261" t="s">
        <v>955</v>
      </c>
      <c r="B2261" t="s">
        <v>1330</v>
      </c>
      <c r="C2261">
        <v>2</v>
      </c>
      <c r="D2261" t="s">
        <v>957</v>
      </c>
      <c r="E2261" t="s">
        <v>912</v>
      </c>
      <c r="F2261" t="s">
        <v>25</v>
      </c>
      <c r="G2261">
        <v>2</v>
      </c>
      <c r="H2261">
        <v>5</v>
      </c>
      <c r="I2261" t="b">
        <v>1</v>
      </c>
      <c r="J2261" t="s">
        <v>1423</v>
      </c>
      <c r="K2261" t="s">
        <v>32</v>
      </c>
      <c r="Q2261" t="s">
        <v>1330</v>
      </c>
      <c r="R2261" t="s">
        <v>1330</v>
      </c>
      <c r="S2261">
        <v>9</v>
      </c>
    </row>
    <row r="2262" spans="1:19" x14ac:dyDescent="0.25">
      <c r="A2262" t="s">
        <v>955</v>
      </c>
      <c r="B2262" t="s">
        <v>1330</v>
      </c>
      <c r="C2262">
        <v>3</v>
      </c>
      <c r="D2262" t="s">
        <v>957</v>
      </c>
      <c r="E2262" t="s">
        <v>1334</v>
      </c>
      <c r="F2262" t="s">
        <v>25</v>
      </c>
      <c r="G2262">
        <v>0.5</v>
      </c>
      <c r="H2262">
        <v>2</v>
      </c>
      <c r="I2262" t="b">
        <v>1</v>
      </c>
      <c r="J2262" t="s">
        <v>1423</v>
      </c>
      <c r="K2262" t="s">
        <v>32</v>
      </c>
      <c r="Q2262" t="s">
        <v>1330</v>
      </c>
      <c r="R2262" t="s">
        <v>1330</v>
      </c>
      <c r="S2262">
        <v>9</v>
      </c>
    </row>
    <row r="2263" spans="1:19" x14ac:dyDescent="0.25">
      <c r="A2263" t="s">
        <v>955</v>
      </c>
      <c r="B2263" t="s">
        <v>1330</v>
      </c>
      <c r="C2263">
        <v>2</v>
      </c>
      <c r="D2263" t="s">
        <v>914</v>
      </c>
      <c r="E2263" t="s">
        <v>1262</v>
      </c>
      <c r="F2263" t="s">
        <v>27</v>
      </c>
      <c r="G2263">
        <v>35</v>
      </c>
      <c r="H2263">
        <v>40</v>
      </c>
      <c r="I2263" t="b">
        <v>0</v>
      </c>
      <c r="J2263" t="s">
        <v>1405</v>
      </c>
      <c r="K2263" t="s">
        <v>32</v>
      </c>
      <c r="L2263" t="s">
        <v>716</v>
      </c>
      <c r="M2263" t="s">
        <v>1138</v>
      </c>
      <c r="Q2263" t="s">
        <v>1330</v>
      </c>
      <c r="R2263" t="s">
        <v>1330</v>
      </c>
      <c r="S2263">
        <v>10</v>
      </c>
    </row>
    <row r="2264" spans="1:19" x14ac:dyDescent="0.25">
      <c r="A2264" t="s">
        <v>955</v>
      </c>
      <c r="B2264" t="s">
        <v>1330</v>
      </c>
      <c r="C2264">
        <v>3</v>
      </c>
      <c r="D2264" t="s">
        <v>914</v>
      </c>
      <c r="E2264" t="s">
        <v>928</v>
      </c>
      <c r="F2264" t="s">
        <v>26</v>
      </c>
      <c r="G2264">
        <v>40</v>
      </c>
      <c r="H2264">
        <v>50</v>
      </c>
      <c r="I2264" t="b">
        <v>0</v>
      </c>
      <c r="J2264" t="s">
        <v>1405</v>
      </c>
      <c r="K2264" t="s">
        <v>32</v>
      </c>
      <c r="L2264" t="s">
        <v>716</v>
      </c>
      <c r="M2264" t="s">
        <v>1138</v>
      </c>
      <c r="Q2264" t="s">
        <v>1330</v>
      </c>
      <c r="R2264" t="s">
        <v>1330</v>
      </c>
      <c r="S2264">
        <v>10</v>
      </c>
    </row>
    <row r="2265" spans="1:19" x14ac:dyDescent="0.25">
      <c r="A2265" t="s">
        <v>955</v>
      </c>
      <c r="B2265" t="s">
        <v>1330</v>
      </c>
      <c r="C2265">
        <v>4</v>
      </c>
      <c r="D2265" t="s">
        <v>914</v>
      </c>
      <c r="E2265" t="s">
        <v>913</v>
      </c>
      <c r="F2265" t="s">
        <v>26</v>
      </c>
      <c r="G2265">
        <v>60</v>
      </c>
      <c r="H2265">
        <v>70</v>
      </c>
      <c r="I2265" t="b">
        <v>0</v>
      </c>
      <c r="J2265" t="s">
        <v>1405</v>
      </c>
      <c r="K2265" t="s">
        <v>32</v>
      </c>
      <c r="L2265" t="s">
        <v>716</v>
      </c>
      <c r="M2265" t="s">
        <v>1138</v>
      </c>
      <c r="Q2265" t="s">
        <v>1330</v>
      </c>
      <c r="R2265" t="s">
        <v>1330</v>
      </c>
      <c r="S2265">
        <v>10</v>
      </c>
    </row>
    <row r="2266" spans="1:19" x14ac:dyDescent="0.25">
      <c r="A2266" t="s">
        <v>955</v>
      </c>
      <c r="B2266" t="s">
        <v>1330</v>
      </c>
      <c r="C2266">
        <v>2</v>
      </c>
      <c r="D2266" t="s">
        <v>916</v>
      </c>
      <c r="E2266" t="s">
        <v>1247</v>
      </c>
      <c r="F2266" t="s">
        <v>27</v>
      </c>
      <c r="G2266">
        <v>30</v>
      </c>
      <c r="H2266">
        <v>35</v>
      </c>
      <c r="I2266" t="b">
        <v>0</v>
      </c>
      <c r="J2266" t="s">
        <v>1424</v>
      </c>
      <c r="K2266" t="s">
        <v>32</v>
      </c>
      <c r="L2266" t="s">
        <v>716</v>
      </c>
      <c r="M2266" t="s">
        <v>1138</v>
      </c>
      <c r="Q2266" t="s">
        <v>1330</v>
      </c>
      <c r="R2266" t="s">
        <v>1330</v>
      </c>
      <c r="S2266">
        <v>11</v>
      </c>
    </row>
    <row r="2267" spans="1:19" x14ac:dyDescent="0.25">
      <c r="A2267" t="s">
        <v>955</v>
      </c>
      <c r="B2267" t="s">
        <v>1330</v>
      </c>
      <c r="C2267">
        <v>3</v>
      </c>
      <c r="D2267" t="s">
        <v>916</v>
      </c>
      <c r="E2267" t="s">
        <v>930</v>
      </c>
      <c r="F2267" t="s">
        <v>26</v>
      </c>
      <c r="G2267">
        <v>35</v>
      </c>
      <c r="H2267">
        <v>45</v>
      </c>
      <c r="I2267" t="b">
        <v>0</v>
      </c>
      <c r="J2267" t="s">
        <v>1424</v>
      </c>
      <c r="K2267" t="s">
        <v>32</v>
      </c>
      <c r="L2267" t="s">
        <v>716</v>
      </c>
      <c r="M2267" t="s">
        <v>1138</v>
      </c>
      <c r="Q2267" t="s">
        <v>1330</v>
      </c>
      <c r="R2267" t="s">
        <v>1330</v>
      </c>
      <c r="S2267">
        <v>11</v>
      </c>
    </row>
    <row r="2268" spans="1:19" x14ac:dyDescent="0.25">
      <c r="A2268" t="s">
        <v>955</v>
      </c>
      <c r="B2268" t="s">
        <v>1330</v>
      </c>
      <c r="C2268">
        <v>4</v>
      </c>
      <c r="D2268" t="s">
        <v>916</v>
      </c>
      <c r="E2268" t="s">
        <v>936</v>
      </c>
      <c r="F2268" t="s">
        <v>26</v>
      </c>
      <c r="G2268">
        <v>45</v>
      </c>
      <c r="H2268">
        <v>55</v>
      </c>
      <c r="I2268" t="b">
        <v>0</v>
      </c>
      <c r="J2268" t="s">
        <v>1424</v>
      </c>
      <c r="K2268" t="s">
        <v>32</v>
      </c>
      <c r="L2268" t="s">
        <v>716</v>
      </c>
      <c r="M2268" t="s">
        <v>1138</v>
      </c>
      <c r="Q2268" t="s">
        <v>1330</v>
      </c>
      <c r="R2268" t="s">
        <v>1330</v>
      </c>
      <c r="S2268">
        <v>11</v>
      </c>
    </row>
    <row r="2269" spans="1:19" x14ac:dyDescent="0.25">
      <c r="A2269" t="s">
        <v>955</v>
      </c>
      <c r="B2269" t="s">
        <v>1330</v>
      </c>
      <c r="C2269">
        <v>2</v>
      </c>
      <c r="D2269" t="s">
        <v>407</v>
      </c>
      <c r="E2269" t="s">
        <v>1257</v>
      </c>
      <c r="F2269" t="s">
        <v>27</v>
      </c>
      <c r="G2269">
        <v>0</v>
      </c>
      <c r="H2269">
        <v>5</v>
      </c>
      <c r="I2269" t="b">
        <v>0</v>
      </c>
      <c r="J2269" t="s">
        <v>1407</v>
      </c>
      <c r="K2269" t="s">
        <v>32</v>
      </c>
      <c r="Q2269" t="s">
        <v>1330</v>
      </c>
      <c r="R2269" t="s">
        <v>1330</v>
      </c>
      <c r="S2269">
        <v>12</v>
      </c>
    </row>
    <row r="2270" spans="1:19" x14ac:dyDescent="0.25">
      <c r="A2270" t="s">
        <v>955</v>
      </c>
      <c r="B2270" t="s">
        <v>1330</v>
      </c>
      <c r="C2270">
        <v>3</v>
      </c>
      <c r="D2270" t="s">
        <v>407</v>
      </c>
      <c r="E2270" t="s">
        <v>1335</v>
      </c>
      <c r="F2270" t="s">
        <v>26</v>
      </c>
      <c r="G2270">
        <v>5</v>
      </c>
      <c r="H2270">
        <v>15</v>
      </c>
      <c r="I2270" t="b">
        <v>0</v>
      </c>
      <c r="J2270" t="s">
        <v>1407</v>
      </c>
      <c r="K2270" t="s">
        <v>32</v>
      </c>
      <c r="L2270" t="s">
        <v>716</v>
      </c>
      <c r="M2270" t="s">
        <v>1138</v>
      </c>
      <c r="Q2270" t="s">
        <v>1330</v>
      </c>
      <c r="R2270" t="s">
        <v>1330</v>
      </c>
      <c r="S2270">
        <v>12</v>
      </c>
    </row>
    <row r="2271" spans="1:19" x14ac:dyDescent="0.25">
      <c r="A2271" t="s">
        <v>955</v>
      </c>
      <c r="B2271" t="s">
        <v>1330</v>
      </c>
      <c r="C2271">
        <v>4</v>
      </c>
      <c r="D2271" t="s">
        <v>407</v>
      </c>
      <c r="E2271" t="s">
        <v>1280</v>
      </c>
      <c r="F2271" t="s">
        <v>27</v>
      </c>
      <c r="G2271">
        <v>15</v>
      </c>
      <c r="H2271">
        <v>20</v>
      </c>
      <c r="I2271" t="b">
        <v>0</v>
      </c>
      <c r="J2271" t="s">
        <v>1407</v>
      </c>
      <c r="K2271" t="s">
        <v>32</v>
      </c>
      <c r="L2271" t="s">
        <v>716</v>
      </c>
      <c r="M2271" t="s">
        <v>1138</v>
      </c>
      <c r="Q2271" t="s">
        <v>1330</v>
      </c>
      <c r="R2271" t="s">
        <v>1330</v>
      </c>
      <c r="S2271">
        <v>12</v>
      </c>
    </row>
    <row r="2272" spans="1:19" x14ac:dyDescent="0.25">
      <c r="A2272" t="s">
        <v>955</v>
      </c>
      <c r="B2272" t="s">
        <v>1330</v>
      </c>
      <c r="C2272">
        <v>5</v>
      </c>
      <c r="D2272" t="s">
        <v>407</v>
      </c>
      <c r="E2272" t="s">
        <v>950</v>
      </c>
      <c r="F2272" t="s">
        <v>27</v>
      </c>
      <c r="G2272">
        <v>20</v>
      </c>
      <c r="H2272">
        <v>25</v>
      </c>
      <c r="I2272" t="b">
        <v>0</v>
      </c>
      <c r="J2272" t="s">
        <v>1407</v>
      </c>
      <c r="K2272" t="s">
        <v>32</v>
      </c>
      <c r="L2272" t="s">
        <v>716</v>
      </c>
      <c r="M2272" t="s">
        <v>1138</v>
      </c>
      <c r="Q2272" t="s">
        <v>1330</v>
      </c>
      <c r="R2272" t="s">
        <v>1330</v>
      </c>
      <c r="S2272">
        <v>12</v>
      </c>
    </row>
    <row r="2273" spans="1:19" x14ac:dyDescent="0.25">
      <c r="A2273" t="s">
        <v>955</v>
      </c>
      <c r="B2273" t="s">
        <v>1330</v>
      </c>
      <c r="C2273">
        <v>2</v>
      </c>
      <c r="D2273" t="s">
        <v>1326</v>
      </c>
      <c r="E2273" t="s">
        <v>1239</v>
      </c>
      <c r="F2273" t="s">
        <v>27</v>
      </c>
      <c r="G2273">
        <v>0</v>
      </c>
      <c r="H2273">
        <v>1</v>
      </c>
      <c r="I2273" t="b">
        <v>0</v>
      </c>
      <c r="J2273" t="s">
        <v>1432</v>
      </c>
      <c r="K2273" t="s">
        <v>32</v>
      </c>
      <c r="Q2273" t="s">
        <v>1330</v>
      </c>
      <c r="R2273" t="s">
        <v>1330</v>
      </c>
      <c r="S2273">
        <v>13</v>
      </c>
    </row>
    <row r="2274" spans="1:19" x14ac:dyDescent="0.25">
      <c r="A2274" t="s">
        <v>955</v>
      </c>
      <c r="B2274" t="s">
        <v>1330</v>
      </c>
      <c r="C2274">
        <v>2</v>
      </c>
      <c r="D2274" t="s">
        <v>908</v>
      </c>
      <c r="E2274" t="s">
        <v>989</v>
      </c>
      <c r="F2274" t="s">
        <v>25</v>
      </c>
      <c r="G2274">
        <v>4</v>
      </c>
      <c r="H2274">
        <v>7</v>
      </c>
      <c r="I2274" t="b">
        <v>1</v>
      </c>
      <c r="J2274" t="s">
        <v>1401</v>
      </c>
      <c r="K2274" t="s">
        <v>32</v>
      </c>
      <c r="Q2274" t="s">
        <v>1330</v>
      </c>
      <c r="R2274" t="s">
        <v>1330</v>
      </c>
      <c r="S2274">
        <v>15</v>
      </c>
    </row>
    <row r="2275" spans="1:19" x14ac:dyDescent="0.25">
      <c r="A2275" t="s">
        <v>955</v>
      </c>
      <c r="B2275" t="s">
        <v>1330</v>
      </c>
      <c r="C2275">
        <v>3</v>
      </c>
      <c r="D2275" t="s">
        <v>908</v>
      </c>
      <c r="E2275" t="s">
        <v>924</v>
      </c>
      <c r="F2275" t="s">
        <v>25</v>
      </c>
      <c r="G2275">
        <v>1</v>
      </c>
      <c r="H2275">
        <v>4</v>
      </c>
      <c r="I2275" t="b">
        <v>1</v>
      </c>
      <c r="J2275" t="s">
        <v>1401</v>
      </c>
      <c r="K2275" t="s">
        <v>32</v>
      </c>
      <c r="Q2275" t="s">
        <v>1330</v>
      </c>
      <c r="R2275" t="s">
        <v>1330</v>
      </c>
      <c r="S2275">
        <v>15</v>
      </c>
    </row>
    <row r="2276" spans="1:19" x14ac:dyDescent="0.25">
      <c r="A2276" t="s">
        <v>955</v>
      </c>
      <c r="B2276" t="s">
        <v>1330</v>
      </c>
      <c r="C2276">
        <v>2</v>
      </c>
      <c r="D2276" t="s">
        <v>911</v>
      </c>
      <c r="E2276" t="s">
        <v>912</v>
      </c>
      <c r="F2276" t="s">
        <v>25</v>
      </c>
      <c r="G2276">
        <v>2</v>
      </c>
      <c r="H2276">
        <v>5</v>
      </c>
      <c r="I2276" t="b">
        <v>1</v>
      </c>
      <c r="J2276" t="s">
        <v>1404</v>
      </c>
      <c r="K2276" t="s">
        <v>32</v>
      </c>
      <c r="Q2276" t="s">
        <v>1330</v>
      </c>
      <c r="R2276" t="s">
        <v>1330</v>
      </c>
      <c r="S2276">
        <v>16</v>
      </c>
    </row>
    <row r="2277" spans="1:19" x14ac:dyDescent="0.25">
      <c r="A2277" t="s">
        <v>955</v>
      </c>
      <c r="B2277" t="s">
        <v>1330</v>
      </c>
      <c r="C2277">
        <v>3</v>
      </c>
      <c r="D2277" t="s">
        <v>911</v>
      </c>
      <c r="E2277" t="s">
        <v>725</v>
      </c>
      <c r="F2277" t="s">
        <v>25</v>
      </c>
      <c r="G2277">
        <v>0</v>
      </c>
      <c r="H2277">
        <v>1</v>
      </c>
      <c r="I2277" t="b">
        <v>1</v>
      </c>
      <c r="J2277" t="s">
        <v>1404</v>
      </c>
      <c r="K2277" t="s">
        <v>32</v>
      </c>
      <c r="Q2277" t="s">
        <v>1330</v>
      </c>
      <c r="R2277" t="s">
        <v>1330</v>
      </c>
      <c r="S2277">
        <v>16</v>
      </c>
    </row>
    <row r="2278" spans="1:19" x14ac:dyDescent="0.25">
      <c r="A2278" t="s">
        <v>955</v>
      </c>
      <c r="B2278" t="s">
        <v>1330</v>
      </c>
      <c r="C2278">
        <v>2</v>
      </c>
      <c r="D2278" t="s">
        <v>906</v>
      </c>
      <c r="E2278" t="s">
        <v>942</v>
      </c>
      <c r="F2278" t="s">
        <v>25</v>
      </c>
      <c r="G2278">
        <v>3</v>
      </c>
      <c r="H2278">
        <v>8</v>
      </c>
      <c r="I2278" t="b">
        <v>1</v>
      </c>
      <c r="J2278" t="s">
        <v>1400</v>
      </c>
      <c r="K2278" t="s">
        <v>32</v>
      </c>
      <c r="Q2278" t="s">
        <v>1330</v>
      </c>
      <c r="R2278" t="s">
        <v>1330</v>
      </c>
      <c r="S2278">
        <v>17</v>
      </c>
    </row>
    <row r="2279" spans="1:19" x14ac:dyDescent="0.25">
      <c r="A2279" t="s">
        <v>955</v>
      </c>
      <c r="B2279" t="s">
        <v>1330</v>
      </c>
      <c r="C2279">
        <v>3</v>
      </c>
      <c r="D2279" t="s">
        <v>906</v>
      </c>
      <c r="E2279" t="s">
        <v>923</v>
      </c>
      <c r="F2279" t="s">
        <v>25</v>
      </c>
      <c r="G2279">
        <v>0</v>
      </c>
      <c r="H2279">
        <v>3</v>
      </c>
      <c r="I2279" t="b">
        <v>1</v>
      </c>
      <c r="J2279" t="s">
        <v>1400</v>
      </c>
      <c r="K2279" t="s">
        <v>32</v>
      </c>
      <c r="Q2279" t="s">
        <v>1330</v>
      </c>
      <c r="R2279" t="s">
        <v>1330</v>
      </c>
      <c r="S2279">
        <v>17</v>
      </c>
    </row>
    <row r="2280" spans="1:19" x14ac:dyDescent="0.25">
      <c r="A2280" t="s">
        <v>955</v>
      </c>
      <c r="B2280" t="s">
        <v>1330</v>
      </c>
      <c r="C2280">
        <v>2</v>
      </c>
      <c r="D2280" t="s">
        <v>909</v>
      </c>
      <c r="E2280" t="s">
        <v>912</v>
      </c>
      <c r="F2280" t="s">
        <v>25</v>
      </c>
      <c r="G2280">
        <v>2</v>
      </c>
      <c r="H2280">
        <v>5</v>
      </c>
      <c r="I2280" t="b">
        <v>1</v>
      </c>
      <c r="J2280" t="s">
        <v>1403</v>
      </c>
      <c r="K2280" t="s">
        <v>32</v>
      </c>
      <c r="Q2280" t="s">
        <v>1330</v>
      </c>
      <c r="R2280" t="s">
        <v>1330</v>
      </c>
      <c r="S2280">
        <v>18</v>
      </c>
    </row>
    <row r="2281" spans="1:19" x14ac:dyDescent="0.25">
      <c r="A2281" t="s">
        <v>955</v>
      </c>
      <c r="B2281" t="s">
        <v>1330</v>
      </c>
      <c r="C2281">
        <v>3</v>
      </c>
      <c r="D2281" t="s">
        <v>909</v>
      </c>
      <c r="E2281" t="s">
        <v>725</v>
      </c>
      <c r="F2281" t="s">
        <v>25</v>
      </c>
      <c r="G2281">
        <v>0</v>
      </c>
      <c r="H2281">
        <v>1</v>
      </c>
      <c r="I2281" t="b">
        <v>1</v>
      </c>
      <c r="J2281" t="s">
        <v>1403</v>
      </c>
      <c r="K2281" t="s">
        <v>32</v>
      </c>
      <c r="Q2281" t="s">
        <v>1330</v>
      </c>
      <c r="R2281" t="s">
        <v>1330</v>
      </c>
      <c r="S2281">
        <v>18</v>
      </c>
    </row>
    <row r="2282" spans="1:19" x14ac:dyDescent="0.25">
      <c r="A2282" t="s">
        <v>955</v>
      </c>
      <c r="B2282" t="s">
        <v>1330</v>
      </c>
      <c r="C2282">
        <v>2</v>
      </c>
      <c r="D2282" t="s">
        <v>1331</v>
      </c>
      <c r="E2282" t="s">
        <v>932</v>
      </c>
      <c r="F2282" t="s">
        <v>25</v>
      </c>
      <c r="G2282">
        <v>25</v>
      </c>
      <c r="H2282">
        <v>30</v>
      </c>
      <c r="I2282" t="b">
        <v>1</v>
      </c>
      <c r="J2282" t="s">
        <v>1332</v>
      </c>
      <c r="K2282" t="s">
        <v>32</v>
      </c>
      <c r="Q2282" t="s">
        <v>1330</v>
      </c>
      <c r="R2282" t="s">
        <v>1330</v>
      </c>
      <c r="S2282">
        <v>19</v>
      </c>
    </row>
    <row r="2283" spans="1:19" x14ac:dyDescent="0.25">
      <c r="A2283" t="s">
        <v>955</v>
      </c>
      <c r="B2283" t="s">
        <v>1330</v>
      </c>
      <c r="C2283">
        <v>3</v>
      </c>
      <c r="D2283" t="s">
        <v>1331</v>
      </c>
      <c r="E2283" t="s">
        <v>954</v>
      </c>
      <c r="F2283" t="s">
        <v>25</v>
      </c>
      <c r="G2283">
        <v>20</v>
      </c>
      <c r="H2283">
        <v>25</v>
      </c>
      <c r="I2283" t="b">
        <v>1</v>
      </c>
      <c r="J2283" t="s">
        <v>1332</v>
      </c>
      <c r="K2283" t="s">
        <v>32</v>
      </c>
      <c r="Q2283" t="s">
        <v>1330</v>
      </c>
      <c r="R2283" t="s">
        <v>1330</v>
      </c>
      <c r="S2283">
        <v>19</v>
      </c>
    </row>
    <row r="2284" spans="1:19" x14ac:dyDescent="0.25">
      <c r="A2284" t="s">
        <v>955</v>
      </c>
      <c r="B2284" t="s">
        <v>1330</v>
      </c>
      <c r="C2284">
        <v>4</v>
      </c>
      <c r="D2284" t="s">
        <v>1331</v>
      </c>
      <c r="E2284" t="s">
        <v>946</v>
      </c>
      <c r="F2284" t="s">
        <v>24</v>
      </c>
      <c r="G2284">
        <v>10</v>
      </c>
      <c r="H2284">
        <v>20</v>
      </c>
      <c r="I2284" t="b">
        <v>1</v>
      </c>
      <c r="J2284" t="s">
        <v>1332</v>
      </c>
      <c r="K2284" t="s">
        <v>32</v>
      </c>
      <c r="Q2284" t="s">
        <v>1330</v>
      </c>
      <c r="R2284" t="s">
        <v>1330</v>
      </c>
      <c r="S2284">
        <v>19</v>
      </c>
    </row>
    <row r="2285" spans="1:19" x14ac:dyDescent="0.25">
      <c r="A2285" t="s">
        <v>955</v>
      </c>
      <c r="B2285" t="s">
        <v>1330</v>
      </c>
      <c r="C2285">
        <v>5</v>
      </c>
      <c r="D2285" t="s">
        <v>1331</v>
      </c>
      <c r="E2285" t="s">
        <v>948</v>
      </c>
      <c r="F2285" t="s">
        <v>25</v>
      </c>
      <c r="G2285">
        <v>5</v>
      </c>
      <c r="H2285">
        <v>10</v>
      </c>
      <c r="I2285" t="b">
        <v>1</v>
      </c>
      <c r="J2285" t="s">
        <v>1332</v>
      </c>
      <c r="K2285" t="s">
        <v>32</v>
      </c>
      <c r="L2285" t="s">
        <v>716</v>
      </c>
      <c r="M2285" t="s">
        <v>1138</v>
      </c>
      <c r="Q2285" t="s">
        <v>1330</v>
      </c>
      <c r="R2285" t="s">
        <v>1330</v>
      </c>
      <c r="S2285">
        <v>19</v>
      </c>
    </row>
    <row r="2286" spans="1:19" x14ac:dyDescent="0.25">
      <c r="A2286" t="s">
        <v>955</v>
      </c>
      <c r="B2286" t="s">
        <v>1330</v>
      </c>
      <c r="C2286">
        <v>4</v>
      </c>
      <c r="D2286" t="s">
        <v>148</v>
      </c>
      <c r="E2286" t="s">
        <v>725</v>
      </c>
      <c r="F2286" t="s">
        <v>25</v>
      </c>
      <c r="G2286">
        <v>0</v>
      </c>
      <c r="H2286">
        <v>1</v>
      </c>
      <c r="I2286" t="b">
        <v>1</v>
      </c>
      <c r="J2286" t="s">
        <v>1339</v>
      </c>
      <c r="K2286" t="s">
        <v>32</v>
      </c>
      <c r="L2286" t="s">
        <v>716</v>
      </c>
      <c r="M2286" t="s">
        <v>1138</v>
      </c>
      <c r="Q2286" t="s">
        <v>1330</v>
      </c>
      <c r="R2286" t="s">
        <v>1330</v>
      </c>
      <c r="S2286">
        <v>23</v>
      </c>
    </row>
    <row r="2287" spans="1:19" x14ac:dyDescent="0.25">
      <c r="A2287" t="s">
        <v>955</v>
      </c>
      <c r="B2287" t="s">
        <v>1330</v>
      </c>
      <c r="C2287">
        <v>4</v>
      </c>
      <c r="D2287" t="s">
        <v>1336</v>
      </c>
      <c r="E2287" t="s">
        <v>1337</v>
      </c>
      <c r="F2287" t="s">
        <v>25</v>
      </c>
      <c r="G2287">
        <v>1.5</v>
      </c>
      <c r="H2287">
        <v>3</v>
      </c>
      <c r="I2287" t="b">
        <v>1</v>
      </c>
      <c r="J2287" t="s">
        <v>1338</v>
      </c>
      <c r="K2287" t="s">
        <v>32</v>
      </c>
      <c r="Q2287" t="s">
        <v>1330</v>
      </c>
      <c r="R2287" t="s">
        <v>1330</v>
      </c>
      <c r="S2287">
        <v>25</v>
      </c>
    </row>
    <row r="2288" spans="1:19" x14ac:dyDescent="0.25">
      <c r="A2288" t="s">
        <v>955</v>
      </c>
      <c r="B2288" t="s">
        <v>1330</v>
      </c>
      <c r="C2288">
        <v>2</v>
      </c>
      <c r="D2288" t="s">
        <v>1376</v>
      </c>
      <c r="E2288" t="s">
        <v>925</v>
      </c>
      <c r="F2288" t="s">
        <v>24</v>
      </c>
      <c r="G2288">
        <v>30</v>
      </c>
      <c r="H2288">
        <v>40</v>
      </c>
      <c r="I2288" t="b">
        <v>1</v>
      </c>
      <c r="J2288" t="s">
        <v>1430</v>
      </c>
      <c r="K2288" t="s">
        <v>32</v>
      </c>
      <c r="Q2288" t="s">
        <v>1330</v>
      </c>
      <c r="R2288" t="s">
        <v>1330</v>
      </c>
      <c r="S2288">
        <v>28</v>
      </c>
    </row>
    <row r="2289" spans="1:19" x14ac:dyDescent="0.25">
      <c r="A2289" t="s">
        <v>955</v>
      </c>
      <c r="B2289" t="s">
        <v>1330</v>
      </c>
      <c r="C2289">
        <v>3</v>
      </c>
      <c r="D2289" t="s">
        <v>1376</v>
      </c>
      <c r="E2289" t="s">
        <v>922</v>
      </c>
      <c r="F2289" t="s">
        <v>24</v>
      </c>
      <c r="G2289">
        <v>20</v>
      </c>
      <c r="H2289">
        <v>30</v>
      </c>
      <c r="I2289" t="b">
        <v>1</v>
      </c>
      <c r="J2289" t="s">
        <v>1430</v>
      </c>
      <c r="K2289" t="s">
        <v>32</v>
      </c>
      <c r="Q2289" t="s">
        <v>1330</v>
      </c>
      <c r="R2289" t="s">
        <v>1330</v>
      </c>
      <c r="S2289">
        <v>28</v>
      </c>
    </row>
    <row r="2290" spans="1:19" x14ac:dyDescent="0.25">
      <c r="A2290" t="s">
        <v>955</v>
      </c>
      <c r="B2290" t="s">
        <v>1330</v>
      </c>
      <c r="C2290">
        <v>4</v>
      </c>
      <c r="D2290" t="s">
        <v>1376</v>
      </c>
      <c r="E2290" t="s">
        <v>934</v>
      </c>
      <c r="F2290" t="s">
        <v>25</v>
      </c>
      <c r="G2290">
        <v>10</v>
      </c>
      <c r="H2290">
        <v>15</v>
      </c>
      <c r="I2290" t="b">
        <v>1</v>
      </c>
      <c r="J2290" t="s">
        <v>1430</v>
      </c>
      <c r="K2290" t="s">
        <v>32</v>
      </c>
      <c r="Q2290" t="s">
        <v>1330</v>
      </c>
      <c r="R2290" t="s">
        <v>1330</v>
      </c>
      <c r="S2290">
        <v>28</v>
      </c>
    </row>
    <row r="2291" spans="1:19" x14ac:dyDescent="0.25">
      <c r="A2291" t="s">
        <v>955</v>
      </c>
      <c r="B2291" t="s">
        <v>1330</v>
      </c>
      <c r="C2291">
        <v>5</v>
      </c>
      <c r="D2291" t="s">
        <v>1376</v>
      </c>
      <c r="E2291" t="s">
        <v>1296</v>
      </c>
      <c r="F2291" t="s">
        <v>24</v>
      </c>
      <c r="G2291">
        <v>0</v>
      </c>
      <c r="H2291">
        <v>6</v>
      </c>
      <c r="I2291" t="b">
        <v>1</v>
      </c>
      <c r="J2291" t="s">
        <v>1430</v>
      </c>
      <c r="K2291" t="s">
        <v>32</v>
      </c>
      <c r="L2291" t="s">
        <v>716</v>
      </c>
      <c r="M2291" t="s">
        <v>1138</v>
      </c>
      <c r="Q2291" t="s">
        <v>1330</v>
      </c>
      <c r="R2291" t="s">
        <v>1330</v>
      </c>
      <c r="S2291">
        <v>28</v>
      </c>
    </row>
    <row r="2292" spans="1:19" x14ac:dyDescent="0.25">
      <c r="A2292" t="s">
        <v>955</v>
      </c>
      <c r="B2292" t="s">
        <v>1340</v>
      </c>
      <c r="C2292">
        <v>2</v>
      </c>
      <c r="D2292" t="s">
        <v>11</v>
      </c>
      <c r="E2292" t="s">
        <v>953</v>
      </c>
      <c r="F2292" t="s">
        <v>24</v>
      </c>
      <c r="G2292">
        <v>40</v>
      </c>
      <c r="H2292">
        <v>50</v>
      </c>
      <c r="I2292" t="b">
        <v>1</v>
      </c>
      <c r="J2292" t="s">
        <v>0</v>
      </c>
      <c r="K2292" t="s">
        <v>32</v>
      </c>
      <c r="Q2292" t="s">
        <v>1340</v>
      </c>
      <c r="R2292" t="s">
        <v>1340</v>
      </c>
      <c r="S2292">
        <v>1</v>
      </c>
    </row>
    <row r="2293" spans="1:19" x14ac:dyDescent="0.25">
      <c r="A2293" t="s">
        <v>955</v>
      </c>
      <c r="B2293" t="s">
        <v>1340</v>
      </c>
      <c r="C2293">
        <v>3</v>
      </c>
      <c r="D2293" t="s">
        <v>11</v>
      </c>
      <c r="E2293" t="s">
        <v>952</v>
      </c>
      <c r="F2293" t="s">
        <v>25</v>
      </c>
      <c r="G2293">
        <v>35</v>
      </c>
      <c r="H2293">
        <v>40</v>
      </c>
      <c r="I2293" t="b">
        <v>1</v>
      </c>
      <c r="J2293" t="s">
        <v>0</v>
      </c>
      <c r="K2293" t="s">
        <v>32</v>
      </c>
      <c r="Q2293" t="s">
        <v>1340</v>
      </c>
      <c r="R2293" t="s">
        <v>1340</v>
      </c>
      <c r="S2293">
        <v>1</v>
      </c>
    </row>
    <row r="2294" spans="1:19" x14ac:dyDescent="0.25">
      <c r="A2294" t="s">
        <v>955</v>
      </c>
      <c r="B2294" t="s">
        <v>1340</v>
      </c>
      <c r="C2294">
        <v>4</v>
      </c>
      <c r="D2294" t="s">
        <v>11</v>
      </c>
      <c r="E2294" t="s">
        <v>1342</v>
      </c>
      <c r="F2294" t="s">
        <v>25</v>
      </c>
      <c r="G2294">
        <v>25</v>
      </c>
      <c r="H2294">
        <v>36</v>
      </c>
      <c r="I2294" t="b">
        <v>1</v>
      </c>
      <c r="J2294" t="s">
        <v>0</v>
      </c>
      <c r="K2294" t="s">
        <v>32</v>
      </c>
      <c r="L2294" t="s">
        <v>716</v>
      </c>
      <c r="M2294" t="s">
        <v>1138</v>
      </c>
      <c r="Q2294" t="s">
        <v>1340</v>
      </c>
      <c r="R2294" t="s">
        <v>1340</v>
      </c>
      <c r="S2294">
        <v>1</v>
      </c>
    </row>
    <row r="2295" spans="1:19" x14ac:dyDescent="0.25">
      <c r="A2295" t="s">
        <v>955</v>
      </c>
      <c r="B2295" t="s">
        <v>1340</v>
      </c>
      <c r="C2295">
        <v>5</v>
      </c>
      <c r="D2295" t="s">
        <v>11</v>
      </c>
      <c r="E2295" t="s">
        <v>1344</v>
      </c>
      <c r="F2295" t="s">
        <v>25</v>
      </c>
      <c r="G2295">
        <v>16</v>
      </c>
      <c r="H2295">
        <v>23</v>
      </c>
      <c r="I2295" t="b">
        <v>1</v>
      </c>
      <c r="J2295" t="s">
        <v>0</v>
      </c>
      <c r="K2295" t="s">
        <v>32</v>
      </c>
      <c r="Q2295" t="s">
        <v>1340</v>
      </c>
      <c r="R2295" t="s">
        <v>1340</v>
      </c>
      <c r="S2295">
        <v>1</v>
      </c>
    </row>
    <row r="2296" spans="1:19" x14ac:dyDescent="0.25">
      <c r="A2296" t="s">
        <v>955</v>
      </c>
      <c r="B2296" t="s">
        <v>1340</v>
      </c>
      <c r="C2296">
        <v>2</v>
      </c>
      <c r="D2296" t="s">
        <v>311</v>
      </c>
      <c r="E2296" t="s">
        <v>950</v>
      </c>
      <c r="F2296" t="s">
        <v>27</v>
      </c>
      <c r="G2296">
        <v>20</v>
      </c>
      <c r="H2296">
        <v>25</v>
      </c>
      <c r="I2296" t="b">
        <v>0</v>
      </c>
      <c r="J2296" t="s">
        <v>1258</v>
      </c>
      <c r="K2296" t="s">
        <v>32</v>
      </c>
      <c r="L2296" t="s">
        <v>716</v>
      </c>
      <c r="M2296" t="s">
        <v>1138</v>
      </c>
      <c r="Q2296" t="s">
        <v>1340</v>
      </c>
      <c r="R2296" t="s">
        <v>1340</v>
      </c>
      <c r="S2296">
        <v>2</v>
      </c>
    </row>
    <row r="2297" spans="1:19" x14ac:dyDescent="0.25">
      <c r="A2297" t="s">
        <v>955</v>
      </c>
      <c r="B2297" t="s">
        <v>1340</v>
      </c>
      <c r="C2297">
        <v>3</v>
      </c>
      <c r="D2297" t="s">
        <v>311</v>
      </c>
      <c r="E2297" t="s">
        <v>960</v>
      </c>
      <c r="F2297" t="s">
        <v>26</v>
      </c>
      <c r="G2297">
        <v>25</v>
      </c>
      <c r="H2297">
        <v>35</v>
      </c>
      <c r="I2297" t="b">
        <v>0</v>
      </c>
      <c r="J2297" t="s">
        <v>1258</v>
      </c>
      <c r="K2297" t="s">
        <v>32</v>
      </c>
      <c r="L2297" t="s">
        <v>716</v>
      </c>
      <c r="M2297" t="s">
        <v>1138</v>
      </c>
      <c r="Q2297" t="s">
        <v>1340</v>
      </c>
      <c r="R2297" t="s">
        <v>1340</v>
      </c>
      <c r="S2297">
        <v>2</v>
      </c>
    </row>
    <row r="2298" spans="1:19" x14ac:dyDescent="0.25">
      <c r="A2298" t="s">
        <v>955</v>
      </c>
      <c r="B2298" t="s">
        <v>1340</v>
      </c>
      <c r="C2298">
        <v>4</v>
      </c>
      <c r="D2298" t="s">
        <v>311</v>
      </c>
      <c r="E2298" t="s">
        <v>930</v>
      </c>
      <c r="F2298" t="s">
        <v>26</v>
      </c>
      <c r="G2298">
        <v>35</v>
      </c>
      <c r="H2298">
        <v>45</v>
      </c>
      <c r="I2298" t="b">
        <v>0</v>
      </c>
      <c r="J2298" t="s">
        <v>1258</v>
      </c>
      <c r="K2298" t="s">
        <v>32</v>
      </c>
      <c r="L2298" t="s">
        <v>716</v>
      </c>
      <c r="M2298" t="s">
        <v>1138</v>
      </c>
      <c r="Q2298" t="s">
        <v>1340</v>
      </c>
      <c r="R2298" t="s">
        <v>1340</v>
      </c>
      <c r="S2298">
        <v>2</v>
      </c>
    </row>
    <row r="2299" spans="1:19" x14ac:dyDescent="0.25">
      <c r="A2299" t="s">
        <v>955</v>
      </c>
      <c r="B2299" t="s">
        <v>1340</v>
      </c>
      <c r="C2299">
        <v>2</v>
      </c>
      <c r="D2299" t="s">
        <v>921</v>
      </c>
      <c r="E2299" t="s">
        <v>1341</v>
      </c>
      <c r="F2299" t="s">
        <v>25</v>
      </c>
      <c r="G2299">
        <v>23</v>
      </c>
      <c r="H2299">
        <v>28</v>
      </c>
      <c r="I2299" t="b">
        <v>1</v>
      </c>
      <c r="J2299" t="s">
        <v>1402</v>
      </c>
      <c r="K2299" t="s">
        <v>32</v>
      </c>
      <c r="L2299" t="s">
        <v>716</v>
      </c>
      <c r="M2299" t="s">
        <v>1138</v>
      </c>
      <c r="Q2299" t="s">
        <v>1340</v>
      </c>
      <c r="R2299" t="s">
        <v>1340</v>
      </c>
      <c r="S2299">
        <v>5</v>
      </c>
    </row>
    <row r="2300" spans="1:19" x14ac:dyDescent="0.25">
      <c r="A2300" t="s">
        <v>955</v>
      </c>
      <c r="B2300" t="s">
        <v>1340</v>
      </c>
      <c r="C2300">
        <v>3</v>
      </c>
      <c r="D2300" t="s">
        <v>921</v>
      </c>
      <c r="E2300" t="s">
        <v>1308</v>
      </c>
      <c r="F2300" t="s">
        <v>25</v>
      </c>
      <c r="G2300">
        <v>18</v>
      </c>
      <c r="H2300">
        <v>23</v>
      </c>
      <c r="I2300" t="b">
        <v>1</v>
      </c>
      <c r="J2300" t="s">
        <v>1402</v>
      </c>
      <c r="K2300" t="s">
        <v>32</v>
      </c>
      <c r="L2300" t="s">
        <v>716</v>
      </c>
      <c r="M2300" t="s">
        <v>1138</v>
      </c>
      <c r="Q2300" t="s">
        <v>1340</v>
      </c>
      <c r="R2300" t="s">
        <v>1340</v>
      </c>
      <c r="S2300">
        <v>5</v>
      </c>
    </row>
    <row r="2301" spans="1:19" x14ac:dyDescent="0.25">
      <c r="A2301" t="s">
        <v>955</v>
      </c>
      <c r="B2301" t="s">
        <v>1340</v>
      </c>
      <c r="C2301">
        <v>2</v>
      </c>
      <c r="D2301" t="s">
        <v>903</v>
      </c>
      <c r="E2301" t="s">
        <v>989</v>
      </c>
      <c r="F2301" t="s">
        <v>25</v>
      </c>
      <c r="G2301">
        <v>4</v>
      </c>
      <c r="H2301">
        <v>7</v>
      </c>
      <c r="I2301" t="b">
        <v>1</v>
      </c>
      <c r="J2301" t="s">
        <v>1399</v>
      </c>
      <c r="K2301" t="s">
        <v>32</v>
      </c>
      <c r="Q2301" t="s">
        <v>1340</v>
      </c>
      <c r="R2301" t="s">
        <v>1340</v>
      </c>
      <c r="S2301">
        <v>8</v>
      </c>
    </row>
    <row r="2302" spans="1:19" x14ac:dyDescent="0.25">
      <c r="A2302" t="s">
        <v>955</v>
      </c>
      <c r="B2302" t="s">
        <v>1340</v>
      </c>
      <c r="C2302">
        <v>3</v>
      </c>
      <c r="D2302" t="s">
        <v>903</v>
      </c>
      <c r="E2302" t="s">
        <v>912</v>
      </c>
      <c r="F2302" t="s">
        <v>25</v>
      </c>
      <c r="G2302">
        <v>2</v>
      </c>
      <c r="H2302">
        <v>5</v>
      </c>
      <c r="I2302" t="b">
        <v>1</v>
      </c>
      <c r="J2302" t="s">
        <v>1399</v>
      </c>
      <c r="K2302" t="s">
        <v>32</v>
      </c>
      <c r="Q2302" t="s">
        <v>1340</v>
      </c>
      <c r="R2302" t="s">
        <v>1340</v>
      </c>
      <c r="S2302">
        <v>8</v>
      </c>
    </row>
    <row r="2303" spans="1:19" x14ac:dyDescent="0.25">
      <c r="A2303" t="s">
        <v>955</v>
      </c>
      <c r="B2303" t="s">
        <v>1340</v>
      </c>
      <c r="C2303">
        <v>2</v>
      </c>
      <c r="D2303" t="s">
        <v>957</v>
      </c>
      <c r="E2303" t="s">
        <v>943</v>
      </c>
      <c r="F2303" t="s">
        <v>25</v>
      </c>
      <c r="G2303">
        <v>2</v>
      </c>
      <c r="H2303">
        <v>7</v>
      </c>
      <c r="I2303" t="b">
        <v>1</v>
      </c>
      <c r="J2303" t="s">
        <v>1423</v>
      </c>
      <c r="K2303" t="s">
        <v>32</v>
      </c>
      <c r="Q2303" t="s">
        <v>1340</v>
      </c>
      <c r="R2303" t="s">
        <v>1340</v>
      </c>
      <c r="S2303">
        <v>9</v>
      </c>
    </row>
    <row r="2304" spans="1:19" x14ac:dyDescent="0.25">
      <c r="A2304" t="s">
        <v>955</v>
      </c>
      <c r="B2304" t="s">
        <v>1340</v>
      </c>
      <c r="C2304">
        <v>3</v>
      </c>
      <c r="D2304" t="s">
        <v>957</v>
      </c>
      <c r="E2304" t="s">
        <v>1099</v>
      </c>
      <c r="F2304" t="s">
        <v>25</v>
      </c>
      <c r="G2304">
        <v>1</v>
      </c>
      <c r="H2304">
        <v>2</v>
      </c>
      <c r="I2304" t="b">
        <v>1</v>
      </c>
      <c r="J2304" t="s">
        <v>1423</v>
      </c>
      <c r="K2304" t="s">
        <v>32</v>
      </c>
      <c r="Q2304" t="s">
        <v>1340</v>
      </c>
      <c r="R2304" t="s">
        <v>1340</v>
      </c>
      <c r="S2304">
        <v>9</v>
      </c>
    </row>
    <row r="2305" spans="1:19" x14ac:dyDescent="0.25">
      <c r="A2305" t="s">
        <v>955</v>
      </c>
      <c r="B2305" t="s">
        <v>1340</v>
      </c>
      <c r="C2305">
        <v>4</v>
      </c>
      <c r="D2305" t="s">
        <v>957</v>
      </c>
      <c r="E2305" t="s">
        <v>1343</v>
      </c>
      <c r="F2305" t="s">
        <v>24</v>
      </c>
      <c r="G2305">
        <v>0.5</v>
      </c>
      <c r="H2305">
        <v>1.5</v>
      </c>
      <c r="I2305" t="b">
        <v>1</v>
      </c>
      <c r="J2305" t="s">
        <v>1423</v>
      </c>
      <c r="K2305" t="s">
        <v>32</v>
      </c>
      <c r="L2305" t="s">
        <v>716</v>
      </c>
      <c r="M2305" t="s">
        <v>1138</v>
      </c>
      <c r="Q2305" t="s">
        <v>1340</v>
      </c>
      <c r="R2305" t="s">
        <v>1340</v>
      </c>
      <c r="S2305">
        <v>9</v>
      </c>
    </row>
    <row r="2306" spans="1:19" x14ac:dyDescent="0.25">
      <c r="A2306" t="s">
        <v>955</v>
      </c>
      <c r="B2306" t="s">
        <v>1340</v>
      </c>
      <c r="C2306">
        <v>2</v>
      </c>
      <c r="D2306" t="s">
        <v>914</v>
      </c>
      <c r="E2306" t="s">
        <v>930</v>
      </c>
      <c r="F2306" t="s">
        <v>26</v>
      </c>
      <c r="G2306">
        <v>35</v>
      </c>
      <c r="H2306">
        <v>45</v>
      </c>
      <c r="I2306" t="b">
        <v>0</v>
      </c>
      <c r="J2306" t="s">
        <v>1405</v>
      </c>
      <c r="K2306" t="s">
        <v>32</v>
      </c>
      <c r="L2306" t="s">
        <v>716</v>
      </c>
      <c r="M2306" t="s">
        <v>1138</v>
      </c>
      <c r="Q2306" t="s">
        <v>1340</v>
      </c>
      <c r="R2306" t="s">
        <v>1340</v>
      </c>
      <c r="S2306">
        <v>10</v>
      </c>
    </row>
    <row r="2307" spans="1:19" x14ac:dyDescent="0.25">
      <c r="A2307" t="s">
        <v>955</v>
      </c>
      <c r="B2307" t="s">
        <v>1340</v>
      </c>
      <c r="C2307">
        <v>3</v>
      </c>
      <c r="D2307" t="s">
        <v>914</v>
      </c>
      <c r="E2307" t="s">
        <v>928</v>
      </c>
      <c r="F2307" t="s">
        <v>26</v>
      </c>
      <c r="G2307">
        <v>40</v>
      </c>
      <c r="H2307">
        <v>50</v>
      </c>
      <c r="I2307" t="b">
        <v>0</v>
      </c>
      <c r="J2307" t="s">
        <v>1405</v>
      </c>
      <c r="K2307" t="s">
        <v>32</v>
      </c>
      <c r="L2307" t="s">
        <v>716</v>
      </c>
      <c r="M2307" t="s">
        <v>1138</v>
      </c>
      <c r="Q2307" t="s">
        <v>1340</v>
      </c>
      <c r="R2307" t="s">
        <v>1340</v>
      </c>
      <c r="S2307">
        <v>10</v>
      </c>
    </row>
    <row r="2308" spans="1:19" x14ac:dyDescent="0.25">
      <c r="A2308" t="s">
        <v>955</v>
      </c>
      <c r="B2308" t="s">
        <v>1340</v>
      </c>
      <c r="C2308">
        <v>4</v>
      </c>
      <c r="D2308" t="s">
        <v>914</v>
      </c>
      <c r="E2308" t="s">
        <v>935</v>
      </c>
      <c r="F2308" t="s">
        <v>26</v>
      </c>
      <c r="G2308">
        <v>55</v>
      </c>
      <c r="H2308">
        <v>65</v>
      </c>
      <c r="I2308" t="b">
        <v>0</v>
      </c>
      <c r="J2308" t="s">
        <v>1405</v>
      </c>
      <c r="K2308" t="s">
        <v>32</v>
      </c>
      <c r="L2308" t="s">
        <v>716</v>
      </c>
      <c r="M2308" t="s">
        <v>1138</v>
      </c>
      <c r="Q2308" t="s">
        <v>1340</v>
      </c>
      <c r="R2308" t="s">
        <v>1340</v>
      </c>
      <c r="S2308">
        <v>10</v>
      </c>
    </row>
    <row r="2309" spans="1:19" x14ac:dyDescent="0.25">
      <c r="A2309" t="s">
        <v>955</v>
      </c>
      <c r="B2309" t="s">
        <v>1340</v>
      </c>
      <c r="C2309">
        <v>2</v>
      </c>
      <c r="D2309" t="s">
        <v>916</v>
      </c>
      <c r="E2309" t="s">
        <v>1311</v>
      </c>
      <c r="F2309" t="s">
        <v>27</v>
      </c>
      <c r="G2309">
        <v>25</v>
      </c>
      <c r="H2309">
        <v>30</v>
      </c>
      <c r="I2309" t="b">
        <v>0</v>
      </c>
      <c r="J2309" t="s">
        <v>1424</v>
      </c>
      <c r="K2309" t="s">
        <v>32</v>
      </c>
      <c r="L2309" t="s">
        <v>716</v>
      </c>
      <c r="M2309" t="s">
        <v>1138</v>
      </c>
      <c r="Q2309" t="s">
        <v>1340</v>
      </c>
      <c r="R2309" t="s">
        <v>1340</v>
      </c>
      <c r="S2309">
        <v>11</v>
      </c>
    </row>
    <row r="2310" spans="1:19" x14ac:dyDescent="0.25">
      <c r="A2310" t="s">
        <v>955</v>
      </c>
      <c r="B2310" t="s">
        <v>1340</v>
      </c>
      <c r="C2310">
        <v>3</v>
      </c>
      <c r="D2310" t="s">
        <v>916</v>
      </c>
      <c r="E2310" t="s">
        <v>915</v>
      </c>
      <c r="F2310" t="s">
        <v>26</v>
      </c>
      <c r="G2310">
        <v>30</v>
      </c>
      <c r="H2310">
        <v>40</v>
      </c>
      <c r="I2310" t="b">
        <v>0</v>
      </c>
      <c r="J2310" t="s">
        <v>1424</v>
      </c>
      <c r="K2310" t="s">
        <v>32</v>
      </c>
      <c r="L2310" t="s">
        <v>716</v>
      </c>
      <c r="M2310" t="s">
        <v>1138</v>
      </c>
      <c r="Q2310" t="s">
        <v>1340</v>
      </c>
      <c r="R2310" t="s">
        <v>1340</v>
      </c>
      <c r="S2310">
        <v>11</v>
      </c>
    </row>
    <row r="2311" spans="1:19" x14ac:dyDescent="0.25">
      <c r="A2311" t="s">
        <v>955</v>
      </c>
      <c r="B2311" t="s">
        <v>1340</v>
      </c>
      <c r="C2311">
        <v>4</v>
      </c>
      <c r="D2311" t="s">
        <v>916</v>
      </c>
      <c r="E2311" t="s">
        <v>928</v>
      </c>
      <c r="F2311" t="s">
        <v>26</v>
      </c>
      <c r="G2311">
        <v>40</v>
      </c>
      <c r="H2311">
        <v>50</v>
      </c>
      <c r="I2311" t="b">
        <v>0</v>
      </c>
      <c r="J2311" t="s">
        <v>1424</v>
      </c>
      <c r="K2311" t="s">
        <v>32</v>
      </c>
      <c r="L2311" t="s">
        <v>716</v>
      </c>
      <c r="M2311" t="s">
        <v>1138</v>
      </c>
      <c r="Q2311" t="s">
        <v>1340</v>
      </c>
      <c r="R2311" t="s">
        <v>1340</v>
      </c>
      <c r="S2311">
        <v>11</v>
      </c>
    </row>
    <row r="2312" spans="1:19" x14ac:dyDescent="0.25">
      <c r="A2312" t="s">
        <v>955</v>
      </c>
      <c r="B2312" t="s">
        <v>1340</v>
      </c>
      <c r="C2312">
        <v>2</v>
      </c>
      <c r="D2312" t="s">
        <v>407</v>
      </c>
      <c r="E2312" t="s">
        <v>1325</v>
      </c>
      <c r="F2312" t="s">
        <v>26</v>
      </c>
      <c r="G2312">
        <v>0</v>
      </c>
      <c r="H2312">
        <v>2</v>
      </c>
      <c r="I2312" t="b">
        <v>0</v>
      </c>
      <c r="J2312" t="s">
        <v>1407</v>
      </c>
      <c r="K2312" t="s">
        <v>32</v>
      </c>
      <c r="Q2312" t="s">
        <v>1340</v>
      </c>
      <c r="R2312" t="s">
        <v>1340</v>
      </c>
      <c r="S2312">
        <v>12</v>
      </c>
    </row>
    <row r="2313" spans="1:19" x14ac:dyDescent="0.25">
      <c r="A2313" t="s">
        <v>955</v>
      </c>
      <c r="B2313" t="s">
        <v>1340</v>
      </c>
      <c r="C2313">
        <v>3</v>
      </c>
      <c r="D2313" t="s">
        <v>407</v>
      </c>
      <c r="E2313" t="s">
        <v>1236</v>
      </c>
      <c r="F2313" t="s">
        <v>27</v>
      </c>
      <c r="G2313">
        <v>2</v>
      </c>
      <c r="H2313">
        <v>5</v>
      </c>
      <c r="I2313" t="b">
        <v>0</v>
      </c>
      <c r="J2313" t="s">
        <v>1407</v>
      </c>
      <c r="K2313" t="s">
        <v>32</v>
      </c>
      <c r="Q2313" t="s">
        <v>1340</v>
      </c>
      <c r="R2313" t="s">
        <v>1340</v>
      </c>
      <c r="S2313">
        <v>12</v>
      </c>
    </row>
    <row r="2314" spans="1:19" x14ac:dyDescent="0.25">
      <c r="A2314" t="s">
        <v>955</v>
      </c>
      <c r="B2314" t="s">
        <v>1340</v>
      </c>
      <c r="C2314">
        <v>4</v>
      </c>
      <c r="D2314" t="s">
        <v>407</v>
      </c>
      <c r="E2314" t="s">
        <v>1292</v>
      </c>
      <c r="F2314" t="s">
        <v>27</v>
      </c>
      <c r="G2314">
        <v>10</v>
      </c>
      <c r="H2314">
        <v>15</v>
      </c>
      <c r="I2314" t="b">
        <v>0</v>
      </c>
      <c r="J2314" t="s">
        <v>1407</v>
      </c>
      <c r="K2314" t="s">
        <v>32</v>
      </c>
      <c r="Q2314" t="s">
        <v>1340</v>
      </c>
      <c r="R2314" t="s">
        <v>1340</v>
      </c>
      <c r="S2314">
        <v>12</v>
      </c>
    </row>
    <row r="2315" spans="1:19" x14ac:dyDescent="0.25">
      <c r="A2315" t="s">
        <v>955</v>
      </c>
      <c r="B2315" t="s">
        <v>1340</v>
      </c>
      <c r="C2315">
        <v>2</v>
      </c>
      <c r="D2315" t="s">
        <v>1326</v>
      </c>
      <c r="E2315" t="s">
        <v>1239</v>
      </c>
      <c r="F2315" t="s">
        <v>27</v>
      </c>
      <c r="G2315">
        <v>0</v>
      </c>
      <c r="H2315">
        <v>1</v>
      </c>
      <c r="I2315" t="b">
        <v>0</v>
      </c>
      <c r="J2315" t="s">
        <v>1432</v>
      </c>
      <c r="K2315" t="s">
        <v>32</v>
      </c>
      <c r="Q2315" t="s">
        <v>1340</v>
      </c>
      <c r="R2315" t="s">
        <v>1340</v>
      </c>
      <c r="S2315">
        <v>13</v>
      </c>
    </row>
    <row r="2316" spans="1:19" x14ac:dyDescent="0.25">
      <c r="A2316" t="s">
        <v>955</v>
      </c>
      <c r="B2316" t="s">
        <v>1340</v>
      </c>
      <c r="C2316">
        <v>2</v>
      </c>
      <c r="D2316" t="s">
        <v>908</v>
      </c>
      <c r="E2316" t="s">
        <v>989</v>
      </c>
      <c r="F2316" t="s">
        <v>25</v>
      </c>
      <c r="G2316">
        <v>4</v>
      </c>
      <c r="H2316">
        <v>7</v>
      </c>
      <c r="I2316" t="b">
        <v>1</v>
      </c>
      <c r="J2316" t="s">
        <v>1401</v>
      </c>
      <c r="K2316" t="s">
        <v>32</v>
      </c>
      <c r="Q2316" t="s">
        <v>1340</v>
      </c>
      <c r="R2316" t="s">
        <v>1340</v>
      </c>
      <c r="S2316">
        <v>15</v>
      </c>
    </row>
    <row r="2317" spans="1:19" x14ac:dyDescent="0.25">
      <c r="A2317" t="s">
        <v>955</v>
      </c>
      <c r="B2317" t="s">
        <v>1340</v>
      </c>
      <c r="C2317">
        <v>3</v>
      </c>
      <c r="D2317" t="s">
        <v>908</v>
      </c>
      <c r="E2317" t="s">
        <v>924</v>
      </c>
      <c r="F2317" t="s">
        <v>25</v>
      </c>
      <c r="G2317">
        <v>1</v>
      </c>
      <c r="H2317">
        <v>4</v>
      </c>
      <c r="I2317" t="b">
        <v>1</v>
      </c>
      <c r="J2317" t="s">
        <v>1401</v>
      </c>
      <c r="K2317" t="s">
        <v>32</v>
      </c>
      <c r="Q2317" t="s">
        <v>1340</v>
      </c>
      <c r="R2317" t="s">
        <v>1340</v>
      </c>
      <c r="S2317">
        <v>15</v>
      </c>
    </row>
    <row r="2318" spans="1:19" x14ac:dyDescent="0.25">
      <c r="A2318" t="s">
        <v>955</v>
      </c>
      <c r="B2318" t="s">
        <v>1340</v>
      </c>
      <c r="C2318">
        <v>2</v>
      </c>
      <c r="D2318" t="s">
        <v>911</v>
      </c>
      <c r="E2318" t="s">
        <v>912</v>
      </c>
      <c r="F2318" t="s">
        <v>25</v>
      </c>
      <c r="G2318">
        <v>2</v>
      </c>
      <c r="H2318">
        <v>5</v>
      </c>
      <c r="I2318" t="b">
        <v>1</v>
      </c>
      <c r="J2318" t="s">
        <v>1404</v>
      </c>
      <c r="K2318" t="s">
        <v>32</v>
      </c>
      <c r="Q2318" t="s">
        <v>1340</v>
      </c>
      <c r="R2318" t="s">
        <v>1340</v>
      </c>
      <c r="S2318">
        <v>16</v>
      </c>
    </row>
    <row r="2319" spans="1:19" x14ac:dyDescent="0.25">
      <c r="A2319" t="s">
        <v>955</v>
      </c>
      <c r="B2319" t="s">
        <v>1340</v>
      </c>
      <c r="C2319">
        <v>3</v>
      </c>
      <c r="D2319" t="s">
        <v>911</v>
      </c>
      <c r="E2319" t="s">
        <v>725</v>
      </c>
      <c r="F2319" t="s">
        <v>25</v>
      </c>
      <c r="G2319">
        <v>0</v>
      </c>
      <c r="H2319">
        <v>1</v>
      </c>
      <c r="I2319" t="b">
        <v>1</v>
      </c>
      <c r="J2319" t="s">
        <v>1404</v>
      </c>
      <c r="K2319" t="s">
        <v>32</v>
      </c>
      <c r="Q2319" t="s">
        <v>1340</v>
      </c>
      <c r="R2319" t="s">
        <v>1340</v>
      </c>
      <c r="S2319">
        <v>16</v>
      </c>
    </row>
    <row r="2320" spans="1:19" x14ac:dyDescent="0.25">
      <c r="A2320" t="s">
        <v>955</v>
      </c>
      <c r="B2320" t="s">
        <v>1340</v>
      </c>
      <c r="C2320">
        <v>2</v>
      </c>
      <c r="D2320" t="s">
        <v>906</v>
      </c>
      <c r="E2320" t="s">
        <v>907</v>
      </c>
      <c r="F2320" t="s">
        <v>25</v>
      </c>
      <c r="G2320">
        <v>4</v>
      </c>
      <c r="H2320">
        <v>9</v>
      </c>
      <c r="I2320" t="b">
        <v>1</v>
      </c>
      <c r="J2320" t="s">
        <v>1400</v>
      </c>
      <c r="K2320" t="s">
        <v>32</v>
      </c>
      <c r="Q2320" t="s">
        <v>1340</v>
      </c>
      <c r="R2320" t="s">
        <v>1340</v>
      </c>
      <c r="S2320">
        <v>17</v>
      </c>
    </row>
    <row r="2321" spans="1:19" x14ac:dyDescent="0.25">
      <c r="A2321" t="s">
        <v>955</v>
      </c>
      <c r="B2321" t="s">
        <v>1340</v>
      </c>
      <c r="C2321">
        <v>3</v>
      </c>
      <c r="D2321" t="s">
        <v>906</v>
      </c>
      <c r="E2321" t="s">
        <v>923</v>
      </c>
      <c r="F2321" t="s">
        <v>25</v>
      </c>
      <c r="G2321">
        <v>0</v>
      </c>
      <c r="H2321">
        <v>3</v>
      </c>
      <c r="I2321" t="b">
        <v>1</v>
      </c>
      <c r="J2321" t="s">
        <v>1400</v>
      </c>
      <c r="K2321" t="s">
        <v>32</v>
      </c>
      <c r="Q2321" t="s">
        <v>1340</v>
      </c>
      <c r="R2321" t="s">
        <v>1340</v>
      </c>
      <c r="S2321">
        <v>17</v>
      </c>
    </row>
    <row r="2322" spans="1:19" x14ac:dyDescent="0.25">
      <c r="A2322" t="s">
        <v>955</v>
      </c>
      <c r="B2322" t="s">
        <v>1340</v>
      </c>
      <c r="C2322">
        <v>2</v>
      </c>
      <c r="D2322" t="s">
        <v>909</v>
      </c>
      <c r="E2322" t="s">
        <v>912</v>
      </c>
      <c r="F2322" t="s">
        <v>25</v>
      </c>
      <c r="G2322">
        <v>2</v>
      </c>
      <c r="H2322">
        <v>5</v>
      </c>
      <c r="I2322" t="b">
        <v>1</v>
      </c>
      <c r="J2322" t="s">
        <v>1403</v>
      </c>
      <c r="K2322" t="s">
        <v>32</v>
      </c>
      <c r="Q2322" t="s">
        <v>1340</v>
      </c>
      <c r="R2322" t="s">
        <v>1340</v>
      </c>
      <c r="S2322">
        <v>18</v>
      </c>
    </row>
    <row r="2323" spans="1:19" x14ac:dyDescent="0.25">
      <c r="A2323" t="s">
        <v>955</v>
      </c>
      <c r="B2323" t="s">
        <v>1340</v>
      </c>
      <c r="C2323">
        <v>3</v>
      </c>
      <c r="D2323" t="s">
        <v>909</v>
      </c>
      <c r="E2323" t="s">
        <v>725</v>
      </c>
      <c r="F2323" t="s">
        <v>25</v>
      </c>
      <c r="G2323">
        <v>0</v>
      </c>
      <c r="H2323">
        <v>1</v>
      </c>
      <c r="I2323" t="b">
        <v>1</v>
      </c>
      <c r="J2323" t="s">
        <v>1403</v>
      </c>
      <c r="K2323" t="s">
        <v>32</v>
      </c>
      <c r="Q2323" t="s">
        <v>1340</v>
      </c>
      <c r="R2323" t="s">
        <v>1340</v>
      </c>
      <c r="S2323">
        <v>18</v>
      </c>
    </row>
    <row r="2324" spans="1:19" x14ac:dyDescent="0.25">
      <c r="A2324" t="s">
        <v>955</v>
      </c>
      <c r="B2324" t="s">
        <v>1340</v>
      </c>
      <c r="C2324">
        <v>2</v>
      </c>
      <c r="D2324" t="s">
        <v>1331</v>
      </c>
      <c r="E2324" t="s">
        <v>1341</v>
      </c>
      <c r="F2324" t="s">
        <v>25</v>
      </c>
      <c r="G2324">
        <v>23</v>
      </c>
      <c r="H2324">
        <v>28</v>
      </c>
      <c r="I2324" t="b">
        <v>1</v>
      </c>
      <c r="J2324" t="s">
        <v>1332</v>
      </c>
      <c r="K2324" t="s">
        <v>32</v>
      </c>
      <c r="Q2324" t="s">
        <v>1340</v>
      </c>
      <c r="R2324" t="s">
        <v>1340</v>
      </c>
      <c r="S2324">
        <v>19</v>
      </c>
    </row>
    <row r="2325" spans="1:19" x14ac:dyDescent="0.25">
      <c r="A2325" t="s">
        <v>955</v>
      </c>
      <c r="B2325" t="s">
        <v>1340</v>
      </c>
      <c r="C2325">
        <v>3</v>
      </c>
      <c r="D2325" t="s">
        <v>1331</v>
      </c>
      <c r="E2325" t="s">
        <v>1308</v>
      </c>
      <c r="F2325" t="s">
        <v>25</v>
      </c>
      <c r="G2325">
        <v>18</v>
      </c>
      <c r="H2325">
        <v>23</v>
      </c>
      <c r="I2325" t="b">
        <v>1</v>
      </c>
      <c r="J2325" t="s">
        <v>1332</v>
      </c>
      <c r="K2325" t="s">
        <v>32</v>
      </c>
      <c r="Q2325" t="s">
        <v>1340</v>
      </c>
      <c r="R2325" t="s">
        <v>1340</v>
      </c>
      <c r="S2325">
        <v>19</v>
      </c>
    </row>
    <row r="2326" spans="1:19" x14ac:dyDescent="0.25">
      <c r="A2326" t="s">
        <v>955</v>
      </c>
      <c r="B2326" t="s">
        <v>1340</v>
      </c>
      <c r="C2326">
        <v>4</v>
      </c>
      <c r="D2326" t="s">
        <v>1331</v>
      </c>
      <c r="E2326" t="s">
        <v>946</v>
      </c>
      <c r="F2326" t="s">
        <v>24</v>
      </c>
      <c r="G2326">
        <v>10</v>
      </c>
      <c r="H2326">
        <v>20</v>
      </c>
      <c r="I2326" t="b">
        <v>1</v>
      </c>
      <c r="J2326" t="s">
        <v>1332</v>
      </c>
      <c r="K2326" t="s">
        <v>32</v>
      </c>
      <c r="Q2326" t="s">
        <v>1340</v>
      </c>
      <c r="R2326" t="s">
        <v>1340</v>
      </c>
      <c r="S2326">
        <v>19</v>
      </c>
    </row>
    <row r="2327" spans="1:19" x14ac:dyDescent="0.25">
      <c r="A2327" t="s">
        <v>955</v>
      </c>
      <c r="B2327" t="s">
        <v>1340</v>
      </c>
      <c r="C2327">
        <v>5</v>
      </c>
      <c r="D2327" t="s">
        <v>1331</v>
      </c>
      <c r="E2327" t="s">
        <v>1345</v>
      </c>
      <c r="F2327" t="s">
        <v>25</v>
      </c>
      <c r="G2327">
        <v>1</v>
      </c>
      <c r="H2327">
        <v>10</v>
      </c>
      <c r="I2327" t="b">
        <v>1</v>
      </c>
      <c r="J2327" t="s">
        <v>1332</v>
      </c>
      <c r="K2327" t="s">
        <v>32</v>
      </c>
      <c r="Q2327" t="s">
        <v>1340</v>
      </c>
      <c r="R2327" t="s">
        <v>1340</v>
      </c>
      <c r="S2327">
        <v>19</v>
      </c>
    </row>
    <row r="2328" spans="1:19" x14ac:dyDescent="0.25">
      <c r="A2328" t="s">
        <v>955</v>
      </c>
      <c r="B2328" t="s">
        <v>1340</v>
      </c>
      <c r="C2328">
        <v>4</v>
      </c>
      <c r="D2328" t="s">
        <v>148</v>
      </c>
      <c r="E2328" t="s">
        <v>725</v>
      </c>
      <c r="F2328" t="s">
        <v>25</v>
      </c>
      <c r="G2328">
        <v>0</v>
      </c>
      <c r="H2328">
        <v>1</v>
      </c>
      <c r="I2328" t="b">
        <v>1</v>
      </c>
      <c r="J2328" t="s">
        <v>1339</v>
      </c>
      <c r="K2328" t="s">
        <v>32</v>
      </c>
      <c r="L2328" t="s">
        <v>716</v>
      </c>
      <c r="M2328" t="s">
        <v>1138</v>
      </c>
      <c r="Q2328" t="s">
        <v>1340</v>
      </c>
      <c r="R2328" t="s">
        <v>1340</v>
      </c>
      <c r="S2328">
        <v>23</v>
      </c>
    </row>
    <row r="2329" spans="1:19" x14ac:dyDescent="0.25">
      <c r="A2329" t="s">
        <v>955</v>
      </c>
      <c r="B2329" t="s">
        <v>1340</v>
      </c>
      <c r="C2329">
        <v>4</v>
      </c>
      <c r="D2329" t="s">
        <v>1336</v>
      </c>
      <c r="E2329" t="s">
        <v>1337</v>
      </c>
      <c r="F2329" t="s">
        <v>25</v>
      </c>
      <c r="G2329">
        <v>1.5</v>
      </c>
      <c r="H2329">
        <v>3</v>
      </c>
      <c r="I2329" t="b">
        <v>1</v>
      </c>
      <c r="J2329" t="s">
        <v>1338</v>
      </c>
      <c r="K2329" t="s">
        <v>32</v>
      </c>
      <c r="Q2329" t="s">
        <v>1340</v>
      </c>
      <c r="R2329" t="s">
        <v>1340</v>
      </c>
      <c r="S2329">
        <v>25</v>
      </c>
    </row>
    <row r="2330" spans="1:19" x14ac:dyDescent="0.25">
      <c r="A2330" t="s">
        <v>955</v>
      </c>
      <c r="B2330" t="s">
        <v>1340</v>
      </c>
      <c r="C2330">
        <v>2</v>
      </c>
      <c r="D2330" t="s">
        <v>1376</v>
      </c>
      <c r="E2330" t="s">
        <v>919</v>
      </c>
      <c r="F2330" t="s">
        <v>24</v>
      </c>
      <c r="G2330">
        <v>35</v>
      </c>
      <c r="H2330">
        <v>45</v>
      </c>
      <c r="I2330" t="b">
        <v>1</v>
      </c>
      <c r="J2330" t="s">
        <v>1430</v>
      </c>
      <c r="K2330" t="s">
        <v>32</v>
      </c>
      <c r="Q2330" t="s">
        <v>1340</v>
      </c>
      <c r="R2330" t="s">
        <v>1340</v>
      </c>
      <c r="S2330">
        <v>28</v>
      </c>
    </row>
    <row r="2331" spans="1:19" x14ac:dyDescent="0.25">
      <c r="A2331" t="s">
        <v>955</v>
      </c>
      <c r="B2331" t="s">
        <v>1340</v>
      </c>
      <c r="C2331">
        <v>3</v>
      </c>
      <c r="D2331" t="s">
        <v>1376</v>
      </c>
      <c r="E2331" t="s">
        <v>966</v>
      </c>
      <c r="F2331" t="s">
        <v>25</v>
      </c>
      <c r="G2331">
        <v>30</v>
      </c>
      <c r="H2331">
        <v>35</v>
      </c>
      <c r="I2331" t="b">
        <v>1</v>
      </c>
      <c r="J2331" t="s">
        <v>1430</v>
      </c>
      <c r="K2331" t="s">
        <v>32</v>
      </c>
      <c r="Q2331" t="s">
        <v>1340</v>
      </c>
      <c r="R2331" t="s">
        <v>1340</v>
      </c>
      <c r="S2331">
        <v>28</v>
      </c>
    </row>
    <row r="2332" spans="1:19" x14ac:dyDescent="0.25">
      <c r="A2332" t="s">
        <v>955</v>
      </c>
      <c r="B2332" t="s">
        <v>1340</v>
      </c>
      <c r="C2332">
        <v>4</v>
      </c>
      <c r="D2332" t="s">
        <v>1376</v>
      </c>
      <c r="E2332" t="s">
        <v>946</v>
      </c>
      <c r="F2332" t="s">
        <v>24</v>
      </c>
      <c r="G2332">
        <v>10</v>
      </c>
      <c r="H2332">
        <v>20</v>
      </c>
      <c r="I2332" t="b">
        <v>1</v>
      </c>
      <c r="J2332" t="s">
        <v>1430</v>
      </c>
      <c r="K2332" t="s">
        <v>32</v>
      </c>
      <c r="Q2332" t="s">
        <v>1340</v>
      </c>
      <c r="R2332" t="s">
        <v>1340</v>
      </c>
      <c r="S2332">
        <v>28</v>
      </c>
    </row>
    <row r="2333" spans="1:19" x14ac:dyDescent="0.25">
      <c r="A2333" t="s">
        <v>955</v>
      </c>
      <c r="B2333" t="s">
        <v>1340</v>
      </c>
      <c r="C2333">
        <v>5</v>
      </c>
      <c r="D2333" t="s">
        <v>1376</v>
      </c>
      <c r="E2333" t="s">
        <v>962</v>
      </c>
      <c r="F2333" t="s">
        <v>24</v>
      </c>
      <c r="G2333">
        <v>0</v>
      </c>
      <c r="H2333">
        <v>2</v>
      </c>
      <c r="I2333" t="b">
        <v>1</v>
      </c>
      <c r="J2333" t="s">
        <v>1430</v>
      </c>
      <c r="K2333" t="s">
        <v>32</v>
      </c>
      <c r="Q2333" t="s">
        <v>1340</v>
      </c>
      <c r="R2333" t="s">
        <v>1340</v>
      </c>
      <c r="S2333">
        <v>28</v>
      </c>
    </row>
    <row r="2334" spans="1:19" x14ac:dyDescent="0.25">
      <c r="A2334" t="s">
        <v>955</v>
      </c>
      <c r="B2334" t="s">
        <v>1319</v>
      </c>
      <c r="C2334">
        <v>2</v>
      </c>
      <c r="D2334" t="s">
        <v>11</v>
      </c>
      <c r="E2334" t="s">
        <v>994</v>
      </c>
      <c r="F2334" t="s">
        <v>25</v>
      </c>
      <c r="G2334">
        <v>45</v>
      </c>
      <c r="H2334">
        <v>50</v>
      </c>
      <c r="I2334" t="b">
        <v>1</v>
      </c>
      <c r="J2334" t="s">
        <v>0</v>
      </c>
      <c r="K2334" t="s">
        <v>32</v>
      </c>
      <c r="Q2334" t="s">
        <v>1319</v>
      </c>
      <c r="R2334" t="s">
        <v>1319</v>
      </c>
      <c r="S2334">
        <v>1</v>
      </c>
    </row>
    <row r="2335" spans="1:19" x14ac:dyDescent="0.25">
      <c r="A2335" t="s">
        <v>955</v>
      </c>
      <c r="B2335" t="s">
        <v>1319</v>
      </c>
      <c r="C2335">
        <v>3</v>
      </c>
      <c r="D2335" t="s">
        <v>11</v>
      </c>
      <c r="E2335" t="s">
        <v>919</v>
      </c>
      <c r="F2335" t="s">
        <v>24</v>
      </c>
      <c r="G2335">
        <v>35</v>
      </c>
      <c r="H2335">
        <v>45</v>
      </c>
      <c r="I2335" t="b">
        <v>1</v>
      </c>
      <c r="J2335" t="s">
        <v>0</v>
      </c>
      <c r="K2335" t="s">
        <v>32</v>
      </c>
      <c r="L2335" t="s">
        <v>716</v>
      </c>
      <c r="M2335" t="s">
        <v>1138</v>
      </c>
      <c r="Q2335" t="s">
        <v>1319</v>
      </c>
      <c r="R2335" t="s">
        <v>1319</v>
      </c>
      <c r="S2335">
        <v>1</v>
      </c>
    </row>
    <row r="2336" spans="1:19" x14ac:dyDescent="0.25">
      <c r="A2336" t="s">
        <v>955</v>
      </c>
      <c r="B2336" t="s">
        <v>1319</v>
      </c>
      <c r="C2336">
        <v>4</v>
      </c>
      <c r="D2336" t="s">
        <v>11</v>
      </c>
      <c r="E2336" t="s">
        <v>922</v>
      </c>
      <c r="F2336" t="s">
        <v>24</v>
      </c>
      <c r="G2336">
        <v>20</v>
      </c>
      <c r="H2336">
        <v>30</v>
      </c>
      <c r="I2336" t="b">
        <v>1</v>
      </c>
      <c r="J2336" t="s">
        <v>0</v>
      </c>
      <c r="K2336" t="s">
        <v>32</v>
      </c>
      <c r="L2336" t="s">
        <v>716</v>
      </c>
      <c r="M2336" t="s">
        <v>1138</v>
      </c>
      <c r="Q2336" t="s">
        <v>1319</v>
      </c>
      <c r="R2336" t="s">
        <v>1319</v>
      </c>
      <c r="S2336">
        <v>1</v>
      </c>
    </row>
    <row r="2337" spans="1:19" x14ac:dyDescent="0.25">
      <c r="A2337" t="s">
        <v>955</v>
      </c>
      <c r="B2337" t="s">
        <v>1319</v>
      </c>
      <c r="C2337">
        <v>5</v>
      </c>
      <c r="D2337" t="s">
        <v>11</v>
      </c>
      <c r="E2337" t="s">
        <v>933</v>
      </c>
      <c r="F2337" t="s">
        <v>25</v>
      </c>
      <c r="G2337">
        <v>15</v>
      </c>
      <c r="H2337">
        <v>20</v>
      </c>
      <c r="I2337" t="b">
        <v>1</v>
      </c>
      <c r="J2337" t="s">
        <v>0</v>
      </c>
      <c r="K2337" t="s">
        <v>32</v>
      </c>
      <c r="L2337" t="s">
        <v>716</v>
      </c>
      <c r="M2337" t="s">
        <v>1138</v>
      </c>
      <c r="Q2337" t="s">
        <v>1319</v>
      </c>
      <c r="R2337" t="s">
        <v>1319</v>
      </c>
      <c r="S2337">
        <v>1</v>
      </c>
    </row>
    <row r="2338" spans="1:19" x14ac:dyDescent="0.25">
      <c r="A2338" t="s">
        <v>955</v>
      </c>
      <c r="B2338" t="s">
        <v>1319</v>
      </c>
      <c r="C2338">
        <v>2</v>
      </c>
      <c r="D2338" t="s">
        <v>311</v>
      </c>
      <c r="E2338" t="s">
        <v>950</v>
      </c>
      <c r="F2338" t="s">
        <v>27</v>
      </c>
      <c r="G2338">
        <v>20</v>
      </c>
      <c r="H2338">
        <v>25</v>
      </c>
      <c r="I2338" t="b">
        <v>0</v>
      </c>
      <c r="J2338" t="s">
        <v>1258</v>
      </c>
      <c r="K2338" t="s">
        <v>32</v>
      </c>
      <c r="Q2338" t="s">
        <v>1319</v>
      </c>
      <c r="R2338" t="s">
        <v>1319</v>
      </c>
      <c r="S2338">
        <v>2</v>
      </c>
    </row>
    <row r="2339" spans="1:19" x14ac:dyDescent="0.25">
      <c r="A2339" t="s">
        <v>955</v>
      </c>
      <c r="B2339" t="s">
        <v>1319</v>
      </c>
      <c r="C2339">
        <v>3</v>
      </c>
      <c r="D2339" t="s">
        <v>311</v>
      </c>
      <c r="E2339" t="s">
        <v>1311</v>
      </c>
      <c r="F2339" t="s">
        <v>27</v>
      </c>
      <c r="G2339">
        <v>25</v>
      </c>
      <c r="H2339">
        <v>30</v>
      </c>
      <c r="I2339" t="b">
        <v>0</v>
      </c>
      <c r="J2339" t="s">
        <v>1258</v>
      </c>
      <c r="K2339" t="s">
        <v>32</v>
      </c>
      <c r="L2339" t="s">
        <v>716</v>
      </c>
      <c r="M2339" t="s">
        <v>1138</v>
      </c>
      <c r="Q2339" t="s">
        <v>1319</v>
      </c>
      <c r="R2339" t="s">
        <v>1319</v>
      </c>
      <c r="S2339">
        <v>2</v>
      </c>
    </row>
    <row r="2340" spans="1:19" x14ac:dyDescent="0.25">
      <c r="A2340" t="s">
        <v>955</v>
      </c>
      <c r="B2340" t="s">
        <v>1319</v>
      </c>
      <c r="C2340">
        <v>4</v>
      </c>
      <c r="D2340" t="s">
        <v>311</v>
      </c>
      <c r="E2340" t="s">
        <v>1247</v>
      </c>
      <c r="F2340" t="s">
        <v>27</v>
      </c>
      <c r="G2340">
        <v>30</v>
      </c>
      <c r="H2340">
        <v>35</v>
      </c>
      <c r="I2340" t="b">
        <v>0</v>
      </c>
      <c r="J2340" t="s">
        <v>1258</v>
      </c>
      <c r="K2340" t="s">
        <v>32</v>
      </c>
      <c r="L2340" t="s">
        <v>716</v>
      </c>
      <c r="M2340" t="s">
        <v>1138</v>
      </c>
      <c r="Q2340" t="s">
        <v>1319</v>
      </c>
      <c r="R2340" t="s">
        <v>1319</v>
      </c>
      <c r="S2340">
        <v>2</v>
      </c>
    </row>
    <row r="2341" spans="1:19" x14ac:dyDescent="0.25">
      <c r="A2341" t="s">
        <v>955</v>
      </c>
      <c r="B2341" t="s">
        <v>1319</v>
      </c>
      <c r="C2341">
        <v>5</v>
      </c>
      <c r="D2341" t="s">
        <v>311</v>
      </c>
      <c r="E2341" t="s">
        <v>928</v>
      </c>
      <c r="F2341" t="s">
        <v>26</v>
      </c>
      <c r="G2341">
        <v>40</v>
      </c>
      <c r="H2341">
        <v>50</v>
      </c>
      <c r="I2341" t="b">
        <v>0</v>
      </c>
      <c r="J2341" t="s">
        <v>1258</v>
      </c>
      <c r="K2341" t="s">
        <v>32</v>
      </c>
      <c r="L2341" t="s">
        <v>716</v>
      </c>
      <c r="M2341" t="s">
        <v>1138</v>
      </c>
      <c r="Q2341" t="s">
        <v>1319</v>
      </c>
      <c r="R2341" t="s">
        <v>1319</v>
      </c>
      <c r="S2341">
        <v>2</v>
      </c>
    </row>
    <row r="2342" spans="1:19" x14ac:dyDescent="0.25">
      <c r="A2342" t="s">
        <v>955</v>
      </c>
      <c r="B2342" t="s">
        <v>1319</v>
      </c>
      <c r="C2342">
        <v>2</v>
      </c>
      <c r="D2342" t="s">
        <v>921</v>
      </c>
      <c r="E2342" t="s">
        <v>932</v>
      </c>
      <c r="F2342" t="s">
        <v>25</v>
      </c>
      <c r="G2342">
        <v>25</v>
      </c>
      <c r="H2342">
        <v>30</v>
      </c>
      <c r="I2342" t="b">
        <v>1</v>
      </c>
      <c r="J2342" t="s">
        <v>1402</v>
      </c>
      <c r="K2342" t="s">
        <v>32</v>
      </c>
      <c r="Q2342" t="s">
        <v>1319</v>
      </c>
      <c r="R2342" t="s">
        <v>1319</v>
      </c>
      <c r="S2342">
        <v>5</v>
      </c>
    </row>
    <row r="2343" spans="1:19" x14ac:dyDescent="0.25">
      <c r="A2343" t="s">
        <v>955</v>
      </c>
      <c r="B2343" t="s">
        <v>1319</v>
      </c>
      <c r="C2343">
        <v>3</v>
      </c>
      <c r="D2343" t="s">
        <v>921</v>
      </c>
      <c r="E2343" t="s">
        <v>954</v>
      </c>
      <c r="F2343" t="s">
        <v>25</v>
      </c>
      <c r="G2343">
        <v>20</v>
      </c>
      <c r="H2343">
        <v>25</v>
      </c>
      <c r="I2343" t="b">
        <v>1</v>
      </c>
      <c r="J2343" t="s">
        <v>1402</v>
      </c>
      <c r="K2343" t="s">
        <v>32</v>
      </c>
      <c r="L2343" t="s">
        <v>716</v>
      </c>
      <c r="M2343" t="s">
        <v>1138</v>
      </c>
      <c r="Q2343" t="s">
        <v>1319</v>
      </c>
      <c r="R2343" t="s">
        <v>1319</v>
      </c>
      <c r="S2343">
        <v>5</v>
      </c>
    </row>
    <row r="2344" spans="1:19" x14ac:dyDescent="0.25">
      <c r="A2344" t="s">
        <v>955</v>
      </c>
      <c r="B2344" t="s">
        <v>1319</v>
      </c>
      <c r="C2344">
        <v>4</v>
      </c>
      <c r="D2344" t="s">
        <v>921</v>
      </c>
      <c r="E2344" t="s">
        <v>1328</v>
      </c>
      <c r="F2344" t="s">
        <v>25</v>
      </c>
      <c r="G2344">
        <v>13</v>
      </c>
      <c r="H2344">
        <v>18</v>
      </c>
      <c r="I2344" t="b">
        <v>1</v>
      </c>
      <c r="J2344" t="s">
        <v>1402</v>
      </c>
      <c r="K2344" t="s">
        <v>32</v>
      </c>
      <c r="L2344" t="s">
        <v>716</v>
      </c>
      <c r="M2344" t="s">
        <v>1138</v>
      </c>
      <c r="Q2344" t="s">
        <v>1319</v>
      </c>
      <c r="R2344" t="s">
        <v>1319</v>
      </c>
      <c r="S2344">
        <v>5</v>
      </c>
    </row>
    <row r="2345" spans="1:19" x14ac:dyDescent="0.25">
      <c r="A2345" t="s">
        <v>955</v>
      </c>
      <c r="B2345" t="s">
        <v>1319</v>
      </c>
      <c r="C2345">
        <v>2</v>
      </c>
      <c r="D2345" t="s">
        <v>903</v>
      </c>
      <c r="E2345" t="s">
        <v>988</v>
      </c>
      <c r="F2345" t="s">
        <v>25</v>
      </c>
      <c r="G2345">
        <v>3</v>
      </c>
      <c r="H2345">
        <v>6</v>
      </c>
      <c r="I2345" t="b">
        <v>1</v>
      </c>
      <c r="J2345" t="s">
        <v>1399</v>
      </c>
      <c r="K2345" t="s">
        <v>32</v>
      </c>
      <c r="Q2345" t="s">
        <v>1319</v>
      </c>
      <c r="R2345" t="s">
        <v>1319</v>
      </c>
      <c r="S2345">
        <v>8</v>
      </c>
    </row>
    <row r="2346" spans="1:19" x14ac:dyDescent="0.25">
      <c r="A2346" t="s">
        <v>955</v>
      </c>
      <c r="B2346" t="s">
        <v>1319</v>
      </c>
      <c r="C2346">
        <v>3</v>
      </c>
      <c r="D2346" t="s">
        <v>903</v>
      </c>
      <c r="E2346" t="s">
        <v>923</v>
      </c>
      <c r="F2346" t="s">
        <v>25</v>
      </c>
      <c r="G2346">
        <v>0</v>
      </c>
      <c r="H2346">
        <v>3</v>
      </c>
      <c r="I2346" t="b">
        <v>1</v>
      </c>
      <c r="J2346" t="s">
        <v>1399</v>
      </c>
      <c r="K2346" t="s">
        <v>32</v>
      </c>
      <c r="Q2346" t="s">
        <v>1319</v>
      </c>
      <c r="R2346" t="s">
        <v>1319</v>
      </c>
      <c r="S2346">
        <v>8</v>
      </c>
    </row>
    <row r="2347" spans="1:19" x14ac:dyDescent="0.25">
      <c r="A2347" t="s">
        <v>955</v>
      </c>
      <c r="B2347" t="s">
        <v>1319</v>
      </c>
      <c r="C2347">
        <v>2</v>
      </c>
      <c r="D2347" t="s">
        <v>957</v>
      </c>
      <c r="E2347" t="s">
        <v>1323</v>
      </c>
      <c r="F2347" t="s">
        <v>24</v>
      </c>
      <c r="G2347">
        <v>2</v>
      </c>
      <c r="H2347">
        <v>4</v>
      </c>
      <c r="I2347" t="b">
        <v>1</v>
      </c>
      <c r="J2347" t="s">
        <v>1423</v>
      </c>
      <c r="K2347" t="s">
        <v>32</v>
      </c>
      <c r="Q2347" t="s">
        <v>1319</v>
      </c>
      <c r="R2347" t="s">
        <v>1319</v>
      </c>
      <c r="S2347">
        <v>9</v>
      </c>
    </row>
    <row r="2348" spans="1:19" x14ac:dyDescent="0.25">
      <c r="A2348" t="s">
        <v>955</v>
      </c>
      <c r="B2348" t="s">
        <v>1319</v>
      </c>
      <c r="C2348">
        <v>3</v>
      </c>
      <c r="D2348" t="s">
        <v>957</v>
      </c>
      <c r="E2348" t="s">
        <v>962</v>
      </c>
      <c r="F2348" t="s">
        <v>24</v>
      </c>
      <c r="G2348">
        <v>0</v>
      </c>
      <c r="H2348">
        <v>2</v>
      </c>
      <c r="I2348" t="b">
        <v>1</v>
      </c>
      <c r="J2348" t="s">
        <v>1423</v>
      </c>
      <c r="K2348" t="s">
        <v>32</v>
      </c>
      <c r="Q2348" t="s">
        <v>1319</v>
      </c>
      <c r="R2348" t="s">
        <v>1319</v>
      </c>
      <c r="S2348">
        <v>9</v>
      </c>
    </row>
    <row r="2349" spans="1:19" x14ac:dyDescent="0.25">
      <c r="A2349" t="s">
        <v>955</v>
      </c>
      <c r="B2349" t="s">
        <v>1319</v>
      </c>
      <c r="C2349">
        <v>2</v>
      </c>
      <c r="D2349" t="s">
        <v>914</v>
      </c>
      <c r="E2349" t="s">
        <v>915</v>
      </c>
      <c r="F2349" t="s">
        <v>26</v>
      </c>
      <c r="G2349">
        <v>30</v>
      </c>
      <c r="H2349">
        <v>40</v>
      </c>
      <c r="I2349" t="b">
        <v>0</v>
      </c>
      <c r="J2349" t="s">
        <v>1405</v>
      </c>
      <c r="K2349" t="s">
        <v>32</v>
      </c>
      <c r="Q2349" t="s">
        <v>1319</v>
      </c>
      <c r="R2349" t="s">
        <v>1319</v>
      </c>
      <c r="S2349">
        <v>10</v>
      </c>
    </row>
    <row r="2350" spans="1:19" x14ac:dyDescent="0.25">
      <c r="A2350" t="s">
        <v>955</v>
      </c>
      <c r="B2350" t="s">
        <v>1319</v>
      </c>
      <c r="C2350">
        <v>3</v>
      </c>
      <c r="D2350" t="s">
        <v>914</v>
      </c>
      <c r="E2350" t="s">
        <v>1379</v>
      </c>
      <c r="F2350" t="s">
        <v>27</v>
      </c>
      <c r="G2350">
        <v>40</v>
      </c>
      <c r="H2350">
        <v>50</v>
      </c>
      <c r="I2350" t="b">
        <v>0</v>
      </c>
      <c r="J2350" t="s">
        <v>1405</v>
      </c>
      <c r="K2350" t="s">
        <v>32</v>
      </c>
      <c r="L2350" t="s">
        <v>716</v>
      </c>
      <c r="M2350" t="s">
        <v>1138</v>
      </c>
      <c r="Q2350" t="s">
        <v>1319</v>
      </c>
      <c r="R2350" t="s">
        <v>1319</v>
      </c>
      <c r="S2350">
        <v>10</v>
      </c>
    </row>
    <row r="2351" spans="1:19" x14ac:dyDescent="0.25">
      <c r="A2351" t="s">
        <v>955</v>
      </c>
      <c r="B2351" t="s">
        <v>1319</v>
      </c>
      <c r="C2351">
        <v>4</v>
      </c>
      <c r="D2351" t="s">
        <v>914</v>
      </c>
      <c r="E2351" t="s">
        <v>935</v>
      </c>
      <c r="F2351" t="s">
        <v>26</v>
      </c>
      <c r="G2351">
        <v>55</v>
      </c>
      <c r="H2351">
        <v>65</v>
      </c>
      <c r="I2351" t="b">
        <v>0</v>
      </c>
      <c r="J2351" t="s">
        <v>1405</v>
      </c>
      <c r="K2351" t="s">
        <v>32</v>
      </c>
      <c r="L2351" t="s">
        <v>716</v>
      </c>
      <c r="M2351" t="s">
        <v>1138</v>
      </c>
      <c r="Q2351" t="s">
        <v>1319</v>
      </c>
      <c r="R2351" t="s">
        <v>1319</v>
      </c>
      <c r="S2351">
        <v>10</v>
      </c>
    </row>
    <row r="2352" spans="1:19" x14ac:dyDescent="0.25">
      <c r="A2352" t="s">
        <v>955</v>
      </c>
      <c r="B2352" t="s">
        <v>1319</v>
      </c>
      <c r="C2352">
        <v>2</v>
      </c>
      <c r="D2352" t="s">
        <v>407</v>
      </c>
      <c r="E2352" t="s">
        <v>1325</v>
      </c>
      <c r="F2352" t="s">
        <v>26</v>
      </c>
      <c r="G2352">
        <v>0</v>
      </c>
      <c r="H2352">
        <v>2</v>
      </c>
      <c r="I2352" t="b">
        <v>0</v>
      </c>
      <c r="J2352" t="s">
        <v>1407</v>
      </c>
      <c r="K2352" t="s">
        <v>32</v>
      </c>
      <c r="Q2352" t="s">
        <v>1319</v>
      </c>
      <c r="R2352" t="s">
        <v>1319</v>
      </c>
      <c r="S2352">
        <v>12</v>
      </c>
    </row>
    <row r="2353" spans="1:19" x14ac:dyDescent="0.25">
      <c r="A2353" t="s">
        <v>955</v>
      </c>
      <c r="B2353" t="s">
        <v>1319</v>
      </c>
      <c r="C2353">
        <v>3</v>
      </c>
      <c r="D2353" t="s">
        <v>407</v>
      </c>
      <c r="E2353" t="s">
        <v>1248</v>
      </c>
      <c r="F2353" t="s">
        <v>27</v>
      </c>
      <c r="G2353">
        <v>4</v>
      </c>
      <c r="H2353">
        <v>7</v>
      </c>
      <c r="I2353" t="b">
        <v>0</v>
      </c>
      <c r="J2353" t="s">
        <v>1407</v>
      </c>
      <c r="K2353" t="s">
        <v>32</v>
      </c>
      <c r="Q2353" t="s">
        <v>1319</v>
      </c>
      <c r="R2353" t="s">
        <v>1319</v>
      </c>
      <c r="S2353">
        <v>12</v>
      </c>
    </row>
    <row r="2354" spans="1:19" x14ac:dyDescent="0.25">
      <c r="A2354" t="s">
        <v>955</v>
      </c>
      <c r="B2354" t="s">
        <v>1319</v>
      </c>
      <c r="C2354">
        <v>4</v>
      </c>
      <c r="D2354" t="s">
        <v>407</v>
      </c>
      <c r="E2354" t="s">
        <v>1380</v>
      </c>
      <c r="F2354" t="s">
        <v>27</v>
      </c>
      <c r="G2354">
        <v>7</v>
      </c>
      <c r="H2354">
        <v>14</v>
      </c>
      <c r="I2354" t="b">
        <v>0</v>
      </c>
      <c r="J2354" t="s">
        <v>1407</v>
      </c>
      <c r="K2354" t="s">
        <v>32</v>
      </c>
      <c r="Q2354" t="s">
        <v>1319</v>
      </c>
      <c r="R2354" t="s">
        <v>1319</v>
      </c>
      <c r="S2354">
        <v>12</v>
      </c>
    </row>
    <row r="2355" spans="1:19" x14ac:dyDescent="0.25">
      <c r="A2355" t="s">
        <v>955</v>
      </c>
      <c r="B2355" t="s">
        <v>1319</v>
      </c>
      <c r="C2355">
        <v>2</v>
      </c>
      <c r="D2355" t="s">
        <v>1326</v>
      </c>
      <c r="E2355" t="s">
        <v>1239</v>
      </c>
      <c r="F2355" t="s">
        <v>27</v>
      </c>
      <c r="G2355">
        <v>0</v>
      </c>
      <c r="H2355">
        <v>1</v>
      </c>
      <c r="I2355" t="b">
        <v>0</v>
      </c>
      <c r="J2355" t="s">
        <v>1432</v>
      </c>
      <c r="K2355" t="s">
        <v>32</v>
      </c>
      <c r="Q2355" t="s">
        <v>1319</v>
      </c>
      <c r="R2355" t="s">
        <v>1319</v>
      </c>
      <c r="S2355">
        <v>13</v>
      </c>
    </row>
    <row r="2356" spans="1:19" x14ac:dyDescent="0.25">
      <c r="A2356" t="s">
        <v>955</v>
      </c>
      <c r="B2356" t="s">
        <v>1319</v>
      </c>
      <c r="C2356">
        <v>2</v>
      </c>
      <c r="D2356" t="s">
        <v>908</v>
      </c>
      <c r="E2356" t="s">
        <v>1324</v>
      </c>
      <c r="F2356" t="s">
        <v>25</v>
      </c>
      <c r="G2356">
        <v>6</v>
      </c>
      <c r="H2356">
        <v>9</v>
      </c>
      <c r="I2356" t="b">
        <v>1</v>
      </c>
      <c r="J2356" t="s">
        <v>1401</v>
      </c>
      <c r="K2356" t="s">
        <v>32</v>
      </c>
      <c r="Q2356" t="s">
        <v>1319</v>
      </c>
      <c r="R2356" t="s">
        <v>1319</v>
      </c>
      <c r="S2356">
        <v>15</v>
      </c>
    </row>
    <row r="2357" spans="1:19" x14ac:dyDescent="0.25">
      <c r="A2357" t="s">
        <v>955</v>
      </c>
      <c r="B2357" t="s">
        <v>1319</v>
      </c>
      <c r="C2357">
        <v>3</v>
      </c>
      <c r="D2357" t="s">
        <v>908</v>
      </c>
      <c r="E2357" t="s">
        <v>988</v>
      </c>
      <c r="F2357" t="s">
        <v>25</v>
      </c>
      <c r="G2357">
        <v>3</v>
      </c>
      <c r="H2357">
        <v>6</v>
      </c>
      <c r="I2357" t="b">
        <v>1</v>
      </c>
      <c r="J2357" t="s">
        <v>1401</v>
      </c>
      <c r="K2357" t="s">
        <v>32</v>
      </c>
      <c r="Q2357" t="s">
        <v>1319</v>
      </c>
      <c r="R2357" t="s">
        <v>1319</v>
      </c>
      <c r="S2357">
        <v>15</v>
      </c>
    </row>
    <row r="2358" spans="1:19" x14ac:dyDescent="0.25">
      <c r="A2358" t="s">
        <v>955</v>
      </c>
      <c r="B2358" t="s">
        <v>1319</v>
      </c>
      <c r="C2358">
        <v>2</v>
      </c>
      <c r="D2358" t="s">
        <v>911</v>
      </c>
      <c r="E2358" t="s">
        <v>988</v>
      </c>
      <c r="F2358" t="s">
        <v>25</v>
      </c>
      <c r="G2358">
        <v>3</v>
      </c>
      <c r="H2358">
        <v>6</v>
      </c>
      <c r="I2358" t="b">
        <v>1</v>
      </c>
      <c r="J2358" t="s">
        <v>1404</v>
      </c>
      <c r="K2358" t="s">
        <v>32</v>
      </c>
      <c r="Q2358" t="s">
        <v>1319</v>
      </c>
      <c r="R2358" t="s">
        <v>1319</v>
      </c>
      <c r="S2358">
        <v>16</v>
      </c>
    </row>
    <row r="2359" spans="1:19" x14ac:dyDescent="0.25">
      <c r="A2359" t="s">
        <v>955</v>
      </c>
      <c r="B2359" t="s">
        <v>1319</v>
      </c>
      <c r="C2359">
        <v>3</v>
      </c>
      <c r="D2359" t="s">
        <v>911</v>
      </c>
      <c r="E2359" t="s">
        <v>923</v>
      </c>
      <c r="F2359" t="s">
        <v>25</v>
      </c>
      <c r="G2359">
        <v>0</v>
      </c>
      <c r="H2359">
        <v>3</v>
      </c>
      <c r="I2359" t="b">
        <v>1</v>
      </c>
      <c r="J2359" t="s">
        <v>1404</v>
      </c>
      <c r="K2359" t="s">
        <v>32</v>
      </c>
      <c r="Q2359" t="s">
        <v>1319</v>
      </c>
      <c r="R2359" t="s">
        <v>1319</v>
      </c>
      <c r="S2359">
        <v>16</v>
      </c>
    </row>
    <row r="2360" spans="1:19" x14ac:dyDescent="0.25">
      <c r="A2360" t="s">
        <v>955</v>
      </c>
      <c r="B2360" t="s">
        <v>1319</v>
      </c>
      <c r="C2360">
        <v>2</v>
      </c>
      <c r="D2360" t="s">
        <v>13</v>
      </c>
      <c r="E2360" t="s">
        <v>933</v>
      </c>
      <c r="F2360" t="s">
        <v>25</v>
      </c>
      <c r="G2360">
        <v>15</v>
      </c>
      <c r="H2360">
        <v>20</v>
      </c>
      <c r="I2360" t="b">
        <v>1</v>
      </c>
      <c r="J2360" t="s">
        <v>1322</v>
      </c>
      <c r="K2360" t="s">
        <v>32</v>
      </c>
      <c r="Q2360" t="s">
        <v>1319</v>
      </c>
      <c r="R2360" t="s">
        <v>1319</v>
      </c>
      <c r="S2360">
        <v>21</v>
      </c>
    </row>
    <row r="2361" spans="1:19" x14ac:dyDescent="0.25">
      <c r="A2361" t="s">
        <v>955</v>
      </c>
      <c r="B2361" t="s">
        <v>1319</v>
      </c>
      <c r="C2361">
        <v>3</v>
      </c>
      <c r="D2361" t="s">
        <v>13</v>
      </c>
      <c r="E2361" t="s">
        <v>934</v>
      </c>
      <c r="F2361" t="s">
        <v>25</v>
      </c>
      <c r="G2361">
        <v>10</v>
      </c>
      <c r="H2361">
        <v>15</v>
      </c>
      <c r="I2361" t="b">
        <v>1</v>
      </c>
      <c r="J2361" t="s">
        <v>1322</v>
      </c>
      <c r="K2361" t="s">
        <v>32</v>
      </c>
      <c r="Q2361" t="s">
        <v>1319</v>
      </c>
      <c r="R2361" t="s">
        <v>1319</v>
      </c>
      <c r="S2361">
        <v>21</v>
      </c>
    </row>
    <row r="2362" spans="1:19" x14ac:dyDescent="0.25">
      <c r="A2362" t="s">
        <v>955</v>
      </c>
      <c r="B2362" t="s">
        <v>1319</v>
      </c>
      <c r="C2362">
        <v>4</v>
      </c>
      <c r="D2362" t="s">
        <v>13</v>
      </c>
      <c r="E2362" t="s">
        <v>1324</v>
      </c>
      <c r="F2362" t="s">
        <v>25</v>
      </c>
      <c r="G2362">
        <v>6</v>
      </c>
      <c r="H2362">
        <v>9</v>
      </c>
      <c r="I2362" t="b">
        <v>1</v>
      </c>
      <c r="J2362" t="s">
        <v>1322</v>
      </c>
      <c r="K2362" t="s">
        <v>32</v>
      </c>
      <c r="Q2362" t="s">
        <v>1319</v>
      </c>
      <c r="R2362" t="s">
        <v>1319</v>
      </c>
      <c r="S2362">
        <v>21</v>
      </c>
    </row>
    <row r="2363" spans="1:19" x14ac:dyDescent="0.25">
      <c r="A2363" t="s">
        <v>955</v>
      </c>
      <c r="B2363" t="s">
        <v>1319</v>
      </c>
      <c r="C2363">
        <v>5</v>
      </c>
      <c r="D2363" t="s">
        <v>13</v>
      </c>
      <c r="E2363" t="s">
        <v>1313</v>
      </c>
      <c r="F2363" t="s">
        <v>25</v>
      </c>
      <c r="G2363">
        <v>0</v>
      </c>
      <c r="H2363">
        <v>5</v>
      </c>
      <c r="I2363" t="b">
        <v>1</v>
      </c>
      <c r="J2363" t="s">
        <v>1322</v>
      </c>
      <c r="K2363" t="s">
        <v>32</v>
      </c>
      <c r="L2363" t="s">
        <v>716</v>
      </c>
      <c r="M2363" t="s">
        <v>1138</v>
      </c>
      <c r="Q2363" t="s">
        <v>1319</v>
      </c>
      <c r="R2363" t="s">
        <v>1319</v>
      </c>
      <c r="S2363">
        <v>21</v>
      </c>
    </row>
    <row r="2364" spans="1:19" x14ac:dyDescent="0.25">
      <c r="A2364" t="s">
        <v>955</v>
      </c>
      <c r="B2364" t="s">
        <v>1319</v>
      </c>
      <c r="C2364">
        <v>2</v>
      </c>
      <c r="D2364" t="s">
        <v>1228</v>
      </c>
      <c r="E2364" t="s">
        <v>964</v>
      </c>
      <c r="F2364" t="s">
        <v>25</v>
      </c>
      <c r="G2364">
        <v>2</v>
      </c>
      <c r="H2364">
        <v>3</v>
      </c>
      <c r="I2364" t="b">
        <v>1</v>
      </c>
      <c r="J2364" t="s">
        <v>1321</v>
      </c>
      <c r="K2364" t="s">
        <v>32</v>
      </c>
      <c r="Q2364" t="s">
        <v>1319</v>
      </c>
      <c r="R2364" t="s">
        <v>1319</v>
      </c>
      <c r="S2364">
        <v>26</v>
      </c>
    </row>
    <row r="2365" spans="1:19" x14ac:dyDescent="0.25">
      <c r="A2365" t="s">
        <v>955</v>
      </c>
      <c r="B2365" t="s">
        <v>1319</v>
      </c>
      <c r="C2365">
        <v>3</v>
      </c>
      <c r="D2365" t="s">
        <v>1228</v>
      </c>
      <c r="E2365" t="s">
        <v>1099</v>
      </c>
      <c r="F2365" t="s">
        <v>25</v>
      </c>
      <c r="G2365">
        <v>1</v>
      </c>
      <c r="H2365">
        <v>2</v>
      </c>
      <c r="I2365" t="b">
        <v>1</v>
      </c>
      <c r="J2365" t="s">
        <v>1321</v>
      </c>
      <c r="K2365" t="s">
        <v>32</v>
      </c>
      <c r="Q2365" t="s">
        <v>1319</v>
      </c>
      <c r="R2365" t="s">
        <v>1319</v>
      </c>
      <c r="S2365">
        <v>26</v>
      </c>
    </row>
    <row r="2366" spans="1:19" x14ac:dyDescent="0.25">
      <c r="A2366" t="s">
        <v>955</v>
      </c>
      <c r="B2366" t="s">
        <v>1319</v>
      </c>
      <c r="C2366">
        <v>4</v>
      </c>
      <c r="D2366" t="s">
        <v>1228</v>
      </c>
      <c r="E2366" t="s">
        <v>1243</v>
      </c>
      <c r="F2366" t="s">
        <v>25</v>
      </c>
      <c r="G2366">
        <v>-0.5</v>
      </c>
      <c r="H2366">
        <v>2</v>
      </c>
      <c r="I2366" t="b">
        <v>1</v>
      </c>
      <c r="J2366" t="s">
        <v>1321</v>
      </c>
      <c r="K2366" t="s">
        <v>32</v>
      </c>
      <c r="Q2366" t="s">
        <v>1319</v>
      </c>
      <c r="R2366" t="s">
        <v>1319</v>
      </c>
      <c r="S2366">
        <v>26</v>
      </c>
    </row>
    <row r="2367" spans="1:19" x14ac:dyDescent="0.25">
      <c r="A2367" t="s">
        <v>955</v>
      </c>
      <c r="B2367" t="s">
        <v>1319</v>
      </c>
      <c r="C2367">
        <v>2</v>
      </c>
      <c r="D2367" t="s">
        <v>12</v>
      </c>
      <c r="E2367" t="s">
        <v>1320</v>
      </c>
      <c r="F2367" t="s">
        <v>24</v>
      </c>
      <c r="G2367">
        <v>190</v>
      </c>
      <c r="H2367">
        <v>200</v>
      </c>
      <c r="I2367" t="b">
        <v>1</v>
      </c>
      <c r="J2367" t="s">
        <v>7</v>
      </c>
      <c r="K2367" t="s">
        <v>32</v>
      </c>
      <c r="Q2367" t="s">
        <v>1319</v>
      </c>
      <c r="R2367" t="s">
        <v>1319</v>
      </c>
      <c r="S2367">
        <v>29</v>
      </c>
    </row>
    <row r="2368" spans="1:19" x14ac:dyDescent="0.25">
      <c r="A2368" t="s">
        <v>955</v>
      </c>
      <c r="B2368" t="s">
        <v>1319</v>
      </c>
      <c r="C2368">
        <v>3</v>
      </c>
      <c r="D2368" t="s">
        <v>12</v>
      </c>
      <c r="E2368" t="s">
        <v>1320</v>
      </c>
      <c r="F2368" t="s">
        <v>24</v>
      </c>
      <c r="G2368">
        <v>190</v>
      </c>
      <c r="H2368">
        <v>200</v>
      </c>
      <c r="I2368" t="b">
        <v>1</v>
      </c>
      <c r="J2368" t="s">
        <v>7</v>
      </c>
      <c r="K2368" t="s">
        <v>32</v>
      </c>
      <c r="L2368" t="s">
        <v>716</v>
      </c>
      <c r="M2368" t="s">
        <v>1138</v>
      </c>
      <c r="Q2368" t="s">
        <v>1319</v>
      </c>
      <c r="R2368" t="s">
        <v>1319</v>
      </c>
      <c r="S2368">
        <v>29</v>
      </c>
    </row>
    <row r="2369" spans="1:19" x14ac:dyDescent="0.25">
      <c r="A2369" t="s">
        <v>955</v>
      </c>
      <c r="B2369" t="s">
        <v>1319</v>
      </c>
      <c r="C2369">
        <v>4</v>
      </c>
      <c r="D2369" t="s">
        <v>12</v>
      </c>
      <c r="E2369" t="s">
        <v>1327</v>
      </c>
      <c r="F2369" t="s">
        <v>24</v>
      </c>
      <c r="G2369">
        <v>150</v>
      </c>
      <c r="H2369">
        <v>190</v>
      </c>
      <c r="I2369" t="b">
        <v>1</v>
      </c>
      <c r="J2369" t="s">
        <v>7</v>
      </c>
      <c r="K2369" t="s">
        <v>32</v>
      </c>
      <c r="L2369" t="s">
        <v>716</v>
      </c>
      <c r="M2369" t="s">
        <v>1138</v>
      </c>
      <c r="Q2369" t="s">
        <v>1319</v>
      </c>
      <c r="R2369" t="s">
        <v>1319</v>
      </c>
      <c r="S2369">
        <v>29</v>
      </c>
    </row>
    <row r="2370" spans="1:19" x14ac:dyDescent="0.25">
      <c r="A2370" t="s">
        <v>955</v>
      </c>
      <c r="B2370" t="s">
        <v>1319</v>
      </c>
      <c r="C2370">
        <v>5</v>
      </c>
      <c r="D2370" t="s">
        <v>12</v>
      </c>
      <c r="E2370" t="s">
        <v>1329</v>
      </c>
      <c r="F2370" t="s">
        <v>24</v>
      </c>
      <c r="G2370">
        <v>100</v>
      </c>
      <c r="H2370">
        <v>150</v>
      </c>
      <c r="I2370" t="b">
        <v>1</v>
      </c>
      <c r="J2370" t="s">
        <v>7</v>
      </c>
      <c r="K2370" t="s">
        <v>32</v>
      </c>
      <c r="L2370" t="s">
        <v>716</v>
      </c>
      <c r="M2370" t="s">
        <v>1138</v>
      </c>
      <c r="Q2370" t="s">
        <v>1319</v>
      </c>
      <c r="R2370" t="s">
        <v>1319</v>
      </c>
      <c r="S2370">
        <v>29</v>
      </c>
    </row>
    <row r="2371" spans="1:19" x14ac:dyDescent="0.25">
      <c r="A2371" t="s">
        <v>955</v>
      </c>
      <c r="B2371" t="s">
        <v>1346</v>
      </c>
      <c r="C2371">
        <v>2</v>
      </c>
      <c r="D2371" t="s">
        <v>11</v>
      </c>
      <c r="E2371" t="s">
        <v>961</v>
      </c>
      <c r="F2371" t="s">
        <v>24</v>
      </c>
      <c r="G2371">
        <v>45</v>
      </c>
      <c r="H2371">
        <v>55</v>
      </c>
      <c r="I2371" t="b">
        <v>1</v>
      </c>
      <c r="J2371" t="s">
        <v>0</v>
      </c>
      <c r="K2371" t="s">
        <v>32</v>
      </c>
      <c r="Q2371" t="s">
        <v>1346</v>
      </c>
      <c r="R2371" t="s">
        <v>1346</v>
      </c>
      <c r="S2371">
        <v>1</v>
      </c>
    </row>
    <row r="2372" spans="1:19" x14ac:dyDescent="0.25">
      <c r="A2372" t="s">
        <v>955</v>
      </c>
      <c r="B2372" t="s">
        <v>1346</v>
      </c>
      <c r="C2372">
        <v>3</v>
      </c>
      <c r="D2372" t="s">
        <v>11</v>
      </c>
      <c r="E2372" t="s">
        <v>995</v>
      </c>
      <c r="F2372" t="s">
        <v>25</v>
      </c>
      <c r="G2372">
        <v>40</v>
      </c>
      <c r="H2372">
        <v>45</v>
      </c>
      <c r="I2372" t="b">
        <v>1</v>
      </c>
      <c r="J2372" t="s">
        <v>0</v>
      </c>
      <c r="K2372" t="s">
        <v>32</v>
      </c>
      <c r="L2372" t="s">
        <v>716</v>
      </c>
      <c r="M2372" t="s">
        <v>1138</v>
      </c>
      <c r="Q2372" t="s">
        <v>1346</v>
      </c>
      <c r="R2372" t="s">
        <v>1346</v>
      </c>
      <c r="S2372">
        <v>1</v>
      </c>
    </row>
    <row r="2373" spans="1:19" x14ac:dyDescent="0.25">
      <c r="A2373" t="s">
        <v>955</v>
      </c>
      <c r="B2373" t="s">
        <v>1346</v>
      </c>
      <c r="C2373">
        <v>4</v>
      </c>
      <c r="D2373" t="s">
        <v>11</v>
      </c>
      <c r="E2373" t="s">
        <v>925</v>
      </c>
      <c r="F2373" t="s">
        <v>24</v>
      </c>
      <c r="G2373">
        <v>30</v>
      </c>
      <c r="H2373">
        <v>40</v>
      </c>
      <c r="I2373" t="b">
        <v>1</v>
      </c>
      <c r="J2373" t="s">
        <v>0</v>
      </c>
      <c r="K2373" t="s">
        <v>32</v>
      </c>
      <c r="L2373" t="s">
        <v>716</v>
      </c>
      <c r="M2373" t="s">
        <v>1138</v>
      </c>
      <c r="Q2373" t="s">
        <v>1346</v>
      </c>
      <c r="R2373" t="s">
        <v>1346</v>
      </c>
      <c r="S2373">
        <v>1</v>
      </c>
    </row>
    <row r="2374" spans="1:19" x14ac:dyDescent="0.25">
      <c r="A2374" t="s">
        <v>955</v>
      </c>
      <c r="B2374" t="s">
        <v>1346</v>
      </c>
      <c r="C2374">
        <v>5</v>
      </c>
      <c r="D2374" t="s">
        <v>11</v>
      </c>
      <c r="E2374" t="s">
        <v>954</v>
      </c>
      <c r="F2374" t="s">
        <v>25</v>
      </c>
      <c r="G2374">
        <v>20</v>
      </c>
      <c r="H2374">
        <v>25</v>
      </c>
      <c r="I2374" t="b">
        <v>1</v>
      </c>
      <c r="J2374" t="s">
        <v>0</v>
      </c>
      <c r="K2374" t="s">
        <v>32</v>
      </c>
      <c r="L2374" t="s">
        <v>716</v>
      </c>
      <c r="M2374" t="s">
        <v>1138</v>
      </c>
      <c r="Q2374" t="s">
        <v>1346</v>
      </c>
      <c r="R2374" t="s">
        <v>1346</v>
      </c>
      <c r="S2374">
        <v>1</v>
      </c>
    </row>
    <row r="2375" spans="1:19" x14ac:dyDescent="0.25">
      <c r="A2375" t="s">
        <v>955</v>
      </c>
      <c r="B2375" t="s">
        <v>1346</v>
      </c>
      <c r="C2375">
        <v>2</v>
      </c>
      <c r="D2375" t="s">
        <v>311</v>
      </c>
      <c r="E2375" t="s">
        <v>950</v>
      </c>
      <c r="F2375" t="s">
        <v>27</v>
      </c>
      <c r="G2375">
        <v>20</v>
      </c>
      <c r="H2375">
        <v>25</v>
      </c>
      <c r="I2375" t="b">
        <v>0</v>
      </c>
      <c r="J2375" t="s">
        <v>1258</v>
      </c>
      <c r="K2375" t="s">
        <v>32</v>
      </c>
      <c r="Q2375" t="s">
        <v>1346</v>
      </c>
      <c r="R2375" t="s">
        <v>1346</v>
      </c>
      <c r="S2375">
        <v>2</v>
      </c>
    </row>
    <row r="2376" spans="1:19" x14ac:dyDescent="0.25">
      <c r="A2376" t="s">
        <v>955</v>
      </c>
      <c r="B2376" t="s">
        <v>1346</v>
      </c>
      <c r="C2376">
        <v>3</v>
      </c>
      <c r="D2376" t="s">
        <v>311</v>
      </c>
      <c r="E2376" t="s">
        <v>960</v>
      </c>
      <c r="F2376" t="s">
        <v>26</v>
      </c>
      <c r="G2376">
        <v>25</v>
      </c>
      <c r="H2376">
        <v>35</v>
      </c>
      <c r="I2376" t="b">
        <v>0</v>
      </c>
      <c r="J2376" t="s">
        <v>1258</v>
      </c>
      <c r="K2376" t="s">
        <v>32</v>
      </c>
      <c r="L2376" t="s">
        <v>716</v>
      </c>
      <c r="M2376" t="s">
        <v>1138</v>
      </c>
      <c r="Q2376" t="s">
        <v>1346</v>
      </c>
      <c r="R2376" t="s">
        <v>1346</v>
      </c>
      <c r="S2376">
        <v>2</v>
      </c>
    </row>
    <row r="2377" spans="1:19" x14ac:dyDescent="0.25">
      <c r="A2377" t="s">
        <v>955</v>
      </c>
      <c r="B2377" t="s">
        <v>1346</v>
      </c>
      <c r="C2377">
        <v>4</v>
      </c>
      <c r="D2377" t="s">
        <v>311</v>
      </c>
      <c r="E2377" t="s">
        <v>928</v>
      </c>
      <c r="F2377" t="s">
        <v>26</v>
      </c>
      <c r="G2377">
        <v>40</v>
      </c>
      <c r="H2377">
        <v>50</v>
      </c>
      <c r="I2377" t="b">
        <v>0</v>
      </c>
      <c r="J2377" t="s">
        <v>1258</v>
      </c>
      <c r="K2377" t="s">
        <v>32</v>
      </c>
      <c r="L2377" t="s">
        <v>716</v>
      </c>
      <c r="M2377" t="s">
        <v>1138</v>
      </c>
      <c r="Q2377" t="s">
        <v>1346</v>
      </c>
      <c r="R2377" t="s">
        <v>1346</v>
      </c>
      <c r="S2377">
        <v>2</v>
      </c>
    </row>
    <row r="2378" spans="1:19" x14ac:dyDescent="0.25">
      <c r="A2378" t="s">
        <v>955</v>
      </c>
      <c r="B2378" t="s">
        <v>1346</v>
      </c>
      <c r="C2378">
        <v>2</v>
      </c>
      <c r="D2378" t="s">
        <v>921</v>
      </c>
      <c r="E2378" t="s">
        <v>932</v>
      </c>
      <c r="F2378" t="s">
        <v>25</v>
      </c>
      <c r="G2378">
        <v>25</v>
      </c>
      <c r="H2378">
        <v>30</v>
      </c>
      <c r="I2378" t="b">
        <v>1</v>
      </c>
      <c r="J2378" t="s">
        <v>1402</v>
      </c>
      <c r="K2378" t="s">
        <v>32</v>
      </c>
      <c r="Q2378" t="s">
        <v>1346</v>
      </c>
      <c r="R2378" t="s">
        <v>1346</v>
      </c>
      <c r="S2378">
        <v>5</v>
      </c>
    </row>
    <row r="2379" spans="1:19" x14ac:dyDescent="0.25">
      <c r="A2379" t="s">
        <v>955</v>
      </c>
      <c r="B2379" t="s">
        <v>1346</v>
      </c>
      <c r="C2379">
        <v>3</v>
      </c>
      <c r="D2379" t="s">
        <v>921</v>
      </c>
      <c r="E2379" t="s">
        <v>954</v>
      </c>
      <c r="F2379" t="s">
        <v>25</v>
      </c>
      <c r="G2379">
        <v>20</v>
      </c>
      <c r="H2379">
        <v>25</v>
      </c>
      <c r="I2379" t="b">
        <v>1</v>
      </c>
      <c r="J2379" t="s">
        <v>1402</v>
      </c>
      <c r="K2379" t="s">
        <v>32</v>
      </c>
      <c r="L2379" t="s">
        <v>716</v>
      </c>
      <c r="M2379" t="s">
        <v>1138</v>
      </c>
      <c r="Q2379" t="s">
        <v>1346</v>
      </c>
      <c r="R2379" t="s">
        <v>1346</v>
      </c>
      <c r="S2379">
        <v>5</v>
      </c>
    </row>
    <row r="2380" spans="1:19" x14ac:dyDescent="0.25">
      <c r="A2380" t="s">
        <v>955</v>
      </c>
      <c r="B2380" t="s">
        <v>1346</v>
      </c>
      <c r="C2380">
        <v>2</v>
      </c>
      <c r="D2380" t="s">
        <v>903</v>
      </c>
      <c r="E2380" t="s">
        <v>989</v>
      </c>
      <c r="F2380" t="s">
        <v>25</v>
      </c>
      <c r="G2380">
        <v>4</v>
      </c>
      <c r="H2380">
        <v>7</v>
      </c>
      <c r="I2380" t="b">
        <v>1</v>
      </c>
      <c r="J2380" t="s">
        <v>1399</v>
      </c>
      <c r="K2380" t="s">
        <v>32</v>
      </c>
      <c r="Q2380" t="s">
        <v>1346</v>
      </c>
      <c r="R2380" t="s">
        <v>1346</v>
      </c>
      <c r="S2380">
        <v>8</v>
      </c>
    </row>
    <row r="2381" spans="1:19" x14ac:dyDescent="0.25">
      <c r="A2381" t="s">
        <v>955</v>
      </c>
      <c r="B2381" t="s">
        <v>1346</v>
      </c>
      <c r="C2381">
        <v>3</v>
      </c>
      <c r="D2381" t="s">
        <v>903</v>
      </c>
      <c r="E2381" t="s">
        <v>924</v>
      </c>
      <c r="F2381" t="s">
        <v>25</v>
      </c>
      <c r="G2381">
        <v>1</v>
      </c>
      <c r="H2381">
        <v>4</v>
      </c>
      <c r="I2381" t="b">
        <v>1</v>
      </c>
      <c r="J2381" t="s">
        <v>1399</v>
      </c>
      <c r="K2381" t="s">
        <v>32</v>
      </c>
      <c r="Q2381" t="s">
        <v>1346</v>
      </c>
      <c r="R2381" t="s">
        <v>1346</v>
      </c>
      <c r="S2381">
        <v>8</v>
      </c>
    </row>
    <row r="2382" spans="1:19" x14ac:dyDescent="0.25">
      <c r="A2382" t="s">
        <v>955</v>
      </c>
      <c r="B2382" t="s">
        <v>1346</v>
      </c>
      <c r="C2382">
        <v>2</v>
      </c>
      <c r="D2382" t="s">
        <v>957</v>
      </c>
      <c r="E2382" t="s">
        <v>942</v>
      </c>
      <c r="F2382" t="s">
        <v>25</v>
      </c>
      <c r="G2382">
        <v>3</v>
      </c>
      <c r="H2382">
        <v>8</v>
      </c>
      <c r="I2382" t="b">
        <v>1</v>
      </c>
      <c r="J2382" t="s">
        <v>1423</v>
      </c>
      <c r="K2382" t="s">
        <v>32</v>
      </c>
      <c r="Q2382" t="s">
        <v>1346</v>
      </c>
      <c r="R2382" t="s">
        <v>1346</v>
      </c>
      <c r="S2382">
        <v>9</v>
      </c>
    </row>
    <row r="2383" spans="1:19" x14ac:dyDescent="0.25">
      <c r="A2383" t="s">
        <v>955</v>
      </c>
      <c r="B2383" t="s">
        <v>1346</v>
      </c>
      <c r="C2383">
        <v>3</v>
      </c>
      <c r="D2383" t="s">
        <v>957</v>
      </c>
      <c r="E2383" t="s">
        <v>1099</v>
      </c>
      <c r="F2383" t="s">
        <v>25</v>
      </c>
      <c r="G2383">
        <v>1</v>
      </c>
      <c r="H2383">
        <v>2</v>
      </c>
      <c r="I2383" t="b">
        <v>1</v>
      </c>
      <c r="J2383" t="s">
        <v>1423</v>
      </c>
      <c r="K2383" t="s">
        <v>32</v>
      </c>
      <c r="Q2383" t="s">
        <v>1346</v>
      </c>
      <c r="R2383" t="s">
        <v>1346</v>
      </c>
      <c r="S2383">
        <v>9</v>
      </c>
    </row>
    <row r="2384" spans="1:19" x14ac:dyDescent="0.25">
      <c r="A2384" t="s">
        <v>955</v>
      </c>
      <c r="B2384" t="s">
        <v>1346</v>
      </c>
      <c r="C2384">
        <v>2</v>
      </c>
      <c r="D2384" t="s">
        <v>914</v>
      </c>
      <c r="E2384" t="s">
        <v>1262</v>
      </c>
      <c r="F2384" t="s">
        <v>27</v>
      </c>
      <c r="G2384">
        <v>35</v>
      </c>
      <c r="H2384">
        <v>40</v>
      </c>
      <c r="I2384" t="b">
        <v>0</v>
      </c>
      <c r="J2384" t="s">
        <v>1405</v>
      </c>
      <c r="K2384" t="s">
        <v>32</v>
      </c>
      <c r="Q2384" t="s">
        <v>1346</v>
      </c>
      <c r="R2384" t="s">
        <v>1346</v>
      </c>
      <c r="S2384">
        <v>10</v>
      </c>
    </row>
    <row r="2385" spans="1:19" x14ac:dyDescent="0.25">
      <c r="A2385" t="s">
        <v>955</v>
      </c>
      <c r="B2385" t="s">
        <v>1346</v>
      </c>
      <c r="C2385">
        <v>3</v>
      </c>
      <c r="D2385" t="s">
        <v>914</v>
      </c>
      <c r="E2385" t="s">
        <v>936</v>
      </c>
      <c r="F2385" t="s">
        <v>26</v>
      </c>
      <c r="G2385">
        <v>45</v>
      </c>
      <c r="H2385">
        <v>55</v>
      </c>
      <c r="I2385" t="b">
        <v>0</v>
      </c>
      <c r="J2385" t="s">
        <v>1405</v>
      </c>
      <c r="K2385" t="s">
        <v>32</v>
      </c>
      <c r="Q2385" t="s">
        <v>1346</v>
      </c>
      <c r="R2385" t="s">
        <v>1346</v>
      </c>
      <c r="S2385">
        <v>10</v>
      </c>
    </row>
    <row r="2386" spans="1:19" x14ac:dyDescent="0.25">
      <c r="A2386" t="s">
        <v>955</v>
      </c>
      <c r="B2386" t="s">
        <v>1346</v>
      </c>
      <c r="C2386">
        <v>4</v>
      </c>
      <c r="D2386" t="s">
        <v>914</v>
      </c>
      <c r="E2386" t="s">
        <v>913</v>
      </c>
      <c r="F2386" t="s">
        <v>26</v>
      </c>
      <c r="G2386">
        <v>60</v>
      </c>
      <c r="H2386">
        <v>70</v>
      </c>
      <c r="I2386" t="b">
        <v>0</v>
      </c>
      <c r="J2386" t="s">
        <v>1405</v>
      </c>
      <c r="K2386" t="s">
        <v>32</v>
      </c>
      <c r="Q2386" t="s">
        <v>1346</v>
      </c>
      <c r="R2386" t="s">
        <v>1346</v>
      </c>
      <c r="S2386">
        <v>10</v>
      </c>
    </row>
    <row r="2387" spans="1:19" x14ac:dyDescent="0.25">
      <c r="A2387" t="s">
        <v>955</v>
      </c>
      <c r="B2387" t="s">
        <v>1346</v>
      </c>
      <c r="C2387">
        <v>2</v>
      </c>
      <c r="D2387" t="s">
        <v>407</v>
      </c>
      <c r="E2387" t="s">
        <v>1255</v>
      </c>
      <c r="F2387" t="s">
        <v>27</v>
      </c>
      <c r="G2387">
        <v>0</v>
      </c>
      <c r="H2387">
        <v>3</v>
      </c>
      <c r="I2387" t="b">
        <v>0</v>
      </c>
      <c r="J2387" t="s">
        <v>1407</v>
      </c>
      <c r="K2387" t="s">
        <v>32</v>
      </c>
      <c r="Q2387" t="s">
        <v>1346</v>
      </c>
      <c r="R2387" t="s">
        <v>1346</v>
      </c>
      <c r="S2387">
        <v>12</v>
      </c>
    </row>
    <row r="2388" spans="1:19" x14ac:dyDescent="0.25">
      <c r="A2388" t="s">
        <v>955</v>
      </c>
      <c r="B2388" t="s">
        <v>1346</v>
      </c>
      <c r="C2388">
        <v>3</v>
      </c>
      <c r="D2388" t="s">
        <v>407</v>
      </c>
      <c r="E2388" t="s">
        <v>1302</v>
      </c>
      <c r="F2388" t="s">
        <v>27</v>
      </c>
      <c r="G2388">
        <v>3</v>
      </c>
      <c r="H2388">
        <v>8</v>
      </c>
      <c r="I2388" t="b">
        <v>0</v>
      </c>
      <c r="J2388" t="s">
        <v>1407</v>
      </c>
      <c r="K2388" t="s">
        <v>32</v>
      </c>
      <c r="Q2388" t="s">
        <v>1346</v>
      </c>
      <c r="R2388" t="s">
        <v>1346</v>
      </c>
      <c r="S2388">
        <v>12</v>
      </c>
    </row>
    <row r="2389" spans="1:19" x14ac:dyDescent="0.25">
      <c r="A2389" t="s">
        <v>955</v>
      </c>
      <c r="B2389" t="s">
        <v>1346</v>
      </c>
      <c r="C2389">
        <v>4</v>
      </c>
      <c r="D2389" t="s">
        <v>407</v>
      </c>
      <c r="E2389" t="s">
        <v>971</v>
      </c>
      <c r="F2389" t="s">
        <v>26</v>
      </c>
      <c r="G2389">
        <v>15</v>
      </c>
      <c r="H2389">
        <v>25</v>
      </c>
      <c r="I2389" t="b">
        <v>0</v>
      </c>
      <c r="J2389" t="s">
        <v>1407</v>
      </c>
      <c r="K2389" t="s">
        <v>32</v>
      </c>
      <c r="Q2389" t="s">
        <v>1346</v>
      </c>
      <c r="R2389" t="s">
        <v>1346</v>
      </c>
      <c r="S2389">
        <v>12</v>
      </c>
    </row>
    <row r="2390" spans="1:19" x14ac:dyDescent="0.25">
      <c r="A2390" t="s">
        <v>955</v>
      </c>
      <c r="B2390" t="s">
        <v>1346</v>
      </c>
      <c r="C2390">
        <v>5</v>
      </c>
      <c r="D2390" t="s">
        <v>407</v>
      </c>
      <c r="E2390" t="s">
        <v>1311</v>
      </c>
      <c r="F2390" t="s">
        <v>27</v>
      </c>
      <c r="G2390">
        <v>25</v>
      </c>
      <c r="H2390">
        <v>30</v>
      </c>
      <c r="I2390" t="b">
        <v>0</v>
      </c>
      <c r="J2390" t="s">
        <v>1407</v>
      </c>
      <c r="K2390" t="s">
        <v>32</v>
      </c>
      <c r="L2390" t="s">
        <v>716</v>
      </c>
      <c r="M2390" t="s">
        <v>1138</v>
      </c>
      <c r="Q2390" t="s">
        <v>1346</v>
      </c>
      <c r="R2390" t="s">
        <v>1346</v>
      </c>
      <c r="S2390">
        <v>12</v>
      </c>
    </row>
    <row r="2391" spans="1:19" x14ac:dyDescent="0.25">
      <c r="A2391" t="s">
        <v>955</v>
      </c>
      <c r="B2391" t="s">
        <v>1346</v>
      </c>
      <c r="C2391">
        <v>2</v>
      </c>
      <c r="D2391" t="s">
        <v>1326</v>
      </c>
      <c r="E2391" t="s">
        <v>1239</v>
      </c>
      <c r="F2391" t="s">
        <v>27</v>
      </c>
      <c r="G2391">
        <v>0</v>
      </c>
      <c r="H2391">
        <v>1</v>
      </c>
      <c r="I2391" t="b">
        <v>0</v>
      </c>
      <c r="J2391" t="s">
        <v>1432</v>
      </c>
      <c r="K2391" t="s">
        <v>32</v>
      </c>
      <c r="Q2391" t="s">
        <v>1346</v>
      </c>
      <c r="R2391" t="s">
        <v>1346</v>
      </c>
      <c r="S2391">
        <v>13</v>
      </c>
    </row>
    <row r="2392" spans="1:19" x14ac:dyDescent="0.25">
      <c r="A2392" t="s">
        <v>955</v>
      </c>
      <c r="B2392" t="s">
        <v>1346</v>
      </c>
      <c r="C2392">
        <v>2</v>
      </c>
      <c r="D2392" t="s">
        <v>908</v>
      </c>
      <c r="E2392" t="s">
        <v>956</v>
      </c>
      <c r="F2392" t="s">
        <v>25</v>
      </c>
      <c r="G2392">
        <v>5</v>
      </c>
      <c r="H2392">
        <v>8</v>
      </c>
      <c r="I2392" t="b">
        <v>1</v>
      </c>
      <c r="J2392" t="s">
        <v>1401</v>
      </c>
      <c r="K2392" t="s">
        <v>32</v>
      </c>
      <c r="Q2392" t="s">
        <v>1346</v>
      </c>
      <c r="R2392" t="s">
        <v>1346</v>
      </c>
      <c r="S2392">
        <v>15</v>
      </c>
    </row>
    <row r="2393" spans="1:19" x14ac:dyDescent="0.25">
      <c r="A2393" t="s">
        <v>955</v>
      </c>
      <c r="B2393" t="s">
        <v>1346</v>
      </c>
      <c r="C2393">
        <v>3</v>
      </c>
      <c r="D2393" t="s">
        <v>908</v>
      </c>
      <c r="E2393" t="s">
        <v>1313</v>
      </c>
      <c r="F2393" t="s">
        <v>25</v>
      </c>
      <c r="G2393">
        <v>0</v>
      </c>
      <c r="H2393">
        <v>5</v>
      </c>
      <c r="I2393" t="b">
        <v>1</v>
      </c>
      <c r="J2393" t="s">
        <v>1401</v>
      </c>
      <c r="K2393" t="s">
        <v>32</v>
      </c>
      <c r="Q2393" t="s">
        <v>1346</v>
      </c>
      <c r="R2393" t="s">
        <v>1346</v>
      </c>
      <c r="S2393">
        <v>15</v>
      </c>
    </row>
    <row r="2394" spans="1:19" x14ac:dyDescent="0.25">
      <c r="A2394" t="s">
        <v>955</v>
      </c>
      <c r="B2394" t="s">
        <v>1346</v>
      </c>
      <c r="C2394">
        <v>2</v>
      </c>
      <c r="D2394" t="s">
        <v>911</v>
      </c>
      <c r="E2394" t="s">
        <v>912</v>
      </c>
      <c r="F2394" t="s">
        <v>25</v>
      </c>
      <c r="G2394">
        <v>2</v>
      </c>
      <c r="H2394">
        <v>5</v>
      </c>
      <c r="I2394" t="b">
        <v>1</v>
      </c>
      <c r="J2394" t="s">
        <v>1404</v>
      </c>
      <c r="K2394" t="s">
        <v>32</v>
      </c>
      <c r="Q2394" t="s">
        <v>1346</v>
      </c>
      <c r="R2394" t="s">
        <v>1346</v>
      </c>
      <c r="S2394">
        <v>16</v>
      </c>
    </row>
    <row r="2395" spans="1:19" x14ac:dyDescent="0.25">
      <c r="A2395" t="s">
        <v>955</v>
      </c>
      <c r="B2395" t="s">
        <v>1346</v>
      </c>
      <c r="C2395">
        <v>3</v>
      </c>
      <c r="D2395" t="s">
        <v>911</v>
      </c>
      <c r="E2395" t="s">
        <v>725</v>
      </c>
      <c r="F2395" t="s">
        <v>25</v>
      </c>
      <c r="G2395">
        <v>0</v>
      </c>
      <c r="H2395">
        <v>1</v>
      </c>
      <c r="I2395" t="b">
        <v>1</v>
      </c>
      <c r="J2395" t="s">
        <v>1404</v>
      </c>
      <c r="K2395" t="s">
        <v>32</v>
      </c>
      <c r="Q2395" t="s">
        <v>1346</v>
      </c>
      <c r="R2395" t="s">
        <v>1346</v>
      </c>
      <c r="S2395">
        <v>16</v>
      </c>
    </row>
    <row r="2396" spans="1:19" x14ac:dyDescent="0.25">
      <c r="A2396" t="s">
        <v>955</v>
      </c>
      <c r="B2396" t="s">
        <v>1346</v>
      </c>
      <c r="C2396">
        <v>2</v>
      </c>
      <c r="D2396" t="s">
        <v>906</v>
      </c>
      <c r="E2396" t="s">
        <v>907</v>
      </c>
      <c r="F2396" t="s">
        <v>25</v>
      </c>
      <c r="G2396">
        <v>4</v>
      </c>
      <c r="H2396">
        <v>9</v>
      </c>
      <c r="I2396" t="b">
        <v>1</v>
      </c>
      <c r="J2396" t="s">
        <v>1400</v>
      </c>
      <c r="K2396" t="s">
        <v>32</v>
      </c>
      <c r="Q2396" t="s">
        <v>1346</v>
      </c>
      <c r="R2396" t="s">
        <v>1346</v>
      </c>
      <c r="S2396">
        <v>17</v>
      </c>
    </row>
    <row r="2397" spans="1:19" x14ac:dyDescent="0.25">
      <c r="A2397" t="s">
        <v>955</v>
      </c>
      <c r="B2397" t="s">
        <v>1346</v>
      </c>
      <c r="C2397">
        <v>3</v>
      </c>
      <c r="D2397" t="s">
        <v>906</v>
      </c>
      <c r="E2397" t="s">
        <v>924</v>
      </c>
      <c r="F2397" t="s">
        <v>25</v>
      </c>
      <c r="G2397">
        <v>1</v>
      </c>
      <c r="H2397">
        <v>4</v>
      </c>
      <c r="I2397" t="b">
        <v>1</v>
      </c>
      <c r="J2397" t="s">
        <v>1400</v>
      </c>
      <c r="K2397" t="s">
        <v>32</v>
      </c>
      <c r="Q2397" t="s">
        <v>1346</v>
      </c>
      <c r="R2397" t="s">
        <v>1346</v>
      </c>
      <c r="S2397">
        <v>17</v>
      </c>
    </row>
    <row r="2398" spans="1:19" x14ac:dyDescent="0.25">
      <c r="A2398" t="s">
        <v>955</v>
      </c>
      <c r="B2398" t="s">
        <v>1346</v>
      </c>
      <c r="C2398">
        <v>2</v>
      </c>
      <c r="D2398" t="s">
        <v>909</v>
      </c>
      <c r="E2398" t="s">
        <v>912</v>
      </c>
      <c r="F2398" t="s">
        <v>25</v>
      </c>
      <c r="G2398">
        <v>2</v>
      </c>
      <c r="H2398">
        <v>5</v>
      </c>
      <c r="I2398" t="b">
        <v>1</v>
      </c>
      <c r="J2398" t="s">
        <v>1403</v>
      </c>
      <c r="K2398" t="s">
        <v>32</v>
      </c>
      <c r="Q2398" t="s">
        <v>1346</v>
      </c>
      <c r="R2398" t="s">
        <v>1346</v>
      </c>
      <c r="S2398">
        <v>18</v>
      </c>
    </row>
    <row r="2399" spans="1:19" x14ac:dyDescent="0.25">
      <c r="A2399" t="s">
        <v>955</v>
      </c>
      <c r="B2399" t="s">
        <v>1346</v>
      </c>
      <c r="C2399">
        <v>3</v>
      </c>
      <c r="D2399" t="s">
        <v>909</v>
      </c>
      <c r="E2399" t="s">
        <v>725</v>
      </c>
      <c r="F2399" t="s">
        <v>25</v>
      </c>
      <c r="G2399">
        <v>0</v>
      </c>
      <c r="H2399">
        <v>1</v>
      </c>
      <c r="I2399" t="b">
        <v>1</v>
      </c>
      <c r="J2399" t="s">
        <v>1403</v>
      </c>
      <c r="K2399" t="s">
        <v>32</v>
      </c>
      <c r="Q2399" t="s">
        <v>1346</v>
      </c>
      <c r="R2399" t="s">
        <v>1346</v>
      </c>
      <c r="S2399">
        <v>18</v>
      </c>
    </row>
    <row r="2400" spans="1:19" x14ac:dyDescent="0.25">
      <c r="A2400" t="s">
        <v>955</v>
      </c>
      <c r="B2400" t="s">
        <v>1346</v>
      </c>
      <c r="C2400">
        <v>2</v>
      </c>
      <c r="D2400" t="s">
        <v>1331</v>
      </c>
      <c r="E2400" t="s">
        <v>932</v>
      </c>
      <c r="F2400" t="s">
        <v>25</v>
      </c>
      <c r="G2400">
        <v>25</v>
      </c>
      <c r="H2400">
        <v>30</v>
      </c>
      <c r="I2400" t="b">
        <v>1</v>
      </c>
      <c r="J2400" t="s">
        <v>1332</v>
      </c>
      <c r="K2400" t="s">
        <v>32</v>
      </c>
      <c r="Q2400" t="s">
        <v>1346</v>
      </c>
      <c r="R2400" t="s">
        <v>1346</v>
      </c>
      <c r="S2400">
        <v>19</v>
      </c>
    </row>
    <row r="2401" spans="1:19" x14ac:dyDescent="0.25">
      <c r="A2401" t="s">
        <v>955</v>
      </c>
      <c r="B2401" t="s">
        <v>1346</v>
      </c>
      <c r="C2401">
        <v>3</v>
      </c>
      <c r="D2401" t="s">
        <v>1331</v>
      </c>
      <c r="E2401" t="s">
        <v>954</v>
      </c>
      <c r="F2401" t="s">
        <v>25</v>
      </c>
      <c r="G2401">
        <v>20</v>
      </c>
      <c r="H2401">
        <v>25</v>
      </c>
      <c r="I2401" t="b">
        <v>1</v>
      </c>
      <c r="J2401" t="s">
        <v>1332</v>
      </c>
      <c r="K2401" t="s">
        <v>32</v>
      </c>
      <c r="Q2401" t="s">
        <v>1346</v>
      </c>
      <c r="R2401" t="s">
        <v>1346</v>
      </c>
      <c r="S2401">
        <v>19</v>
      </c>
    </row>
    <row r="2402" spans="1:19" x14ac:dyDescent="0.25">
      <c r="A2402" t="s">
        <v>955</v>
      </c>
      <c r="B2402" t="s">
        <v>1346</v>
      </c>
      <c r="C2402">
        <v>4</v>
      </c>
      <c r="D2402" t="s">
        <v>1331</v>
      </c>
      <c r="E2402" t="s">
        <v>946</v>
      </c>
      <c r="F2402" t="s">
        <v>24</v>
      </c>
      <c r="G2402">
        <v>10</v>
      </c>
      <c r="H2402">
        <v>20</v>
      </c>
      <c r="I2402" t="b">
        <v>1</v>
      </c>
      <c r="J2402" t="s">
        <v>1332</v>
      </c>
      <c r="K2402" t="s">
        <v>32</v>
      </c>
      <c r="Q2402" t="s">
        <v>1346</v>
      </c>
      <c r="R2402" t="s">
        <v>1346</v>
      </c>
      <c r="S2402">
        <v>19</v>
      </c>
    </row>
    <row r="2403" spans="1:19" x14ac:dyDescent="0.25">
      <c r="A2403" t="s">
        <v>955</v>
      </c>
      <c r="B2403" t="s">
        <v>1346</v>
      </c>
      <c r="C2403">
        <v>4</v>
      </c>
      <c r="D2403" t="s">
        <v>148</v>
      </c>
      <c r="E2403" t="s">
        <v>725</v>
      </c>
      <c r="F2403" t="s">
        <v>25</v>
      </c>
      <c r="G2403">
        <v>0</v>
      </c>
      <c r="H2403">
        <v>1</v>
      </c>
      <c r="I2403" t="b">
        <v>1</v>
      </c>
      <c r="J2403" t="s">
        <v>1339</v>
      </c>
      <c r="K2403" t="s">
        <v>32</v>
      </c>
      <c r="L2403" t="s">
        <v>716</v>
      </c>
      <c r="M2403" t="s">
        <v>1138</v>
      </c>
      <c r="Q2403" t="s">
        <v>1346</v>
      </c>
      <c r="R2403" t="s">
        <v>1346</v>
      </c>
      <c r="S2403">
        <v>23</v>
      </c>
    </row>
    <row r="2404" spans="1:19" x14ac:dyDescent="0.25">
      <c r="A2404" t="s">
        <v>955</v>
      </c>
      <c r="B2404" t="s">
        <v>1346</v>
      </c>
      <c r="C2404">
        <v>4</v>
      </c>
      <c r="D2404" t="s">
        <v>1336</v>
      </c>
      <c r="E2404" t="s">
        <v>1347</v>
      </c>
      <c r="F2404" t="s">
        <v>25</v>
      </c>
      <c r="G2404">
        <v>1.5</v>
      </c>
      <c r="H2404">
        <v>3</v>
      </c>
      <c r="I2404" t="b">
        <v>1</v>
      </c>
      <c r="J2404" t="s">
        <v>1338</v>
      </c>
      <c r="K2404" t="s">
        <v>32</v>
      </c>
      <c r="Q2404" t="s">
        <v>1346</v>
      </c>
      <c r="R2404" t="s">
        <v>1346</v>
      </c>
      <c r="S2404">
        <v>25</v>
      </c>
    </row>
    <row r="2405" spans="1:19" x14ac:dyDescent="0.25">
      <c r="A2405" t="s">
        <v>955</v>
      </c>
      <c r="B2405" t="s">
        <v>1346</v>
      </c>
      <c r="C2405">
        <v>2</v>
      </c>
      <c r="D2405" t="s">
        <v>1376</v>
      </c>
      <c r="E2405" t="s">
        <v>925</v>
      </c>
      <c r="F2405" t="s">
        <v>24</v>
      </c>
      <c r="G2405">
        <v>30</v>
      </c>
      <c r="H2405">
        <v>40</v>
      </c>
      <c r="I2405" t="b">
        <v>1</v>
      </c>
      <c r="J2405" t="s">
        <v>1430</v>
      </c>
      <c r="K2405" t="s">
        <v>32</v>
      </c>
      <c r="Q2405" t="s">
        <v>1346</v>
      </c>
      <c r="R2405" t="s">
        <v>1346</v>
      </c>
      <c r="S2405">
        <v>28</v>
      </c>
    </row>
    <row r="2406" spans="1:19" x14ac:dyDescent="0.25">
      <c r="A2406" t="s">
        <v>955</v>
      </c>
      <c r="B2406" t="s">
        <v>1346</v>
      </c>
      <c r="C2406">
        <v>3</v>
      </c>
      <c r="D2406" t="s">
        <v>1376</v>
      </c>
      <c r="E2406" t="s">
        <v>922</v>
      </c>
      <c r="F2406" t="s">
        <v>24</v>
      </c>
      <c r="G2406">
        <v>20</v>
      </c>
      <c r="H2406">
        <v>30</v>
      </c>
      <c r="I2406" t="b">
        <v>1</v>
      </c>
      <c r="J2406" t="s">
        <v>1430</v>
      </c>
      <c r="K2406" t="s">
        <v>32</v>
      </c>
      <c r="L2406" t="s">
        <v>716</v>
      </c>
      <c r="M2406" t="s">
        <v>1138</v>
      </c>
      <c r="Q2406" t="s">
        <v>1346</v>
      </c>
      <c r="R2406" t="s">
        <v>1346</v>
      </c>
      <c r="S2406">
        <v>28</v>
      </c>
    </row>
    <row r="2407" spans="1:19" x14ac:dyDescent="0.25">
      <c r="A2407" t="s">
        <v>955</v>
      </c>
      <c r="B2407" t="s">
        <v>1346</v>
      </c>
      <c r="C2407">
        <v>4</v>
      </c>
      <c r="D2407" t="s">
        <v>1376</v>
      </c>
      <c r="E2407" t="s">
        <v>946</v>
      </c>
      <c r="F2407" t="s">
        <v>24</v>
      </c>
      <c r="G2407">
        <v>10</v>
      </c>
      <c r="H2407">
        <v>20</v>
      </c>
      <c r="I2407" t="b">
        <v>1</v>
      </c>
      <c r="J2407" t="s">
        <v>1430</v>
      </c>
      <c r="K2407" t="s">
        <v>32</v>
      </c>
      <c r="L2407" t="s">
        <v>716</v>
      </c>
      <c r="M2407" t="s">
        <v>1138</v>
      </c>
      <c r="Q2407" t="s">
        <v>1346</v>
      </c>
      <c r="R2407" t="s">
        <v>1346</v>
      </c>
      <c r="S2407">
        <v>28</v>
      </c>
    </row>
    <row r="2408" spans="1:19" x14ac:dyDescent="0.25">
      <c r="A2408" t="s">
        <v>955</v>
      </c>
      <c r="B2408" t="s">
        <v>1346</v>
      </c>
      <c r="C2408">
        <v>5</v>
      </c>
      <c r="D2408" t="s">
        <v>1376</v>
      </c>
      <c r="E2408" t="s">
        <v>1348</v>
      </c>
      <c r="F2408" t="s">
        <v>25</v>
      </c>
      <c r="G2408">
        <v>0</v>
      </c>
      <c r="H2408">
        <v>7</v>
      </c>
      <c r="I2408" t="b">
        <v>1</v>
      </c>
      <c r="J2408" t="s">
        <v>1430</v>
      </c>
      <c r="K2408" t="s">
        <v>32</v>
      </c>
      <c r="L2408" t="s">
        <v>716</v>
      </c>
      <c r="M2408" t="s">
        <v>1138</v>
      </c>
      <c r="Q2408" t="s">
        <v>1346</v>
      </c>
      <c r="R2408" t="s">
        <v>1346</v>
      </c>
      <c r="S2408">
        <v>28</v>
      </c>
    </row>
    <row r="2409" spans="1:19" x14ac:dyDescent="0.25">
      <c r="A2409" t="s">
        <v>969</v>
      </c>
      <c r="B2409" t="s">
        <v>970</v>
      </c>
      <c r="C2409">
        <v>2</v>
      </c>
      <c r="D2409" t="s">
        <v>1336</v>
      </c>
      <c r="E2409" t="s">
        <v>905</v>
      </c>
      <c r="F2409" t="s">
        <v>25</v>
      </c>
      <c r="G2409">
        <v>3</v>
      </c>
      <c r="H2409">
        <v>4</v>
      </c>
      <c r="I2409" t="b">
        <v>1</v>
      </c>
      <c r="J2409" t="s">
        <v>1338</v>
      </c>
      <c r="K2409" t="s">
        <v>32</v>
      </c>
      <c r="Q2409" t="s">
        <v>970</v>
      </c>
      <c r="R2409" t="s">
        <v>970</v>
      </c>
      <c r="S2409">
        <v>25</v>
      </c>
    </row>
    <row r="2410" spans="1:19" x14ac:dyDescent="0.25">
      <c r="A2410" t="s">
        <v>969</v>
      </c>
      <c r="B2410" t="s">
        <v>970</v>
      </c>
      <c r="C2410">
        <v>2</v>
      </c>
      <c r="D2410" t="s">
        <v>903</v>
      </c>
      <c r="E2410" t="s">
        <v>907</v>
      </c>
      <c r="F2410" t="s">
        <v>25</v>
      </c>
      <c r="G2410">
        <v>4</v>
      </c>
      <c r="H2410">
        <v>9</v>
      </c>
      <c r="I2410" t="b">
        <v>1</v>
      </c>
      <c r="J2410" t="s">
        <v>1399</v>
      </c>
      <c r="K2410" t="s">
        <v>32</v>
      </c>
      <c r="Q2410" t="s">
        <v>970</v>
      </c>
      <c r="R2410" t="s">
        <v>970</v>
      </c>
      <c r="S2410">
        <v>8</v>
      </c>
    </row>
    <row r="2411" spans="1:19" x14ac:dyDescent="0.25">
      <c r="A2411" t="s">
        <v>969</v>
      </c>
      <c r="B2411" t="s">
        <v>970</v>
      </c>
      <c r="C2411">
        <v>2</v>
      </c>
      <c r="D2411" t="s">
        <v>1331</v>
      </c>
      <c r="E2411" t="s">
        <v>932</v>
      </c>
      <c r="F2411" t="s">
        <v>25</v>
      </c>
      <c r="G2411">
        <v>25</v>
      </c>
      <c r="H2411">
        <v>30</v>
      </c>
      <c r="I2411" t="b">
        <v>1</v>
      </c>
      <c r="J2411" t="s">
        <v>1332</v>
      </c>
      <c r="K2411" t="s">
        <v>32</v>
      </c>
      <c r="L2411" t="s">
        <v>716</v>
      </c>
      <c r="Q2411" t="s">
        <v>970</v>
      </c>
      <c r="R2411" t="s">
        <v>970</v>
      </c>
      <c r="S2411">
        <v>19</v>
      </c>
    </row>
    <row r="2412" spans="1:19" x14ac:dyDescent="0.25">
      <c r="A2412" t="s">
        <v>969</v>
      </c>
      <c r="B2412" t="s">
        <v>970</v>
      </c>
      <c r="C2412">
        <v>2</v>
      </c>
      <c r="D2412" t="s">
        <v>906</v>
      </c>
      <c r="E2412" t="s">
        <v>910</v>
      </c>
      <c r="F2412" t="s">
        <v>24</v>
      </c>
      <c r="G2412">
        <v>3</v>
      </c>
      <c r="H2412">
        <v>7</v>
      </c>
      <c r="I2412" t="b">
        <v>1</v>
      </c>
      <c r="J2412" t="s">
        <v>1400</v>
      </c>
      <c r="K2412" t="s">
        <v>32</v>
      </c>
      <c r="Q2412" t="s">
        <v>970</v>
      </c>
      <c r="R2412" t="s">
        <v>970</v>
      </c>
      <c r="S2412">
        <v>17</v>
      </c>
    </row>
    <row r="2413" spans="1:19" x14ac:dyDescent="0.25">
      <c r="A2413" t="s">
        <v>969</v>
      </c>
      <c r="B2413" t="s">
        <v>970</v>
      </c>
      <c r="C2413">
        <v>2</v>
      </c>
      <c r="D2413" t="s">
        <v>908</v>
      </c>
      <c r="E2413" t="s">
        <v>949</v>
      </c>
      <c r="F2413" t="s">
        <v>24</v>
      </c>
      <c r="G2413">
        <v>6</v>
      </c>
      <c r="H2413">
        <v>12</v>
      </c>
      <c r="I2413" t="b">
        <v>1</v>
      </c>
      <c r="J2413" t="s">
        <v>1401</v>
      </c>
      <c r="K2413" t="s">
        <v>32</v>
      </c>
      <c r="Q2413" t="s">
        <v>970</v>
      </c>
      <c r="R2413" t="s">
        <v>970</v>
      </c>
      <c r="S2413">
        <v>15</v>
      </c>
    </row>
    <row r="2414" spans="1:19" x14ac:dyDescent="0.25">
      <c r="A2414" t="s">
        <v>969</v>
      </c>
      <c r="B2414" t="s">
        <v>970</v>
      </c>
      <c r="C2414">
        <v>2</v>
      </c>
      <c r="D2414" t="s">
        <v>921</v>
      </c>
      <c r="E2414" t="s">
        <v>966</v>
      </c>
      <c r="F2414" t="s">
        <v>25</v>
      </c>
      <c r="G2414">
        <v>30</v>
      </c>
      <c r="H2414">
        <v>35</v>
      </c>
      <c r="I2414" t="b">
        <v>1</v>
      </c>
      <c r="J2414" t="s">
        <v>1402</v>
      </c>
      <c r="K2414" t="s">
        <v>32</v>
      </c>
      <c r="L2414" t="s">
        <v>716</v>
      </c>
      <c r="Q2414" t="s">
        <v>970</v>
      </c>
      <c r="R2414" t="s">
        <v>970</v>
      </c>
      <c r="S2414">
        <v>5</v>
      </c>
    </row>
    <row r="2415" spans="1:19" x14ac:dyDescent="0.25">
      <c r="A2415" t="s">
        <v>969</v>
      </c>
      <c r="B2415" t="s">
        <v>970</v>
      </c>
      <c r="C2415">
        <v>2</v>
      </c>
      <c r="D2415" t="s">
        <v>909</v>
      </c>
      <c r="E2415" t="s">
        <v>943</v>
      </c>
      <c r="F2415" t="s">
        <v>25</v>
      </c>
      <c r="G2415">
        <v>2</v>
      </c>
      <c r="H2415">
        <v>7</v>
      </c>
      <c r="I2415" t="b">
        <v>1</v>
      </c>
      <c r="J2415" t="s">
        <v>1403</v>
      </c>
      <c r="K2415" t="s">
        <v>32</v>
      </c>
      <c r="Q2415" t="s">
        <v>970</v>
      </c>
      <c r="R2415" t="s">
        <v>970</v>
      </c>
      <c r="S2415">
        <v>18</v>
      </c>
    </row>
    <row r="2416" spans="1:19" x14ac:dyDescent="0.25">
      <c r="A2416" t="s">
        <v>969</v>
      </c>
      <c r="B2416" t="s">
        <v>970</v>
      </c>
      <c r="C2416">
        <v>2</v>
      </c>
      <c r="D2416" t="s">
        <v>11</v>
      </c>
      <c r="E2416" t="s">
        <v>974</v>
      </c>
      <c r="F2416" t="s">
        <v>24</v>
      </c>
      <c r="G2416">
        <v>65</v>
      </c>
      <c r="H2416">
        <v>75</v>
      </c>
      <c r="I2416" t="b">
        <v>1</v>
      </c>
      <c r="J2416" t="s">
        <v>0</v>
      </c>
      <c r="K2416" t="s">
        <v>32</v>
      </c>
      <c r="L2416" t="s">
        <v>716</v>
      </c>
      <c r="Q2416" t="s">
        <v>970</v>
      </c>
      <c r="R2416" t="s">
        <v>970</v>
      </c>
      <c r="S2416">
        <v>1</v>
      </c>
    </row>
    <row r="2417" spans="1:19" x14ac:dyDescent="0.25">
      <c r="A2417" t="s">
        <v>969</v>
      </c>
      <c r="B2417" t="s">
        <v>970</v>
      </c>
      <c r="C2417">
        <v>2</v>
      </c>
      <c r="D2417" t="s">
        <v>911</v>
      </c>
      <c r="E2417" t="s">
        <v>910</v>
      </c>
      <c r="F2417" t="s">
        <v>24</v>
      </c>
      <c r="G2417">
        <v>3</v>
      </c>
      <c r="H2417">
        <v>7</v>
      </c>
      <c r="I2417" t="b">
        <v>1</v>
      </c>
      <c r="J2417" t="s">
        <v>1404</v>
      </c>
      <c r="K2417" t="s">
        <v>32</v>
      </c>
      <c r="Q2417" t="s">
        <v>970</v>
      </c>
      <c r="R2417" t="s">
        <v>970</v>
      </c>
      <c r="S2417">
        <v>16</v>
      </c>
    </row>
    <row r="2418" spans="1:19" x14ac:dyDescent="0.25">
      <c r="A2418" t="s">
        <v>969</v>
      </c>
      <c r="B2418" t="s">
        <v>970</v>
      </c>
      <c r="C2418">
        <v>2</v>
      </c>
      <c r="D2418" t="s">
        <v>957</v>
      </c>
      <c r="E2418" t="s">
        <v>943</v>
      </c>
      <c r="F2418" t="s">
        <v>25</v>
      </c>
      <c r="G2418">
        <v>2</v>
      </c>
      <c r="H2418">
        <v>7</v>
      </c>
      <c r="I2418" t="b">
        <v>1</v>
      </c>
      <c r="J2418" t="s">
        <v>1423</v>
      </c>
      <c r="K2418" t="s">
        <v>32</v>
      </c>
      <c r="Q2418" t="s">
        <v>970</v>
      </c>
      <c r="R2418" t="s">
        <v>970</v>
      </c>
      <c r="S2418">
        <v>9</v>
      </c>
    </row>
    <row r="2419" spans="1:19" x14ac:dyDescent="0.25">
      <c r="A2419" t="s">
        <v>969</v>
      </c>
      <c r="B2419" t="s">
        <v>970</v>
      </c>
      <c r="C2419">
        <v>2</v>
      </c>
      <c r="D2419" t="s">
        <v>914</v>
      </c>
      <c r="E2419" t="s">
        <v>971</v>
      </c>
      <c r="F2419" t="s">
        <v>26</v>
      </c>
      <c r="G2419">
        <v>15</v>
      </c>
      <c r="H2419">
        <v>25</v>
      </c>
      <c r="I2419" t="b">
        <v>0</v>
      </c>
      <c r="J2419" t="s">
        <v>1405</v>
      </c>
      <c r="K2419" t="s">
        <v>32</v>
      </c>
      <c r="Q2419" t="s">
        <v>970</v>
      </c>
      <c r="R2419" t="s">
        <v>970</v>
      </c>
      <c r="S2419">
        <v>10</v>
      </c>
    </row>
    <row r="2420" spans="1:19" x14ac:dyDescent="0.25">
      <c r="A2420" t="s">
        <v>969</v>
      </c>
      <c r="B2420" t="s">
        <v>970</v>
      </c>
      <c r="C2420">
        <v>2</v>
      </c>
      <c r="D2420" t="s">
        <v>407</v>
      </c>
      <c r="E2420" t="s">
        <v>959</v>
      </c>
      <c r="F2420" t="s">
        <v>27</v>
      </c>
      <c r="G2420">
        <v>1</v>
      </c>
      <c r="H2420">
        <v>2</v>
      </c>
      <c r="I2420" t="b">
        <v>0</v>
      </c>
      <c r="J2420" t="s">
        <v>1407</v>
      </c>
      <c r="K2420" t="s">
        <v>32</v>
      </c>
      <c r="Q2420" t="s">
        <v>970</v>
      </c>
      <c r="R2420" t="s">
        <v>970</v>
      </c>
      <c r="S2420">
        <v>12</v>
      </c>
    </row>
    <row r="2421" spans="1:19" x14ac:dyDescent="0.25">
      <c r="A2421" t="s">
        <v>969</v>
      </c>
      <c r="B2421" t="s">
        <v>970</v>
      </c>
      <c r="C2421">
        <v>2</v>
      </c>
      <c r="D2421" t="s">
        <v>916</v>
      </c>
      <c r="E2421" t="s">
        <v>972</v>
      </c>
      <c r="F2421" t="s">
        <v>27</v>
      </c>
      <c r="G2421">
        <v>11</v>
      </c>
      <c r="H2421">
        <v>20</v>
      </c>
      <c r="I2421" t="b">
        <v>0</v>
      </c>
      <c r="J2421" t="s">
        <v>1424</v>
      </c>
      <c r="K2421" t="s">
        <v>32</v>
      </c>
      <c r="Q2421" t="s">
        <v>970</v>
      </c>
      <c r="R2421" t="s">
        <v>970</v>
      </c>
      <c r="S2421">
        <v>11</v>
      </c>
    </row>
    <row r="2422" spans="1:19" x14ac:dyDescent="0.25">
      <c r="A2422" t="s">
        <v>969</v>
      </c>
      <c r="B2422" t="s">
        <v>970</v>
      </c>
      <c r="C2422">
        <v>2</v>
      </c>
      <c r="D2422" t="s">
        <v>342</v>
      </c>
      <c r="E2422" t="s">
        <v>973</v>
      </c>
      <c r="F2422" t="s">
        <v>25</v>
      </c>
      <c r="G2422">
        <v>4.3</v>
      </c>
      <c r="H2422">
        <v>4.8</v>
      </c>
      <c r="I2422" t="b">
        <v>1</v>
      </c>
      <c r="J2422" t="s">
        <v>343</v>
      </c>
      <c r="K2422" t="s">
        <v>32</v>
      </c>
      <c r="Q2422" t="s">
        <v>970</v>
      </c>
      <c r="R2422" t="s">
        <v>970</v>
      </c>
      <c r="S2422">
        <v>4</v>
      </c>
    </row>
    <row r="2423" spans="1:19" x14ac:dyDescent="0.25">
      <c r="A2423" t="s">
        <v>969</v>
      </c>
      <c r="B2423" t="s">
        <v>970</v>
      </c>
      <c r="C2423">
        <v>3</v>
      </c>
      <c r="D2423" t="s">
        <v>1336</v>
      </c>
      <c r="E2423" t="s">
        <v>905</v>
      </c>
      <c r="F2423" t="s">
        <v>25</v>
      </c>
      <c r="G2423">
        <v>3</v>
      </c>
      <c r="H2423">
        <v>4</v>
      </c>
      <c r="I2423" t="b">
        <v>1</v>
      </c>
      <c r="J2423" t="s">
        <v>1338</v>
      </c>
      <c r="K2423" t="s">
        <v>32</v>
      </c>
      <c r="Q2423" t="s">
        <v>970</v>
      </c>
      <c r="R2423" t="s">
        <v>970</v>
      </c>
      <c r="S2423">
        <v>25</v>
      </c>
    </row>
    <row r="2424" spans="1:19" x14ac:dyDescent="0.25">
      <c r="A2424" t="s">
        <v>969</v>
      </c>
      <c r="B2424" t="s">
        <v>970</v>
      </c>
      <c r="C2424">
        <v>3</v>
      </c>
      <c r="D2424" t="s">
        <v>903</v>
      </c>
      <c r="E2424" t="s">
        <v>924</v>
      </c>
      <c r="F2424" t="s">
        <v>25</v>
      </c>
      <c r="G2424">
        <v>1</v>
      </c>
      <c r="H2424">
        <v>4</v>
      </c>
      <c r="I2424" t="b">
        <v>1</v>
      </c>
      <c r="J2424" t="s">
        <v>1399</v>
      </c>
      <c r="K2424" t="s">
        <v>32</v>
      </c>
      <c r="Q2424" t="s">
        <v>970</v>
      </c>
      <c r="R2424" t="s">
        <v>970</v>
      </c>
      <c r="S2424">
        <v>8</v>
      </c>
    </row>
    <row r="2425" spans="1:19" x14ac:dyDescent="0.25">
      <c r="A2425" t="s">
        <v>969</v>
      </c>
      <c r="B2425" t="s">
        <v>970</v>
      </c>
      <c r="C2425">
        <v>3</v>
      </c>
      <c r="D2425" t="s">
        <v>1331</v>
      </c>
      <c r="E2425" t="s">
        <v>927</v>
      </c>
      <c r="F2425" t="s">
        <v>24</v>
      </c>
      <c r="G2425">
        <v>15</v>
      </c>
      <c r="H2425">
        <v>25</v>
      </c>
      <c r="I2425" t="b">
        <v>1</v>
      </c>
      <c r="J2425" t="s">
        <v>1332</v>
      </c>
      <c r="K2425" t="s">
        <v>32</v>
      </c>
      <c r="L2425" t="s">
        <v>926</v>
      </c>
      <c r="Q2425" t="s">
        <v>970</v>
      </c>
      <c r="R2425" t="s">
        <v>970</v>
      </c>
      <c r="S2425">
        <v>19</v>
      </c>
    </row>
    <row r="2426" spans="1:19" x14ac:dyDescent="0.25">
      <c r="A2426" t="s">
        <v>969</v>
      </c>
      <c r="B2426" t="s">
        <v>970</v>
      </c>
      <c r="C2426">
        <v>3</v>
      </c>
      <c r="D2426" t="s">
        <v>906</v>
      </c>
      <c r="E2426" t="s">
        <v>924</v>
      </c>
      <c r="F2426" t="s">
        <v>25</v>
      </c>
      <c r="G2426">
        <v>1</v>
      </c>
      <c r="H2426">
        <v>4</v>
      </c>
      <c r="I2426" t="b">
        <v>1</v>
      </c>
      <c r="J2426" t="s">
        <v>1400</v>
      </c>
      <c r="K2426" t="s">
        <v>32</v>
      </c>
      <c r="Q2426" t="s">
        <v>970</v>
      </c>
      <c r="R2426" t="s">
        <v>970</v>
      </c>
      <c r="S2426">
        <v>17</v>
      </c>
    </row>
    <row r="2427" spans="1:19" x14ac:dyDescent="0.25">
      <c r="A2427" t="s">
        <v>969</v>
      </c>
      <c r="B2427" t="s">
        <v>970</v>
      </c>
      <c r="C2427">
        <v>3</v>
      </c>
      <c r="D2427" t="s">
        <v>908</v>
      </c>
      <c r="E2427" t="s">
        <v>976</v>
      </c>
      <c r="F2427" t="s">
        <v>25</v>
      </c>
      <c r="G2427">
        <v>2</v>
      </c>
      <c r="H2427">
        <v>6</v>
      </c>
      <c r="I2427" t="b">
        <v>1</v>
      </c>
      <c r="J2427" t="s">
        <v>1401</v>
      </c>
      <c r="K2427" t="s">
        <v>32</v>
      </c>
      <c r="Q2427" t="s">
        <v>970</v>
      </c>
      <c r="R2427" t="s">
        <v>970</v>
      </c>
      <c r="S2427">
        <v>15</v>
      </c>
    </row>
    <row r="2428" spans="1:19" x14ac:dyDescent="0.25">
      <c r="A2428" t="s">
        <v>969</v>
      </c>
      <c r="B2428" t="s">
        <v>970</v>
      </c>
      <c r="C2428">
        <v>3</v>
      </c>
      <c r="D2428" t="s">
        <v>921</v>
      </c>
      <c r="E2428" t="s">
        <v>922</v>
      </c>
      <c r="F2428" t="s">
        <v>24</v>
      </c>
      <c r="G2428">
        <v>20</v>
      </c>
      <c r="H2428">
        <v>30</v>
      </c>
      <c r="I2428" t="b">
        <v>1</v>
      </c>
      <c r="J2428" t="s">
        <v>1402</v>
      </c>
      <c r="K2428" t="s">
        <v>32</v>
      </c>
      <c r="L2428" t="s">
        <v>926</v>
      </c>
      <c r="Q2428" t="s">
        <v>970</v>
      </c>
      <c r="R2428" t="s">
        <v>970</v>
      </c>
      <c r="S2428">
        <v>5</v>
      </c>
    </row>
    <row r="2429" spans="1:19" x14ac:dyDescent="0.25">
      <c r="A2429" t="s">
        <v>969</v>
      </c>
      <c r="B2429" t="s">
        <v>970</v>
      </c>
      <c r="C2429">
        <v>3</v>
      </c>
      <c r="D2429" t="s">
        <v>909</v>
      </c>
      <c r="E2429" t="s">
        <v>923</v>
      </c>
      <c r="F2429" t="s">
        <v>24</v>
      </c>
      <c r="G2429">
        <v>0</v>
      </c>
      <c r="H2429">
        <v>3</v>
      </c>
      <c r="I2429" t="b">
        <v>1</v>
      </c>
      <c r="J2429" t="s">
        <v>1403</v>
      </c>
      <c r="K2429" t="s">
        <v>32</v>
      </c>
      <c r="Q2429" t="s">
        <v>970</v>
      </c>
      <c r="R2429" t="s">
        <v>970</v>
      </c>
      <c r="S2429">
        <v>18</v>
      </c>
    </row>
    <row r="2430" spans="1:19" x14ac:dyDescent="0.25">
      <c r="A2430" t="s">
        <v>969</v>
      </c>
      <c r="B2430" t="s">
        <v>970</v>
      </c>
      <c r="C2430">
        <v>3</v>
      </c>
      <c r="D2430" t="s">
        <v>11</v>
      </c>
      <c r="E2430" t="s">
        <v>978</v>
      </c>
      <c r="F2430" t="s">
        <v>24</v>
      </c>
      <c r="G2430">
        <v>55</v>
      </c>
      <c r="H2430">
        <v>65</v>
      </c>
      <c r="I2430" t="b">
        <v>1</v>
      </c>
      <c r="J2430" t="s">
        <v>0</v>
      </c>
      <c r="K2430" t="s">
        <v>32</v>
      </c>
      <c r="L2430" t="s">
        <v>926</v>
      </c>
      <c r="Q2430" t="s">
        <v>970</v>
      </c>
      <c r="R2430" t="s">
        <v>970</v>
      </c>
      <c r="S2430">
        <v>1</v>
      </c>
    </row>
    <row r="2431" spans="1:19" x14ac:dyDescent="0.25">
      <c r="A2431" t="s">
        <v>969</v>
      </c>
      <c r="B2431" t="s">
        <v>970</v>
      </c>
      <c r="C2431">
        <v>3</v>
      </c>
      <c r="D2431" t="s">
        <v>911</v>
      </c>
      <c r="E2431" t="s">
        <v>725</v>
      </c>
      <c r="F2431" t="s">
        <v>25</v>
      </c>
      <c r="G2431">
        <v>0</v>
      </c>
      <c r="H2431">
        <v>1</v>
      </c>
      <c r="I2431" t="b">
        <v>1</v>
      </c>
      <c r="J2431" t="s">
        <v>1404</v>
      </c>
      <c r="K2431" t="s">
        <v>32</v>
      </c>
      <c r="Q2431" t="s">
        <v>970</v>
      </c>
      <c r="R2431" t="s">
        <v>970</v>
      </c>
      <c r="S2431">
        <v>16</v>
      </c>
    </row>
    <row r="2432" spans="1:19" x14ac:dyDescent="0.25">
      <c r="A2432" t="s">
        <v>969</v>
      </c>
      <c r="B2432" t="s">
        <v>970</v>
      </c>
      <c r="C2432">
        <v>3</v>
      </c>
      <c r="D2432" t="s">
        <v>957</v>
      </c>
      <c r="E2432" t="s">
        <v>975</v>
      </c>
      <c r="F2432" t="s">
        <v>24</v>
      </c>
      <c r="G2432">
        <v>0</v>
      </c>
      <c r="H2432">
        <v>1</v>
      </c>
      <c r="I2432" t="b">
        <v>1</v>
      </c>
      <c r="J2432" t="s">
        <v>1423</v>
      </c>
      <c r="K2432" t="s">
        <v>32</v>
      </c>
      <c r="Q2432" t="s">
        <v>970</v>
      </c>
      <c r="R2432" t="s">
        <v>970</v>
      </c>
      <c r="S2432">
        <v>9</v>
      </c>
    </row>
    <row r="2433" spans="1:19" x14ac:dyDescent="0.25">
      <c r="A2433" t="s">
        <v>969</v>
      </c>
      <c r="B2433" t="s">
        <v>970</v>
      </c>
      <c r="C2433">
        <v>3</v>
      </c>
      <c r="D2433" t="s">
        <v>914</v>
      </c>
      <c r="E2433" t="s">
        <v>960</v>
      </c>
      <c r="F2433" t="s">
        <v>26</v>
      </c>
      <c r="G2433">
        <v>25</v>
      </c>
      <c r="H2433">
        <v>35</v>
      </c>
      <c r="I2433" t="b">
        <v>0</v>
      </c>
      <c r="J2433" t="s">
        <v>1405</v>
      </c>
      <c r="K2433" t="s">
        <v>32</v>
      </c>
      <c r="L2433" t="s">
        <v>929</v>
      </c>
      <c r="Q2433" t="s">
        <v>970</v>
      </c>
      <c r="R2433" t="s">
        <v>970</v>
      </c>
      <c r="S2433">
        <v>10</v>
      </c>
    </row>
    <row r="2434" spans="1:19" x14ac:dyDescent="0.25">
      <c r="A2434" t="s">
        <v>969</v>
      </c>
      <c r="B2434" t="s">
        <v>970</v>
      </c>
      <c r="C2434">
        <v>3</v>
      </c>
      <c r="D2434" t="s">
        <v>407</v>
      </c>
      <c r="E2434" t="s">
        <v>977</v>
      </c>
      <c r="F2434" t="s">
        <v>27</v>
      </c>
      <c r="G2434">
        <v>2</v>
      </c>
      <c r="H2434">
        <v>7</v>
      </c>
      <c r="I2434" t="b">
        <v>0</v>
      </c>
      <c r="J2434" t="s">
        <v>1407</v>
      </c>
      <c r="K2434" t="s">
        <v>32</v>
      </c>
      <c r="Q2434" t="s">
        <v>970</v>
      </c>
      <c r="R2434" t="s">
        <v>970</v>
      </c>
      <c r="S2434">
        <v>12</v>
      </c>
    </row>
    <row r="2435" spans="1:19" x14ac:dyDescent="0.25">
      <c r="A2435" t="s">
        <v>969</v>
      </c>
      <c r="B2435" t="s">
        <v>970</v>
      </c>
      <c r="C2435">
        <v>3</v>
      </c>
      <c r="D2435" t="s">
        <v>916</v>
      </c>
      <c r="E2435" t="s">
        <v>979</v>
      </c>
      <c r="F2435" t="s">
        <v>27</v>
      </c>
      <c r="G2435">
        <v>20</v>
      </c>
      <c r="H2435">
        <v>27</v>
      </c>
      <c r="I2435" t="b">
        <v>0</v>
      </c>
      <c r="J2435" t="s">
        <v>1424</v>
      </c>
      <c r="K2435" t="s">
        <v>32</v>
      </c>
      <c r="L2435" t="s">
        <v>929</v>
      </c>
      <c r="Q2435" t="s">
        <v>970</v>
      </c>
      <c r="R2435" t="s">
        <v>970</v>
      </c>
      <c r="S2435">
        <v>11</v>
      </c>
    </row>
    <row r="2436" spans="1:19" x14ac:dyDescent="0.25">
      <c r="A2436" t="s">
        <v>969</v>
      </c>
      <c r="B2436" t="s">
        <v>970</v>
      </c>
      <c r="C2436">
        <v>3</v>
      </c>
      <c r="D2436" t="s">
        <v>342</v>
      </c>
      <c r="E2436" t="s">
        <v>980</v>
      </c>
      <c r="F2436" t="s">
        <v>25</v>
      </c>
      <c r="G2436">
        <v>3.8</v>
      </c>
      <c r="H2436">
        <v>4.3</v>
      </c>
      <c r="I2436" t="b">
        <v>1</v>
      </c>
      <c r="J2436" t="s">
        <v>343</v>
      </c>
      <c r="K2436" t="s">
        <v>32</v>
      </c>
      <c r="L2436" t="s">
        <v>929</v>
      </c>
      <c r="Q2436" t="s">
        <v>970</v>
      </c>
      <c r="R2436" t="s">
        <v>970</v>
      </c>
      <c r="S2436">
        <v>4</v>
      </c>
    </row>
    <row r="2437" spans="1:19" x14ac:dyDescent="0.25">
      <c r="A2437" t="s">
        <v>969</v>
      </c>
      <c r="B2437" t="s">
        <v>970</v>
      </c>
      <c r="C2437">
        <v>4</v>
      </c>
      <c r="D2437" t="s">
        <v>1336</v>
      </c>
      <c r="E2437" t="s">
        <v>964</v>
      </c>
      <c r="F2437" t="s">
        <v>25</v>
      </c>
      <c r="G2437">
        <v>2</v>
      </c>
      <c r="H2437">
        <v>3</v>
      </c>
      <c r="I2437" t="b">
        <v>1</v>
      </c>
      <c r="J2437" t="s">
        <v>1338</v>
      </c>
      <c r="K2437" t="s">
        <v>32</v>
      </c>
      <c r="Q2437" t="s">
        <v>970</v>
      </c>
      <c r="R2437" t="s">
        <v>970</v>
      </c>
      <c r="S2437">
        <v>25</v>
      </c>
    </row>
    <row r="2438" spans="1:19" x14ac:dyDescent="0.25">
      <c r="A2438" t="s">
        <v>969</v>
      </c>
      <c r="B2438" t="s">
        <v>970</v>
      </c>
      <c r="C2438">
        <v>4</v>
      </c>
      <c r="D2438" t="s">
        <v>1331</v>
      </c>
      <c r="E2438" t="s">
        <v>981</v>
      </c>
      <c r="F2438" t="s">
        <v>24</v>
      </c>
      <c r="G2438">
        <v>8</v>
      </c>
      <c r="H2438">
        <v>15</v>
      </c>
      <c r="I2438" t="b">
        <v>1</v>
      </c>
      <c r="J2438" t="s">
        <v>1332</v>
      </c>
      <c r="K2438" t="s">
        <v>32</v>
      </c>
      <c r="L2438" t="s">
        <v>926</v>
      </c>
      <c r="Q2438" t="s">
        <v>970</v>
      </c>
      <c r="R2438" t="s">
        <v>970</v>
      </c>
      <c r="S2438">
        <v>19</v>
      </c>
    </row>
    <row r="2439" spans="1:19" x14ac:dyDescent="0.25">
      <c r="A2439" t="s">
        <v>969</v>
      </c>
      <c r="B2439" t="s">
        <v>970</v>
      </c>
      <c r="C2439">
        <v>4</v>
      </c>
      <c r="D2439" t="s">
        <v>921</v>
      </c>
      <c r="E2439" t="s">
        <v>946</v>
      </c>
      <c r="F2439" t="s">
        <v>24</v>
      </c>
      <c r="G2439">
        <v>10</v>
      </c>
      <c r="H2439">
        <v>20</v>
      </c>
      <c r="I2439" t="b">
        <v>1</v>
      </c>
      <c r="J2439" t="s">
        <v>1402</v>
      </c>
      <c r="K2439" t="s">
        <v>32</v>
      </c>
      <c r="L2439" t="s">
        <v>926</v>
      </c>
      <c r="Q2439" t="s">
        <v>970</v>
      </c>
      <c r="R2439" t="s">
        <v>970</v>
      </c>
      <c r="S2439">
        <v>5</v>
      </c>
    </row>
    <row r="2440" spans="1:19" x14ac:dyDescent="0.25">
      <c r="A2440" t="s">
        <v>969</v>
      </c>
      <c r="B2440" t="s">
        <v>970</v>
      </c>
      <c r="C2440">
        <v>4</v>
      </c>
      <c r="D2440" t="s">
        <v>11</v>
      </c>
      <c r="E2440" t="s">
        <v>961</v>
      </c>
      <c r="F2440" t="s">
        <v>24</v>
      </c>
      <c r="G2440">
        <v>45</v>
      </c>
      <c r="H2440">
        <v>55</v>
      </c>
      <c r="I2440" t="b">
        <v>1</v>
      </c>
      <c r="J2440" t="s">
        <v>0</v>
      </c>
      <c r="K2440" t="s">
        <v>32</v>
      </c>
      <c r="L2440" t="s">
        <v>926</v>
      </c>
      <c r="Q2440" t="s">
        <v>970</v>
      </c>
      <c r="R2440" t="s">
        <v>970</v>
      </c>
      <c r="S2440">
        <v>1</v>
      </c>
    </row>
    <row r="2441" spans="1:19" x14ac:dyDescent="0.25">
      <c r="A2441" t="s">
        <v>969</v>
      </c>
      <c r="B2441" t="s">
        <v>970</v>
      </c>
      <c r="C2441">
        <v>4</v>
      </c>
      <c r="D2441" t="s">
        <v>914</v>
      </c>
      <c r="E2441" t="s">
        <v>930</v>
      </c>
      <c r="F2441" t="s">
        <v>26</v>
      </c>
      <c r="G2441">
        <v>35</v>
      </c>
      <c r="H2441">
        <v>45</v>
      </c>
      <c r="I2441" t="b">
        <v>0</v>
      </c>
      <c r="J2441" t="s">
        <v>1405</v>
      </c>
      <c r="K2441" t="s">
        <v>32</v>
      </c>
      <c r="L2441" t="s">
        <v>929</v>
      </c>
      <c r="Q2441" t="s">
        <v>970</v>
      </c>
      <c r="R2441" t="s">
        <v>970</v>
      </c>
      <c r="S2441">
        <v>10</v>
      </c>
    </row>
    <row r="2442" spans="1:19" x14ac:dyDescent="0.25">
      <c r="A2442" t="s">
        <v>969</v>
      </c>
      <c r="B2442" t="s">
        <v>970</v>
      </c>
      <c r="C2442">
        <v>4</v>
      </c>
      <c r="D2442" t="s">
        <v>407</v>
      </c>
      <c r="E2442" t="s">
        <v>965</v>
      </c>
      <c r="F2442" t="s">
        <v>26</v>
      </c>
      <c r="G2442">
        <v>10</v>
      </c>
      <c r="H2442">
        <v>20</v>
      </c>
      <c r="I2442" t="b">
        <v>0</v>
      </c>
      <c r="J2442" t="s">
        <v>1407</v>
      </c>
      <c r="K2442" t="s">
        <v>32</v>
      </c>
      <c r="Q2442" t="s">
        <v>970</v>
      </c>
      <c r="R2442" t="s">
        <v>970</v>
      </c>
      <c r="S2442">
        <v>12</v>
      </c>
    </row>
    <row r="2443" spans="1:19" x14ac:dyDescent="0.25">
      <c r="A2443" t="s">
        <v>969</v>
      </c>
      <c r="B2443" t="s">
        <v>970</v>
      </c>
      <c r="C2443">
        <v>4</v>
      </c>
      <c r="D2443" t="s">
        <v>916</v>
      </c>
      <c r="E2443" t="s">
        <v>982</v>
      </c>
      <c r="F2443" t="s">
        <v>27</v>
      </c>
      <c r="G2443">
        <v>27</v>
      </c>
      <c r="H2443">
        <v>37</v>
      </c>
      <c r="I2443" t="b">
        <v>0</v>
      </c>
      <c r="J2443" t="s">
        <v>1424</v>
      </c>
      <c r="K2443" t="s">
        <v>32</v>
      </c>
      <c r="L2443" t="s">
        <v>929</v>
      </c>
      <c r="Q2443" t="s">
        <v>970</v>
      </c>
      <c r="R2443" t="s">
        <v>970</v>
      </c>
      <c r="S2443">
        <v>11</v>
      </c>
    </row>
    <row r="2444" spans="1:19" x14ac:dyDescent="0.25">
      <c r="A2444" t="s">
        <v>969</v>
      </c>
      <c r="B2444" t="s">
        <v>970</v>
      </c>
      <c r="C2444">
        <v>4</v>
      </c>
      <c r="D2444" t="s">
        <v>342</v>
      </c>
      <c r="E2444" t="s">
        <v>983</v>
      </c>
      <c r="F2444" t="s">
        <v>25</v>
      </c>
      <c r="G2444">
        <v>3</v>
      </c>
      <c r="H2444">
        <v>3.8</v>
      </c>
      <c r="I2444" t="b">
        <v>1</v>
      </c>
      <c r="J2444" t="s">
        <v>343</v>
      </c>
      <c r="K2444" t="s">
        <v>32</v>
      </c>
      <c r="L2444" t="s">
        <v>929</v>
      </c>
      <c r="Q2444" t="s">
        <v>970</v>
      </c>
      <c r="R2444" t="s">
        <v>970</v>
      </c>
      <c r="S2444">
        <v>4</v>
      </c>
    </row>
    <row r="2445" spans="1:19" x14ac:dyDescent="0.25">
      <c r="A2445" t="s">
        <v>969</v>
      </c>
      <c r="B2445" t="s">
        <v>970</v>
      </c>
      <c r="C2445">
        <v>5</v>
      </c>
      <c r="D2445" t="s">
        <v>12</v>
      </c>
      <c r="E2445" t="s">
        <v>984</v>
      </c>
      <c r="F2445" t="s">
        <v>24</v>
      </c>
      <c r="G2445">
        <v>175</v>
      </c>
      <c r="H2445">
        <v>225</v>
      </c>
      <c r="I2445" t="b">
        <v>1</v>
      </c>
      <c r="J2445" t="s">
        <v>7</v>
      </c>
      <c r="K2445" t="s">
        <v>32</v>
      </c>
      <c r="L2445" t="s">
        <v>716</v>
      </c>
      <c r="Q2445" t="s">
        <v>970</v>
      </c>
      <c r="R2445" t="s">
        <v>970</v>
      </c>
      <c r="S2445">
        <v>29</v>
      </c>
    </row>
    <row r="2446" spans="1:19" x14ac:dyDescent="0.25">
      <c r="A2446" t="s">
        <v>969</v>
      </c>
      <c r="B2446" t="s">
        <v>970</v>
      </c>
      <c r="C2446">
        <v>5</v>
      </c>
      <c r="D2446" t="s">
        <v>1336</v>
      </c>
      <c r="E2446" t="s">
        <v>923</v>
      </c>
      <c r="F2446" t="s">
        <v>25</v>
      </c>
      <c r="G2446">
        <v>0</v>
      </c>
      <c r="H2446">
        <v>3</v>
      </c>
      <c r="I2446" t="b">
        <v>1</v>
      </c>
      <c r="J2446" t="s">
        <v>1338</v>
      </c>
      <c r="K2446" t="s">
        <v>32</v>
      </c>
      <c r="Q2446" t="s">
        <v>970</v>
      </c>
      <c r="R2446" t="s">
        <v>970</v>
      </c>
      <c r="S2446">
        <v>25</v>
      </c>
    </row>
    <row r="2447" spans="1:19" x14ac:dyDescent="0.25">
      <c r="A2447" t="s">
        <v>969</v>
      </c>
      <c r="B2447" t="s">
        <v>970</v>
      </c>
      <c r="C2447">
        <v>5</v>
      </c>
      <c r="D2447" t="s">
        <v>11</v>
      </c>
      <c r="E2447" t="s">
        <v>919</v>
      </c>
      <c r="F2447" t="s">
        <v>25</v>
      </c>
      <c r="G2447">
        <v>35</v>
      </c>
      <c r="H2447">
        <v>45</v>
      </c>
      <c r="I2447" t="b">
        <v>1</v>
      </c>
      <c r="J2447" t="s">
        <v>0</v>
      </c>
      <c r="K2447" t="s">
        <v>32</v>
      </c>
      <c r="L2447" t="s">
        <v>716</v>
      </c>
      <c r="Q2447" t="s">
        <v>970</v>
      </c>
      <c r="R2447" t="s">
        <v>970</v>
      </c>
      <c r="S2447">
        <v>1</v>
      </c>
    </row>
    <row r="2448" spans="1:19" x14ac:dyDescent="0.25">
      <c r="A2448" t="s">
        <v>969</v>
      </c>
      <c r="B2448" t="s">
        <v>970</v>
      </c>
      <c r="C2448">
        <v>5</v>
      </c>
      <c r="D2448" t="s">
        <v>914</v>
      </c>
      <c r="E2448" t="s">
        <v>936</v>
      </c>
      <c r="F2448" t="s">
        <v>26</v>
      </c>
      <c r="G2448">
        <v>45</v>
      </c>
      <c r="H2448">
        <v>55</v>
      </c>
      <c r="I2448" t="b">
        <v>0</v>
      </c>
      <c r="J2448" t="s">
        <v>1405</v>
      </c>
      <c r="K2448" t="s">
        <v>32</v>
      </c>
      <c r="L2448" t="s">
        <v>716</v>
      </c>
      <c r="Q2448" t="s">
        <v>970</v>
      </c>
      <c r="R2448" t="s">
        <v>970</v>
      </c>
      <c r="S2448">
        <v>10</v>
      </c>
    </row>
    <row r="2449" spans="1:19" x14ac:dyDescent="0.25">
      <c r="A2449" t="s">
        <v>969</v>
      </c>
      <c r="B2449" t="s">
        <v>970</v>
      </c>
      <c r="C2449">
        <v>5</v>
      </c>
      <c r="D2449" t="s">
        <v>342</v>
      </c>
      <c r="E2449" t="s">
        <v>985</v>
      </c>
      <c r="F2449" t="s">
        <v>24</v>
      </c>
      <c r="G2449">
        <v>2.2000000000000002</v>
      </c>
      <c r="H2449">
        <v>3</v>
      </c>
      <c r="I2449" t="b">
        <v>1</v>
      </c>
      <c r="J2449" t="s">
        <v>343</v>
      </c>
      <c r="K2449" t="s">
        <v>32</v>
      </c>
      <c r="L2449" t="s">
        <v>716</v>
      </c>
      <c r="Q2449" t="s">
        <v>970</v>
      </c>
      <c r="R2449" t="s">
        <v>970</v>
      </c>
      <c r="S2449">
        <v>4</v>
      </c>
    </row>
  </sheetData>
  <autoFilter ref="A1:S244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089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214:I1303">
    <cfRule type="cellIs" dxfId="6" priority="17" operator="equal">
      <formula>TRUE</formula>
    </cfRule>
  </conditionalFormatting>
  <conditionalFormatting sqref="K2:K329 K896:K1089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214:K1303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1063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1059</v>
      </c>
    </row>
    <row r="11" spans="1:4" x14ac:dyDescent="0.25">
      <c r="A11" t="s">
        <v>1055</v>
      </c>
      <c r="B11" t="s">
        <v>1060</v>
      </c>
    </row>
    <row r="12" spans="1:4" x14ac:dyDescent="0.25">
      <c r="A12" t="s">
        <v>716</v>
      </c>
      <c r="B12" t="s">
        <v>1061</v>
      </c>
    </row>
    <row r="13" spans="1:4" x14ac:dyDescent="0.25">
      <c r="A13" t="s">
        <v>740</v>
      </c>
      <c r="B13" t="s">
        <v>1062</v>
      </c>
    </row>
    <row r="14" spans="1:4" x14ac:dyDescent="0.25">
      <c r="A14" t="s">
        <v>926</v>
      </c>
    </row>
    <row r="15" spans="1:4" x14ac:dyDescent="0.25">
      <c r="A15" t="s">
        <v>929</v>
      </c>
    </row>
    <row r="16" spans="1:4" x14ac:dyDescent="0.25">
      <c r="A16" t="s">
        <v>1066</v>
      </c>
      <c r="B16" t="s">
        <v>1067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2026-08-14T18:41:55Z</dcterms:modified>
</cp:coreProperties>
</file>