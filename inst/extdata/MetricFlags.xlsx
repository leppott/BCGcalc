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236DDBFF-FBA8-4DD1-B72A-BC42F69B242A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Flags!$A$1:$J$619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9" i="2" l="1"/>
  <c r="I519" i="2"/>
  <c r="J518" i="2"/>
  <c r="I518" i="2"/>
  <c r="J517" i="2"/>
  <c r="I517" i="2"/>
  <c r="J516" i="2"/>
  <c r="I516" i="2"/>
  <c r="J515" i="2"/>
  <c r="I515" i="2"/>
  <c r="J514" i="2"/>
  <c r="I514" i="2"/>
  <c r="J513" i="2"/>
  <c r="I513" i="2"/>
  <c r="J512" i="2"/>
  <c r="I512" i="2"/>
  <c r="J511" i="2"/>
  <c r="I511" i="2"/>
  <c r="J510" i="2"/>
  <c r="I510" i="2"/>
  <c r="J509" i="2"/>
  <c r="I509" i="2"/>
  <c r="J508" i="2"/>
  <c r="I508" i="2"/>
  <c r="J507" i="2"/>
  <c r="I507" i="2"/>
  <c r="J506" i="2"/>
  <c r="I506" i="2"/>
  <c r="J505" i="2"/>
  <c r="I505" i="2"/>
  <c r="J504" i="2"/>
  <c r="I504" i="2"/>
  <c r="J503" i="2"/>
  <c r="I503" i="2"/>
  <c r="J502" i="2"/>
  <c r="I502" i="2"/>
  <c r="J501" i="2"/>
  <c r="I501" i="2"/>
  <c r="J500" i="2"/>
  <c r="I500" i="2"/>
  <c r="J499" i="2"/>
  <c r="I499" i="2"/>
  <c r="J498" i="2"/>
  <c r="I498" i="2"/>
  <c r="J497" i="2"/>
  <c r="I497" i="2"/>
  <c r="J496" i="2"/>
  <c r="I496" i="2"/>
  <c r="J495" i="2"/>
  <c r="I495" i="2"/>
  <c r="J494" i="2"/>
  <c r="I494" i="2"/>
  <c r="J493" i="2"/>
  <c r="I493" i="2"/>
  <c r="J492" i="2"/>
  <c r="I492" i="2"/>
  <c r="J491" i="2"/>
  <c r="I491" i="2"/>
  <c r="J490" i="2"/>
  <c r="I490" i="2"/>
  <c r="J489" i="2"/>
  <c r="I489" i="2"/>
  <c r="J488" i="2"/>
  <c r="I488" i="2"/>
  <c r="J487" i="2"/>
  <c r="I487" i="2"/>
  <c r="J486" i="2"/>
  <c r="I486" i="2"/>
  <c r="J485" i="2"/>
  <c r="I485" i="2"/>
  <c r="J484" i="2"/>
  <c r="I484" i="2"/>
  <c r="J483" i="2"/>
  <c r="I483" i="2"/>
  <c r="J482" i="2"/>
  <c r="I482" i="2"/>
  <c r="J481" i="2"/>
  <c r="I481" i="2"/>
  <c r="J480" i="2"/>
  <c r="I480" i="2"/>
  <c r="J479" i="2"/>
  <c r="I479" i="2"/>
  <c r="J478" i="2"/>
  <c r="I478" i="2"/>
  <c r="J477" i="2"/>
  <c r="I477" i="2"/>
  <c r="J476" i="2"/>
  <c r="I476" i="2"/>
  <c r="J475" i="2"/>
  <c r="I475" i="2"/>
  <c r="J474" i="2"/>
  <c r="I474" i="2"/>
  <c r="J473" i="2"/>
  <c r="I473" i="2"/>
  <c r="J472" i="2"/>
  <c r="I472" i="2"/>
  <c r="J471" i="2"/>
  <c r="I471" i="2"/>
  <c r="J470" i="2"/>
  <c r="I470" i="2"/>
  <c r="J469" i="2"/>
  <c r="I469" i="2"/>
  <c r="J468" i="2"/>
  <c r="I468" i="2"/>
  <c r="J467" i="2"/>
  <c r="I467" i="2"/>
  <c r="J466" i="2"/>
  <c r="I466" i="2"/>
  <c r="J465" i="2"/>
  <c r="I465" i="2"/>
  <c r="J464" i="2"/>
  <c r="I464" i="2"/>
  <c r="J463" i="2"/>
  <c r="I463" i="2"/>
  <c r="J462" i="2"/>
  <c r="I462" i="2"/>
  <c r="J461" i="2"/>
  <c r="I461" i="2"/>
  <c r="J460" i="2"/>
  <c r="I460" i="2"/>
  <c r="J459" i="2"/>
  <c r="I459" i="2"/>
  <c r="J458" i="2"/>
  <c r="I458" i="2"/>
  <c r="J457" i="2"/>
  <c r="I457" i="2"/>
  <c r="J456" i="2"/>
  <c r="I456" i="2"/>
  <c r="J455" i="2"/>
  <c r="I455" i="2"/>
  <c r="J454" i="2"/>
  <c r="I454" i="2"/>
  <c r="J453" i="2"/>
  <c r="I453" i="2"/>
  <c r="J452" i="2"/>
  <c r="I452" i="2"/>
  <c r="J451" i="2"/>
  <c r="I451" i="2"/>
  <c r="J450" i="2"/>
  <c r="I450" i="2"/>
  <c r="J449" i="2"/>
  <c r="I449" i="2"/>
  <c r="J448" i="2"/>
  <c r="I448" i="2"/>
  <c r="J447" i="2"/>
  <c r="I447" i="2"/>
  <c r="J446" i="2"/>
  <c r="I446" i="2"/>
  <c r="J445" i="2"/>
  <c r="I445" i="2"/>
  <c r="J444" i="2"/>
  <c r="I444" i="2"/>
  <c r="J443" i="2"/>
  <c r="I443" i="2"/>
  <c r="J442" i="2"/>
  <c r="I442" i="2"/>
  <c r="J441" i="2"/>
  <c r="I441" i="2"/>
  <c r="J440" i="2"/>
  <c r="I440" i="2"/>
  <c r="J439" i="2"/>
  <c r="I439" i="2"/>
  <c r="J438" i="2"/>
  <c r="I438" i="2"/>
  <c r="J437" i="2"/>
  <c r="I437" i="2"/>
  <c r="J436" i="2"/>
  <c r="I436" i="2"/>
  <c r="J435" i="2"/>
  <c r="I435" i="2"/>
  <c r="J434" i="2"/>
  <c r="I434" i="2"/>
  <c r="J433" i="2"/>
  <c r="I433" i="2"/>
  <c r="J432" i="2"/>
  <c r="I432" i="2"/>
  <c r="J431" i="2"/>
  <c r="I431" i="2"/>
  <c r="J430" i="2"/>
  <c r="I430" i="2"/>
  <c r="J428" i="2"/>
  <c r="I428" i="2"/>
  <c r="J427" i="2"/>
  <c r="I427" i="2"/>
  <c r="J426" i="2"/>
  <c r="I426" i="2"/>
  <c r="J425" i="2"/>
  <c r="I425" i="2"/>
  <c r="J424" i="2"/>
  <c r="I424" i="2"/>
  <c r="J423" i="2"/>
  <c r="I423" i="2"/>
  <c r="J422" i="2"/>
  <c r="I422" i="2"/>
  <c r="J421" i="2"/>
  <c r="I421" i="2"/>
  <c r="J420" i="2"/>
  <c r="I420" i="2"/>
  <c r="J419" i="2"/>
  <c r="I419" i="2"/>
  <c r="J418" i="2"/>
  <c r="I418" i="2"/>
  <c r="J417" i="2"/>
  <c r="I417" i="2"/>
  <c r="J416" i="2"/>
  <c r="I416" i="2"/>
  <c r="J415" i="2"/>
  <c r="I415" i="2"/>
  <c r="J414" i="2"/>
  <c r="I414" i="2"/>
  <c r="J413" i="2"/>
  <c r="I413" i="2"/>
  <c r="J412" i="2"/>
  <c r="I412" i="2"/>
  <c r="J411" i="2"/>
  <c r="I411" i="2"/>
  <c r="J410" i="2"/>
  <c r="I410" i="2"/>
  <c r="J409" i="2"/>
  <c r="I409" i="2"/>
  <c r="J408" i="2"/>
  <c r="I408" i="2"/>
  <c r="J407" i="2"/>
  <c r="I407" i="2"/>
  <c r="J406" i="2"/>
  <c r="I406" i="2"/>
  <c r="J405" i="2"/>
  <c r="I405" i="2"/>
  <c r="J404" i="2"/>
  <c r="I404" i="2"/>
  <c r="J403" i="2"/>
  <c r="I403" i="2"/>
  <c r="J402" i="2"/>
  <c r="I40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429" i="2"/>
  <c r="I429" i="2"/>
  <c r="A5" i="1" l="1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<sst xmlns="http://schemas.openxmlformats.org/spreadsheetml/2006/main" count="3591" uniqueCount="305">
  <si>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</si>
  <si>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</si>
  <si>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</si>
  <si>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</si>
  <si>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</si>
  <si>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</si>
  <si>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</si>
  <si>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</si>
  <si>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</si>
  <si>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</si>
  <si>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</si>
  <si>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</si>
  <si>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</si>
  <si>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</si>
  <si>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</si>
  <si>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</si>
  <si>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</si>
  <si>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</si>
  <si>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</si>
  <si>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</si>
  <si>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</si>
  <si>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</si>
  <si>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</si>
  <si>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</si>
  <si>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</si>
  <si>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</si>
  <si>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</si>
  <si>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</si>
  <si>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</si>
  <si>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</si>
  <si>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</si>
  <si>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</si>
  <si>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</si>
  <si>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</si>
  <si>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</si>
  <si>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</si>
  <si>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</si>
  <si>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</si>
  <si>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</si>
  <si>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</si>
  <si>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</si>
  <si>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</si>
  <si>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</si>
  <si>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</si>
  <si>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</si>
  <si>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</si>
  <si>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</si>
  <si>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</si>
  <si>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</si>
  <si>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</si>
  <si>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</si>
  <si>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</si>
  <si>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</si>
  <si>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</si>
  <si>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</si>
  <si>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</si>
  <si>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</si>
  <si>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</si>
  <si>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</si>
  <si>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</si>
  <si>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</si>
  <si>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</si>
  <si>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</si>
  <si>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</si>
  <si>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</si>
  <si>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</si>
  <si>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</si>
  <si>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</si>
  <si>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</si>
  <si>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</si>
  <si>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</si>
  <si>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</si>
  <si>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</si>
  <si>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</si>
  <si>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</si>
  <si>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</si>
  <si>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</si>
  <si>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</si>
  <si>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</si>
  <si>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</si>
  <si>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</si>
  <si>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</si>
  <si>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</si>
  <si>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</si>
  <si>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</si>
  <si>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</si>
  <si>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</si>
  <si>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</si>
  <si>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</si>
  <si>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</si>
  <si>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</si>
  <si>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</si>
  <si>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</si>
  <si>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</si>
  <si>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</si>
  <si>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</si>
  <si>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</si>
  <si>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</si>
  <si>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</si>
  <si>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</si>
  <si>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</si>
  <si>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</si>
  <si>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</si>
  <si>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</si>
  <si>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</si>
  <si>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</si>
  <si>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</si>
  <si>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</si>
  <si>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</si>
  <si>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</si>
  <si>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</si>
  <si>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</si>
  <si>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</si>
  <si>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</si>
  <si>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</si>
  <si>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</si>
  <si>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</si>
  <si>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</si>
  <si>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</si>
  <si>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</si>
  <si>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</si>
  <si>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</si>
  <si>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</si>
  <si>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</si>
  <si>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</si>
  <si>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</si>
  <si>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</si>
  <si>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</si>
  <si>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</si>
  <si>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</si>
  <si>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</si>
  <si>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</si>
  <si>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</si>
  <si>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</si>
  <si>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</si>
  <si>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</si>
  <si>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</si>
  <si>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</si>
  <si>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</si>
  <si>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</si>
  <si>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</si>
  <si>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</si>
  <si>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</si>
  <si>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</si>
  <si>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</si>
  <si>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</si>
  <si>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</si>
  <si>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</si>
  <si>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</si>
  <si>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</si>
  <si>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</si>
  <si>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</si>
  <si>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</si>
  <si>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</si>
  <si>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</si>
  <si>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</si>
  <si>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</si>
  <si>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</si>
  <si>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</si>
  <si>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</si>
  <si>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</si>
  <si>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</si>
  <si>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</si>
  <si>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</si>
  <si>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</si>
  <si>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</si>
  <si>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</si>
  <si>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</si>
  <si>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</si>
  <si>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</si>
  <si>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</si>
  <si>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</si>
  <si>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</si>
  <si>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</si>
  <si>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</si>
  <si>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</si>
  <si>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</si>
  <si>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</si>
  <si>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</si>
  <si>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</si>
  <si>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</si>
  <si>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</si>
  <si>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</si>
  <si>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</si>
  <si>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</si>
  <si>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</si>
  <si>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</si>
  <si>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</si>
  <si>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</si>
  <si>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</si>
  <si>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</si>
  <si>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</si>
  <si>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</si>
  <si>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</si>
  <si>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</si>
  <si>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</si>
  <si>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</si>
  <si>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</si>
  <si>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</si>
  <si>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</si>
  <si>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</si>
  <si>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</si>
  <si>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</si>
  <si>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</si>
  <si>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</si>
  <si>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</si>
  <si>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</si>
  <si>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LBR_Bugs_BCG_v1</t>
  </si>
  <si>
    <t>Main_BarberPool</t>
  </si>
  <si>
    <t>low total individuals</t>
  </si>
  <si>
    <t>high total individuals</t>
  </si>
  <si>
    <t>pi_BCG_att6t</t>
  </si>
  <si>
    <t>high percentage non-native, tolerant individuals</t>
  </si>
  <si>
    <t>x_Shan_2</t>
  </si>
  <si>
    <t>extremely unbalanced</t>
  </si>
  <si>
    <t>unusually low number of mayfly taxa</t>
  </si>
  <si>
    <t>missing stonefly taxa</t>
  </si>
  <si>
    <t>unusually low number of caddisfly taxa</t>
  </si>
  <si>
    <t>nt_ti_stenocold_cold_cool</t>
  </si>
  <si>
    <t>missing coolwater taxa</t>
  </si>
  <si>
    <t>nt_ti_stenowarm</t>
  </si>
  <si>
    <t>high number of warm stenotherm taxa</t>
  </si>
  <si>
    <t>Main_Middleton</t>
  </si>
  <si>
    <t>Main_NotusParma</t>
  </si>
  <si>
    <t>Main_SoChannel</t>
  </si>
  <si>
    <t>Main_VetGlen</t>
  </si>
  <si>
    <t>Boise BCG, bugs</t>
  </si>
  <si>
    <t>Boise BCG, bugs, add sum_density_m2</t>
  </si>
  <si>
    <t>sum_density_m2</t>
  </si>
  <si>
    <t>low density</t>
  </si>
  <si>
    <t>high density</t>
  </si>
  <si>
    <t>&lt;=</t>
  </si>
  <si>
    <t>Xeric_Multihab</t>
  </si>
  <si>
    <t>imbalanced</t>
  </si>
  <si>
    <t>nt_EPT_volt_semi</t>
  </si>
  <si>
    <t>missing semivoltine EPT taxa</t>
  </si>
  <si>
    <t>nt_ffg_pred_scrap_shred</t>
  </si>
  <si>
    <t>missing taxa from key FFGs</t>
  </si>
  <si>
    <t>lack of cold or cool taxa</t>
  </si>
  <si>
    <t>high number warm stenotherm taxa</t>
  </si>
  <si>
    <t>potential disturbance; high percent Simuliidae and Baetis tricaudatus complex individuals</t>
  </si>
  <si>
    <t>pt_habitat_loti</t>
  </si>
  <si>
    <t>high percent lotic taxa</t>
  </si>
  <si>
    <t>nt_noteworthy</t>
  </si>
  <si>
    <t>more than two noteworthy taxa</t>
  </si>
  <si>
    <t>Xeric_Riffle</t>
  </si>
  <si>
    <t>MountainCold_Multihab</t>
  </si>
  <si>
    <t>unusually low number of taxa</t>
  </si>
  <si>
    <t>imbalanced for this class</t>
  </si>
  <si>
    <t>pi_BCG_att56t</t>
  </si>
  <si>
    <t>presence of highly tolerant individuals</t>
  </si>
  <si>
    <t>unusually high proportion of non-sensitive, non-insect individuals</t>
  </si>
  <si>
    <t>presence of warm stenotherm taxa</t>
  </si>
  <si>
    <t>presence of four or more noteworthy taxa</t>
  </si>
  <si>
    <t>unusually low percent lotic taxa for this class</t>
  </si>
  <si>
    <t>MountainCold_Riffle</t>
  </si>
  <si>
    <t>high highly tolerant (Att56t) individuals for this class</t>
  </si>
  <si>
    <t>unusually low number of semivoltine EPT taxa</t>
  </si>
  <si>
    <t>low number of cold water taxa</t>
  </si>
  <si>
    <t>unusually low number of stonefly taxa</t>
  </si>
  <si>
    <t>presence of more than four noteworthy taxa</t>
  </si>
  <si>
    <t>NBR_Riffle</t>
  </si>
  <si>
    <t>nt_largeriver</t>
  </si>
  <si>
    <t>large river signal</t>
  </si>
  <si>
    <t>two or more noteworthy taxa</t>
  </si>
  <si>
    <t>Foothills_Multihab</t>
  </si>
  <si>
    <t>Foothills_Riffle</t>
  </si>
  <si>
    <t>pt_Chiro</t>
  </si>
  <si>
    <t>unusually high percentage of Chironomidae taxa</t>
  </si>
  <si>
    <t>unusually low number of cold or cool water taxa</t>
  </si>
  <si>
    <t>dom02 version is new, dom01 version exists</t>
  </si>
  <si>
    <t>Lowlands_Riffle</t>
  </si>
  <si>
    <t>missing noteworthy taxa</t>
  </si>
  <si>
    <t>Lowlands_Multihab_HiGrad</t>
  </si>
  <si>
    <t>unusually low number of cold or cool water taxa for this class</t>
  </si>
  <si>
    <t>Lowlands_Multihab_LoGrad</t>
  </si>
  <si>
    <t>unusually high percent lotic taxa for this class</t>
  </si>
  <si>
    <t>very imbalanced for this class</t>
  </si>
  <si>
    <t>more than one warm stenotherm taxa</t>
  </si>
  <si>
    <t>Ben, updates from Jen for ORWA</t>
  </si>
  <si>
    <t>Fix symbols from last update</t>
  </si>
  <si>
    <t>Update ORWA 456 to 456m6t</t>
  </si>
  <si>
    <t>pi_NonInsTrombJuga_BCG_att456m6t</t>
  </si>
  <si>
    <t>pi_dom02_BCG_att456m6t</t>
  </si>
  <si>
    <t>high dominance by two tolerant (Attr 4, 5, 6m, 6t) taxa</t>
  </si>
  <si>
    <t>Update LBR_Fish_BCG_v1</t>
  </si>
  <si>
    <t>Removed Main_Eckert before adding</t>
  </si>
  <si>
    <t>pi_delt</t>
  </si>
  <si>
    <t>delt anomalies</t>
  </si>
  <si>
    <t>high number of total individuals</t>
  </si>
  <si>
    <t>nt_hybrid</t>
  </si>
  <si>
    <t>hybrid taxa present</t>
  </si>
  <si>
    <t>pi_Cott</t>
  </si>
  <si>
    <t>sculpins absent</t>
  </si>
  <si>
    <t>nt_BCG_att123</t>
  </si>
  <si>
    <t>low number sensitive (BCG Attribute I + II + III) taxa</t>
  </si>
  <si>
    <t>sensitive (BCG Attribute I + II + III) taxa absent</t>
  </si>
  <si>
    <t>nt_BCG_att6t</t>
  </si>
  <si>
    <t>very tolerant, non-native taxa (BCG Attribute VI t) present</t>
  </si>
  <si>
    <t>higher number of very tolerant, non-native taxa (BCG Attribute VI t)</t>
  </si>
  <si>
    <t>pi_ti_cold</t>
  </si>
  <si>
    <t>low number of cold water individuals</t>
  </si>
  <si>
    <t>cold water taxa absent</t>
  </si>
  <si>
    <t>n_ac_mwf</t>
  </si>
  <si>
    <t>mountain whitefish, low number of age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</si>
</sst>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name val="Aptos Narrow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21" fillId="0" borderId="0"/>
  </cellStyleXfs>
  <cellXfs count="65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left" wrapText="1" readingOrder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0" borderId="0" xfId="7" applyAlignment="1">
      <alignment horizontal="left" wrapText="1"/>
    </xf>
    <xf numFmtId="0" fontId="0" fillId="6" borderId="0" xfId="0" applyFill="1" applyAlignment="1">
      <alignment horizontal="left"/>
    </xf>
    <xf numFmtId="0" fontId="18" fillId="5" borderId="0" xfId="0" applyFont="1" applyFill="1" applyAlignment="1">
      <alignment horizontal="left" wrapText="1" readingOrder="1"/>
    </xf>
    <xf numFmtId="0" fontId="19" fillId="5" borderId="0" xfId="0" applyFont="1" applyFill="1" applyAlignment="1">
      <alignment vertical="center"/>
    </xf>
    <xf numFmtId="0" fontId="19" fillId="5" borderId="0" xfId="0" applyFont="1" applyFill="1" applyAlignment="1">
      <alignment horizontal="center" vertical="center"/>
    </xf>
    <xf numFmtId="0" fontId="19" fillId="0" borderId="0" xfId="0" applyFont="1"/>
    <xf numFmtId="0" fontId="18" fillId="6" borderId="0" xfId="0" applyFont="1" applyFill="1" applyAlignment="1">
      <alignment horizontal="left" wrapText="1" readingOrder="1"/>
    </xf>
    <xf numFmtId="0" fontId="0" fillId="6" borderId="0" xfId="0" applyFill="1" applyAlignment="1">
      <alignment horizontal="center"/>
    </xf>
    <xf numFmtId="0" fontId="19" fillId="6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0" fontId="22" fillId="0" borderId="0" xfId="7" applyFont="1" applyAlignment="1">
      <alignment horizontal="left" wrapText="1"/>
    </xf>
    <xf numFmtId="0" fontId="0" fillId="5" borderId="0" xfId="0" applyFill="1" applyAlignment="1">
      <alignment vertical="center"/>
    </xf>
    <xf numFmtId="0" fontId="1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8" fillId="0" borderId="0" xfId="0" applyFont="1" applyAlignment="1">
      <alignment horizontal="left" vertical="center" wrapText="1" readingOrder="1"/>
    </xf>
    <xf numFmtId="2" fontId="0" fillId="0" borderId="0" xfId="0" applyNumberFormat="1" applyAlignment="1">
      <alignment horizontal="center" vertical="center"/>
    </xf>
    <xf numFmtId="0" fontId="23" fillId="5" borderId="0" xfId="0" applyFont="1" applyFill="1" applyAlignment="1">
      <alignment horizontal="left" vertical="center" wrapText="1" readingOrder="1"/>
    </xf>
    <xf numFmtId="0" fontId="19" fillId="5" borderId="0" xfId="0" applyFont="1" applyFill="1" applyAlignment="1">
      <alignment horizontal="center"/>
    </xf>
    <xf numFmtId="0" fontId="23" fillId="0" borderId="0" xfId="0" applyFont="1" applyAlignment="1">
      <alignment horizontal="left" vertical="center" wrapText="1" readingOrder="1"/>
    </xf>
    <xf numFmtId="0" fontId="19" fillId="0" borderId="0" xfId="0" applyFont="1" applyAlignment="1">
      <alignment horizontal="center"/>
    </xf>
    <xf numFmtId="0" fontId="21" fillId="0" borderId="0" xfId="7" applyAlignment="1">
      <alignment horizontal="left" vertical="center" wrapText="1"/>
    </xf>
    <xf numFmtId="0" fontId="16" fillId="9" borderId="0" xfId="5"/>
    <xf numFmtId="0" fontId="17" fillId="10" borderId="0" xfId="6"/>
    <xf numFmtId="0" fontId="0" fillId="0" borderId="0" xfId="0" quotePrefix="1" applyAlignment="1">
      <alignment horizontal="center" vertical="center"/>
    </xf>
    <xf numFmtId="0" fontId="0" fillId="0" borderId="0" xfId="0" quotePrefix="1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ormal" xfId="0" builtinId="0"/>
    <cellStyle name="Normal_SpCorr" xfId="7" xr:uid="{990E98AA-77C4-4E24-BA1A-407362A1E1AF}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55"/>
  <sheetViews>
    <sheetView zoomScaleNormal="100" workbookViewId="0">
      <pane ySplit="5" topLeftCell="A41" activePane="bottomLeft" state="frozen"/>
      <selection pane="bottomLeft" activeCell="B59" sqref="B59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f>MAX(A22:A574)</f>
        <v>46241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  <row r="48" spans="1:2" x14ac:dyDescent="0.25">
      <c r="A48" s="15">
        <v>46160</v>
      </c>
      <c r="B48" t="s">
        <v>226</v>
      </c>
    </row>
    <row r="49" spans="1:2" x14ac:dyDescent="0.25">
      <c r="A49" s="15">
        <v>46161</v>
      </c>
      <c r="B49" t="s">
        <v>227</v>
      </c>
    </row>
    <row r="50" spans="1:2" x14ac:dyDescent="0.25">
      <c r="A50" s="15">
        <v>46182</v>
      </c>
      <c r="B50" t="s">
        <v>124</v>
      </c>
    </row>
    <row r="51" spans="1:2" x14ac:dyDescent="0.25">
      <c r="A51" s="15">
        <v>46196</v>
      </c>
      <c r="B51" t="s">
        <v>279</v>
      </c>
    </row>
    <row r="52" spans="1:2" x14ac:dyDescent="0.25">
      <c r="A52" s="15">
        <v>46209</v>
      </c>
      <c r="B52" t="s">
        <v>280</v>
      </c>
    </row>
    <row r="53" spans="1:2" x14ac:dyDescent="0.25">
      <c r="A53" s="15">
        <v>46210</v>
      </c>
      <c r="B53" t="s">
        <v>281</v>
      </c>
    </row>
    <row r="54" spans="1:2" x14ac:dyDescent="0.25">
      <c r="A54" s="15">
        <v>46241</v>
      </c>
      <c r="B54" t="s">
        <v>285</v>
      </c>
    </row>
    <row r="55" spans="1:2" x14ac:dyDescent="0.25">
      <c r="B55" t="s">
        <v>286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>
    <tabColor rgb="FF92D050"/>
  </sheetPr>
  <dimension ref="A1:J619"/>
  <sheetViews>
    <sheetView tabSelected="1" workbookViewId="0">
      <pane ySplit="1" topLeftCell="A562" activePane="bottomLeft" state="frozen"/>
      <selection pane="bottomLeft" activeCell="D593" sqref="D593:D611"/>
    </sheetView>
  </sheetViews>
  <sheetFormatPr defaultRowHeight="15" x14ac:dyDescent="0.25"/>
  <cols>
    <col min="1" max="1" width="25.42578125" customWidth="1"/>
    <col min="2" max="2" width="16.140625" customWidth="1"/>
    <col min="3" max="3" width="31.85546875" customWidth="1"/>
    <col min="6" max="6" width="47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hidden="1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hidden="1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hidden="1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hidden="1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hidden="1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hidden="1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hidden="1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hidden="1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hidden="1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hidden="1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hidden="1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hidden="1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hidden="1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hidden="1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hidden="1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hidden="1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hidden="1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hidden="1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hidden="1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hidden="1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hidden="1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hidden="1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hidden="1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hidden="1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hidden="1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hidden="1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hidden="1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hidden="1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hidden="1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hidden="1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hidden="1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hidden="1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hidden="1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hidden="1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hidden="1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hidden="1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hidden="1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hidden="1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hidden="1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hidden="1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hidden="1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hidden="1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hidden="1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hidden="1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hidden="1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hidden="1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hidden="1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hidden="1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hidden="1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hidden="1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hidden="1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hidden="1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hidden="1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hidden="1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hidden="1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hidden="1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hidden="1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hidden="1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hidden="1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hidden="1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hidden="1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hidden="1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hidden="1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hidden="1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hidden="1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hidden="1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hidden="1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hidden="1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hidden="1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hidden="1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hidden="1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hidden="1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hidden="1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hidden="1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hidden="1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hidden="1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hidden="1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hidden="1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hidden="1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hidden="1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hidden="1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hidden="1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hidden="1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hidden="1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hidden="1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hidden="1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hidden="1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hidden="1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hidden="1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hidden="1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hidden="1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hidden="1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hidden="1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hidden="1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hidden="1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hidden="1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hidden="1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hidden="1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hidden="1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hidden="1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hidden="1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hidden="1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hidden="1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hidden="1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hidden="1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hidden="1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hidden="1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hidden="1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hidden="1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hidden="1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hidden="1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hidden="1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hidden="1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hidden="1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hidden="1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hidden="1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hidden="1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hidden="1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hidden="1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hidden="1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hidden="1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hidden="1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hidden="1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hidden="1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hidden="1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hidden="1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hidden="1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hidden="1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hidden="1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hidden="1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hidden="1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hidden="1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hidden="1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hidden="1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hidden="1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hidden="1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hidden="1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hidden="1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hidden="1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hidden="1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hidden="1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hidden="1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hidden="1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hidden="1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hidden="1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hidden="1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hidden="1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hidden="1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hidden="1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hidden="1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hidden="1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hidden="1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hidden="1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hidden="1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hidden="1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hidden="1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hidden="1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hidden="1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hidden="1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hidden="1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hidden="1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hidden="1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hidden="1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hidden="1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hidden="1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hidden="1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hidden="1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hidden="1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hidden="1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hidden="1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hidden="1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hidden="1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hidden="1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hidden="1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hidden="1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hidden="1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hidden="1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hidden="1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hidden="1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hidden="1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hidden="1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hidden="1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hidden="1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hidden="1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hidden="1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hidden="1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hidden="1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hidden="1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hidden="1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hidden="1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hidden="1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hidden="1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hidden="1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hidden="1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hidden="1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hidden="1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hidden="1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hidden="1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hidden="1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hidden="1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hidden="1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hidden="1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hidden="1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hidden="1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hidden="1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hidden="1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hidden="1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hidden="1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hidden="1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hidden="1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hidden="1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hidden="1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hidden="1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hidden="1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hidden="1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hidden="1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hidden="1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hidden="1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hidden="1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hidden="1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hidden="1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hidden="1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hidden="1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hidden="1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hidden="1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hidden="1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hidden="1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hidden="1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hidden="1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hidden="1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hidden="1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hidden="1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hidden="1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hidden="1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hidden="1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hidden="1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hidden="1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hidden="1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hidden="1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hidden="1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hidden="1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hidden="1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hidden="1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hidden="1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hidden="1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hidden="1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hidden="1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hidden="1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hidden="1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hidden="1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hidden="1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hidden="1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hidden="1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hidden="1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hidden="1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hidden="1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hidden="1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hidden="1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hidden="1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hidden="1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hidden="1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hidden="1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hidden="1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hidden="1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hidden="1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hidden="1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hidden="1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hidden="1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hidden="1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hidden="1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hidden="1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hidden="1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hidden="1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hidden="1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hidden="1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hidden="1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hidden="1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hidden="1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hidden="1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hidden="1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hidden="1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hidden="1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hidden="1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hidden="1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hidden="1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hidden="1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hidden="1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hidden="1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hidden="1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hidden="1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hidden="1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hidden="1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hidden="1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hidden="1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hidden="1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hidden="1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hidden="1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hidden="1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hidden="1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hidden="1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hidden="1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hidden="1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hidden="1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hidden="1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hidden="1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hidden="1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hidden="1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hidden="1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hidden="1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hidden="1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hidden="1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hidden="1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hidden="1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hidden="1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hidden="1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hidden="1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hidden="1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hidden="1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hidden="1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hidden="1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hidden="1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hidden="1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hidden="1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hidden="1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hidden="1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hidden="1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hidden="1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hidden="1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hidden="1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hidden="1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hidden="1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hidden="1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hidden="1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hidden="1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hidden="1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hidden="1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hidden="1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hidden="1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hidden="1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hidden="1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hidden="1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hidden="1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hidden="1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hidden="1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hidden="1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hidden="1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hidden="1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hidden="1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hidden="1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hidden="1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hidden="1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hidden="1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hidden="1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hidden="1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hidden="1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hidden="1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hidden="1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hidden="1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hidden="1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hidden="1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hidden="1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hidden="1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hidden="1" x14ac:dyDescent="0.25">
      <c r="A364" t="s">
        <v>207</v>
      </c>
      <c r="B364" t="s">
        <v>208</v>
      </c>
      <c r="C364" t="s">
        <v>14</v>
      </c>
      <c r="D364" t="s">
        <v>16</v>
      </c>
      <c r="E364">
        <v>500</v>
      </c>
      <c r="F364" t="s">
        <v>209</v>
      </c>
      <c r="G364" t="b">
        <v>1</v>
      </c>
      <c r="I364" t="str">
        <f t="shared" ref="I364:I423" si="15">B364</f>
        <v>Main_BarberPool</v>
      </c>
      <c r="J364" t="str">
        <f t="shared" ref="J364:J423" si="16">A364</f>
        <v>LBR_Bugs_BCG_v1</v>
      </c>
    </row>
    <row r="365" spans="1:10" hidden="1" x14ac:dyDescent="0.25">
      <c r="A365" t="s">
        <v>207</v>
      </c>
      <c r="B365" t="s">
        <v>208</v>
      </c>
      <c r="C365" t="s">
        <v>14</v>
      </c>
      <c r="D365" t="s">
        <v>15</v>
      </c>
      <c r="E365">
        <v>650</v>
      </c>
      <c r="F365" t="s">
        <v>210</v>
      </c>
      <c r="G365" t="b">
        <v>1</v>
      </c>
      <c r="I365" t="str">
        <f t="shared" si="15"/>
        <v>Main_BarberPool</v>
      </c>
      <c r="J365" t="str">
        <f t="shared" si="16"/>
        <v>LBR_Bugs_BCG_v1</v>
      </c>
    </row>
    <row r="366" spans="1:10" hidden="1" x14ac:dyDescent="0.25">
      <c r="A366" t="s">
        <v>207</v>
      </c>
      <c r="B366" t="s">
        <v>208</v>
      </c>
      <c r="C366" t="s">
        <v>211</v>
      </c>
      <c r="D366" t="s">
        <v>17</v>
      </c>
      <c r="E366">
        <v>1</v>
      </c>
      <c r="F366" t="s">
        <v>212</v>
      </c>
      <c r="G366" t="b">
        <v>1</v>
      </c>
      <c r="I366" t="str">
        <f t="shared" si="15"/>
        <v>Main_BarberPool</v>
      </c>
      <c r="J366" t="str">
        <f t="shared" si="16"/>
        <v>LBR_Bugs_BCG_v1</v>
      </c>
    </row>
    <row r="367" spans="1:10" hidden="1" x14ac:dyDescent="0.25">
      <c r="A367" t="s">
        <v>207</v>
      </c>
      <c r="B367" t="s">
        <v>208</v>
      </c>
      <c r="C367" t="s">
        <v>213</v>
      </c>
      <c r="D367" t="s">
        <v>231</v>
      </c>
      <c r="E367">
        <v>2</v>
      </c>
      <c r="F367" t="s">
        <v>214</v>
      </c>
      <c r="G367" t="b">
        <v>1</v>
      </c>
      <c r="I367" t="str">
        <f t="shared" si="15"/>
        <v>Main_BarberPool</v>
      </c>
      <c r="J367" t="str">
        <f t="shared" si="16"/>
        <v>LBR_Bugs_BCG_v1</v>
      </c>
    </row>
    <row r="368" spans="1:10" hidden="1" x14ac:dyDescent="0.25">
      <c r="A368" t="s">
        <v>207</v>
      </c>
      <c r="B368" t="s">
        <v>208</v>
      </c>
      <c r="C368" t="s">
        <v>72</v>
      </c>
      <c r="D368" t="s">
        <v>16</v>
      </c>
      <c r="E368">
        <v>3</v>
      </c>
      <c r="F368" t="s">
        <v>215</v>
      </c>
      <c r="G368" t="b">
        <v>1</v>
      </c>
      <c r="I368" t="str">
        <f t="shared" si="15"/>
        <v>Main_BarberPool</v>
      </c>
      <c r="J368" t="str">
        <f t="shared" si="16"/>
        <v>LBR_Bugs_BCG_v1</v>
      </c>
    </row>
    <row r="369" spans="1:10" hidden="1" x14ac:dyDescent="0.25">
      <c r="A369" t="s">
        <v>207</v>
      </c>
      <c r="B369" t="s">
        <v>208</v>
      </c>
      <c r="C369" t="s">
        <v>74</v>
      </c>
      <c r="D369" t="s">
        <v>16</v>
      </c>
      <c r="E369">
        <v>1</v>
      </c>
      <c r="F369" t="s">
        <v>216</v>
      </c>
      <c r="G369" t="b">
        <v>1</v>
      </c>
      <c r="I369" t="str">
        <f t="shared" si="15"/>
        <v>Main_BarberPool</v>
      </c>
      <c r="J369" t="str">
        <f t="shared" si="16"/>
        <v>LBR_Bugs_BCG_v1</v>
      </c>
    </row>
    <row r="370" spans="1:10" hidden="1" x14ac:dyDescent="0.25">
      <c r="A370" t="s">
        <v>207</v>
      </c>
      <c r="B370" t="s">
        <v>208</v>
      </c>
      <c r="C370" t="s">
        <v>76</v>
      </c>
      <c r="D370" t="s">
        <v>231</v>
      </c>
      <c r="E370">
        <v>2</v>
      </c>
      <c r="F370" t="s">
        <v>217</v>
      </c>
      <c r="G370" t="b">
        <v>1</v>
      </c>
      <c r="I370" t="str">
        <f t="shared" si="15"/>
        <v>Main_BarberPool</v>
      </c>
      <c r="J370" t="str">
        <f t="shared" si="16"/>
        <v>LBR_Bugs_BCG_v1</v>
      </c>
    </row>
    <row r="371" spans="1:10" hidden="1" x14ac:dyDescent="0.25">
      <c r="A371" t="s">
        <v>207</v>
      </c>
      <c r="B371" t="s">
        <v>208</v>
      </c>
      <c r="C371" t="s">
        <v>218</v>
      </c>
      <c r="D371" t="s">
        <v>16</v>
      </c>
      <c r="E371">
        <v>1</v>
      </c>
      <c r="F371" t="s">
        <v>219</v>
      </c>
      <c r="G371" t="b">
        <v>1</v>
      </c>
      <c r="I371" t="str">
        <f t="shared" si="15"/>
        <v>Main_BarberPool</v>
      </c>
      <c r="J371" t="str">
        <f t="shared" si="16"/>
        <v>LBR_Bugs_BCG_v1</v>
      </c>
    </row>
    <row r="372" spans="1:10" hidden="1" x14ac:dyDescent="0.25">
      <c r="A372" t="s">
        <v>207</v>
      </c>
      <c r="B372" t="s">
        <v>208</v>
      </c>
      <c r="C372" t="s">
        <v>220</v>
      </c>
      <c r="D372" t="s">
        <v>17</v>
      </c>
      <c r="E372">
        <v>3</v>
      </c>
      <c r="F372" t="s">
        <v>221</v>
      </c>
      <c r="G372" t="b">
        <v>1</v>
      </c>
      <c r="I372" t="str">
        <f t="shared" si="15"/>
        <v>Main_BarberPool</v>
      </c>
      <c r="J372" t="str">
        <f t="shared" si="16"/>
        <v>LBR_Bugs_BCG_v1</v>
      </c>
    </row>
    <row r="373" spans="1:10" hidden="1" x14ac:dyDescent="0.25">
      <c r="A373" t="s">
        <v>207</v>
      </c>
      <c r="B373" t="s">
        <v>204</v>
      </c>
      <c r="C373" t="s">
        <v>14</v>
      </c>
      <c r="D373" t="s">
        <v>16</v>
      </c>
      <c r="E373">
        <v>500</v>
      </c>
      <c r="F373" t="s">
        <v>209</v>
      </c>
      <c r="G373" t="b">
        <v>1</v>
      </c>
      <c r="I373" t="str">
        <f t="shared" si="15"/>
        <v>Main_Eckert</v>
      </c>
      <c r="J373" t="str">
        <f t="shared" si="16"/>
        <v>LBR_Bugs_BCG_v1</v>
      </c>
    </row>
    <row r="374" spans="1:10" hidden="1" x14ac:dyDescent="0.25">
      <c r="A374" t="s">
        <v>207</v>
      </c>
      <c r="B374" t="s">
        <v>204</v>
      </c>
      <c r="C374" t="s">
        <v>14</v>
      </c>
      <c r="D374" t="s">
        <v>15</v>
      </c>
      <c r="E374">
        <v>650</v>
      </c>
      <c r="F374" t="s">
        <v>210</v>
      </c>
      <c r="G374" t="b">
        <v>1</v>
      </c>
      <c r="I374" t="str">
        <f t="shared" si="15"/>
        <v>Main_Eckert</v>
      </c>
      <c r="J374" t="str">
        <f t="shared" si="16"/>
        <v>LBR_Bugs_BCG_v1</v>
      </c>
    </row>
    <row r="375" spans="1:10" hidden="1" x14ac:dyDescent="0.25">
      <c r="A375" t="s">
        <v>207</v>
      </c>
      <c r="B375" t="s">
        <v>204</v>
      </c>
      <c r="C375" t="s">
        <v>211</v>
      </c>
      <c r="D375" t="s">
        <v>17</v>
      </c>
      <c r="E375">
        <v>1</v>
      </c>
      <c r="F375" t="s">
        <v>212</v>
      </c>
      <c r="G375" t="b">
        <v>1</v>
      </c>
      <c r="I375" t="str">
        <f t="shared" si="15"/>
        <v>Main_Eckert</v>
      </c>
      <c r="J375" t="str">
        <f t="shared" si="16"/>
        <v>LBR_Bugs_BCG_v1</v>
      </c>
    </row>
    <row r="376" spans="1:10" hidden="1" x14ac:dyDescent="0.25">
      <c r="A376" t="s">
        <v>207</v>
      </c>
      <c r="B376" t="s">
        <v>204</v>
      </c>
      <c r="C376" t="s">
        <v>213</v>
      </c>
      <c r="D376" t="s">
        <v>231</v>
      </c>
      <c r="E376">
        <v>2</v>
      </c>
      <c r="F376" t="s">
        <v>214</v>
      </c>
      <c r="G376" t="b">
        <v>1</v>
      </c>
      <c r="I376" t="str">
        <f t="shared" si="15"/>
        <v>Main_Eckert</v>
      </c>
      <c r="J376" t="str">
        <f t="shared" si="16"/>
        <v>LBR_Bugs_BCG_v1</v>
      </c>
    </row>
    <row r="377" spans="1:10" hidden="1" x14ac:dyDescent="0.25">
      <c r="A377" t="s">
        <v>207</v>
      </c>
      <c r="B377" t="s">
        <v>204</v>
      </c>
      <c r="C377" t="s">
        <v>72</v>
      </c>
      <c r="D377" t="s">
        <v>16</v>
      </c>
      <c r="E377">
        <v>3</v>
      </c>
      <c r="F377" t="s">
        <v>215</v>
      </c>
      <c r="G377" t="b">
        <v>1</v>
      </c>
      <c r="I377" t="str">
        <f t="shared" si="15"/>
        <v>Main_Eckert</v>
      </c>
      <c r="J377" t="str">
        <f t="shared" si="16"/>
        <v>LBR_Bugs_BCG_v1</v>
      </c>
    </row>
    <row r="378" spans="1:10" hidden="1" x14ac:dyDescent="0.25">
      <c r="A378" t="s">
        <v>207</v>
      </c>
      <c r="B378" t="s">
        <v>204</v>
      </c>
      <c r="C378" t="s">
        <v>74</v>
      </c>
      <c r="D378" t="s">
        <v>16</v>
      </c>
      <c r="E378">
        <v>1</v>
      </c>
      <c r="F378" t="s">
        <v>216</v>
      </c>
      <c r="G378" t="b">
        <v>1</v>
      </c>
      <c r="I378" t="str">
        <f t="shared" si="15"/>
        <v>Main_Eckert</v>
      </c>
      <c r="J378" t="str">
        <f t="shared" si="16"/>
        <v>LBR_Bugs_BCG_v1</v>
      </c>
    </row>
    <row r="379" spans="1:10" hidden="1" x14ac:dyDescent="0.25">
      <c r="A379" t="s">
        <v>207</v>
      </c>
      <c r="B379" t="s">
        <v>204</v>
      </c>
      <c r="C379" t="s">
        <v>76</v>
      </c>
      <c r="D379" t="s">
        <v>231</v>
      </c>
      <c r="E379">
        <v>2</v>
      </c>
      <c r="F379" t="s">
        <v>217</v>
      </c>
      <c r="G379" t="b">
        <v>1</v>
      </c>
      <c r="I379" t="str">
        <f t="shared" si="15"/>
        <v>Main_Eckert</v>
      </c>
      <c r="J379" t="str">
        <f t="shared" si="16"/>
        <v>LBR_Bugs_BCG_v1</v>
      </c>
    </row>
    <row r="380" spans="1:10" hidden="1" x14ac:dyDescent="0.25">
      <c r="A380" t="s">
        <v>207</v>
      </c>
      <c r="B380" t="s">
        <v>204</v>
      </c>
      <c r="C380" t="s">
        <v>218</v>
      </c>
      <c r="D380" t="s">
        <v>16</v>
      </c>
      <c r="E380">
        <v>1</v>
      </c>
      <c r="F380" t="s">
        <v>219</v>
      </c>
      <c r="G380" t="b">
        <v>1</v>
      </c>
      <c r="I380" t="str">
        <f t="shared" si="15"/>
        <v>Main_Eckert</v>
      </c>
      <c r="J380" t="str">
        <f t="shared" si="16"/>
        <v>LBR_Bugs_BCG_v1</v>
      </c>
    </row>
    <row r="381" spans="1:10" hidden="1" x14ac:dyDescent="0.25">
      <c r="A381" t="s">
        <v>207</v>
      </c>
      <c r="B381" t="s">
        <v>204</v>
      </c>
      <c r="C381" t="s">
        <v>220</v>
      </c>
      <c r="D381" t="s">
        <v>17</v>
      </c>
      <c r="E381">
        <v>3</v>
      </c>
      <c r="F381" t="s">
        <v>221</v>
      </c>
      <c r="G381" t="b">
        <v>1</v>
      </c>
      <c r="I381" t="str">
        <f t="shared" si="15"/>
        <v>Main_Eckert</v>
      </c>
      <c r="J381" t="str">
        <f t="shared" si="16"/>
        <v>LBR_Bugs_BCG_v1</v>
      </c>
    </row>
    <row r="382" spans="1:10" hidden="1" x14ac:dyDescent="0.25">
      <c r="A382" t="s">
        <v>207</v>
      </c>
      <c r="B382" t="s">
        <v>222</v>
      </c>
      <c r="C382" t="s">
        <v>14</v>
      </c>
      <c r="D382" t="s">
        <v>16</v>
      </c>
      <c r="E382">
        <v>500</v>
      </c>
      <c r="F382" t="s">
        <v>209</v>
      </c>
      <c r="G382" t="b">
        <v>1</v>
      </c>
      <c r="I382" t="str">
        <f t="shared" si="15"/>
        <v>Main_Middleton</v>
      </c>
      <c r="J382" t="str">
        <f t="shared" si="16"/>
        <v>LBR_Bugs_BCG_v1</v>
      </c>
    </row>
    <row r="383" spans="1:10" hidden="1" x14ac:dyDescent="0.25">
      <c r="A383" t="s">
        <v>207</v>
      </c>
      <c r="B383" t="s">
        <v>222</v>
      </c>
      <c r="C383" t="s">
        <v>14</v>
      </c>
      <c r="D383" t="s">
        <v>15</v>
      </c>
      <c r="E383">
        <v>650</v>
      </c>
      <c r="F383" t="s">
        <v>210</v>
      </c>
      <c r="G383" t="b">
        <v>1</v>
      </c>
      <c r="I383" t="str">
        <f t="shared" si="15"/>
        <v>Main_Middleton</v>
      </c>
      <c r="J383" t="str">
        <f t="shared" si="16"/>
        <v>LBR_Bugs_BCG_v1</v>
      </c>
    </row>
    <row r="384" spans="1:10" hidden="1" x14ac:dyDescent="0.25">
      <c r="A384" t="s">
        <v>207</v>
      </c>
      <c r="B384" t="s">
        <v>222</v>
      </c>
      <c r="C384" t="s">
        <v>211</v>
      </c>
      <c r="D384" t="s">
        <v>17</v>
      </c>
      <c r="E384">
        <v>10</v>
      </c>
      <c r="F384" t="s">
        <v>212</v>
      </c>
      <c r="G384" t="b">
        <v>1</v>
      </c>
      <c r="I384" t="str">
        <f t="shared" si="15"/>
        <v>Main_Middleton</v>
      </c>
      <c r="J384" t="str">
        <f t="shared" si="16"/>
        <v>LBR_Bugs_BCG_v1</v>
      </c>
    </row>
    <row r="385" spans="1:10" hidden="1" x14ac:dyDescent="0.25">
      <c r="A385" t="s">
        <v>207</v>
      </c>
      <c r="B385" t="s">
        <v>222</v>
      </c>
      <c r="C385" t="s">
        <v>213</v>
      </c>
      <c r="D385" t="s">
        <v>231</v>
      </c>
      <c r="E385">
        <v>2</v>
      </c>
      <c r="F385" t="s">
        <v>214</v>
      </c>
      <c r="G385" t="b">
        <v>1</v>
      </c>
      <c r="I385" t="str">
        <f t="shared" si="15"/>
        <v>Main_Middleton</v>
      </c>
      <c r="J385" t="str">
        <f t="shared" si="16"/>
        <v>LBR_Bugs_BCG_v1</v>
      </c>
    </row>
    <row r="386" spans="1:10" hidden="1" x14ac:dyDescent="0.25">
      <c r="A386" t="s">
        <v>207</v>
      </c>
      <c r="B386" t="s">
        <v>222</v>
      </c>
      <c r="C386" t="s">
        <v>72</v>
      </c>
      <c r="D386" t="s">
        <v>16</v>
      </c>
      <c r="E386">
        <v>3</v>
      </c>
      <c r="F386" t="s">
        <v>215</v>
      </c>
      <c r="G386" t="b">
        <v>1</v>
      </c>
      <c r="I386" t="str">
        <f t="shared" si="15"/>
        <v>Main_Middleton</v>
      </c>
      <c r="J386" t="str">
        <f t="shared" si="16"/>
        <v>LBR_Bugs_BCG_v1</v>
      </c>
    </row>
    <row r="387" spans="1:10" hidden="1" x14ac:dyDescent="0.25">
      <c r="A387" t="s">
        <v>207</v>
      </c>
      <c r="B387" t="s">
        <v>222</v>
      </c>
      <c r="C387" t="s">
        <v>74</v>
      </c>
      <c r="D387" t="s">
        <v>16</v>
      </c>
      <c r="E387">
        <v>1</v>
      </c>
      <c r="F387" t="s">
        <v>216</v>
      </c>
      <c r="G387" t="b">
        <v>1</v>
      </c>
      <c r="I387" t="str">
        <f t="shared" si="15"/>
        <v>Main_Middleton</v>
      </c>
      <c r="J387" t="str">
        <f t="shared" si="16"/>
        <v>LBR_Bugs_BCG_v1</v>
      </c>
    </row>
    <row r="388" spans="1:10" hidden="1" x14ac:dyDescent="0.25">
      <c r="A388" t="s">
        <v>207</v>
      </c>
      <c r="B388" t="s">
        <v>222</v>
      </c>
      <c r="C388" t="s">
        <v>76</v>
      </c>
      <c r="D388" t="s">
        <v>231</v>
      </c>
      <c r="E388">
        <v>2</v>
      </c>
      <c r="F388" t="s">
        <v>217</v>
      </c>
      <c r="G388" t="b">
        <v>1</v>
      </c>
      <c r="I388" t="str">
        <f t="shared" si="15"/>
        <v>Main_Middleton</v>
      </c>
      <c r="J388" t="str">
        <f t="shared" si="16"/>
        <v>LBR_Bugs_BCG_v1</v>
      </c>
    </row>
    <row r="389" spans="1:10" hidden="1" x14ac:dyDescent="0.25">
      <c r="A389" t="s">
        <v>207</v>
      </c>
      <c r="B389" t="s">
        <v>222</v>
      </c>
      <c r="C389" t="s">
        <v>218</v>
      </c>
      <c r="D389" t="s">
        <v>16</v>
      </c>
      <c r="E389">
        <v>1</v>
      </c>
      <c r="F389" t="s">
        <v>219</v>
      </c>
      <c r="G389" t="b">
        <v>1</v>
      </c>
      <c r="I389" t="str">
        <f t="shared" si="15"/>
        <v>Main_Middleton</v>
      </c>
      <c r="J389" t="str">
        <f t="shared" si="16"/>
        <v>LBR_Bugs_BCG_v1</v>
      </c>
    </row>
    <row r="390" spans="1:10" hidden="1" x14ac:dyDescent="0.25">
      <c r="A390" t="s">
        <v>207</v>
      </c>
      <c r="B390" t="s">
        <v>222</v>
      </c>
      <c r="C390" t="s">
        <v>220</v>
      </c>
      <c r="D390" t="s">
        <v>17</v>
      </c>
      <c r="E390">
        <v>5</v>
      </c>
      <c r="F390" t="s">
        <v>221</v>
      </c>
      <c r="G390" t="b">
        <v>1</v>
      </c>
      <c r="I390" t="str">
        <f t="shared" si="15"/>
        <v>Main_Middleton</v>
      </c>
      <c r="J390" t="str">
        <f t="shared" si="16"/>
        <v>LBR_Bugs_BCG_v1</v>
      </c>
    </row>
    <row r="391" spans="1:10" hidden="1" x14ac:dyDescent="0.25">
      <c r="A391" t="s">
        <v>207</v>
      </c>
      <c r="B391" t="s">
        <v>223</v>
      </c>
      <c r="C391" t="s">
        <v>14</v>
      </c>
      <c r="D391" t="s">
        <v>16</v>
      </c>
      <c r="E391">
        <v>500</v>
      </c>
      <c r="F391" t="s">
        <v>209</v>
      </c>
      <c r="G391" t="b">
        <v>1</v>
      </c>
      <c r="I391" t="str">
        <f t="shared" si="15"/>
        <v>Main_NotusParma</v>
      </c>
      <c r="J391" t="str">
        <f t="shared" si="16"/>
        <v>LBR_Bugs_BCG_v1</v>
      </c>
    </row>
    <row r="392" spans="1:10" hidden="1" x14ac:dyDescent="0.25">
      <c r="A392" t="s">
        <v>207</v>
      </c>
      <c r="B392" t="s">
        <v>223</v>
      </c>
      <c r="C392" t="s">
        <v>14</v>
      </c>
      <c r="D392" t="s">
        <v>15</v>
      </c>
      <c r="E392">
        <v>650</v>
      </c>
      <c r="F392" t="s">
        <v>210</v>
      </c>
      <c r="G392" t="b">
        <v>1</v>
      </c>
      <c r="I392" t="str">
        <f t="shared" si="15"/>
        <v>Main_NotusParma</v>
      </c>
      <c r="J392" t="str">
        <f t="shared" si="16"/>
        <v>LBR_Bugs_BCG_v1</v>
      </c>
    </row>
    <row r="393" spans="1:10" hidden="1" x14ac:dyDescent="0.25">
      <c r="A393" t="s">
        <v>207</v>
      </c>
      <c r="B393" t="s">
        <v>223</v>
      </c>
      <c r="C393" t="s">
        <v>211</v>
      </c>
      <c r="D393" t="s">
        <v>17</v>
      </c>
      <c r="E393">
        <v>10</v>
      </c>
      <c r="F393" t="s">
        <v>212</v>
      </c>
      <c r="G393" t="b">
        <v>1</v>
      </c>
      <c r="I393" t="str">
        <f t="shared" si="15"/>
        <v>Main_NotusParma</v>
      </c>
      <c r="J393" t="str">
        <f t="shared" si="16"/>
        <v>LBR_Bugs_BCG_v1</v>
      </c>
    </row>
    <row r="394" spans="1:10" hidden="1" x14ac:dyDescent="0.25">
      <c r="A394" t="s">
        <v>207</v>
      </c>
      <c r="B394" t="s">
        <v>223</v>
      </c>
      <c r="C394" t="s">
        <v>213</v>
      </c>
      <c r="D394" t="s">
        <v>231</v>
      </c>
      <c r="E394">
        <v>2.5</v>
      </c>
      <c r="F394" t="s">
        <v>214</v>
      </c>
      <c r="G394" t="b">
        <v>1</v>
      </c>
      <c r="I394" t="str">
        <f t="shared" si="15"/>
        <v>Main_NotusParma</v>
      </c>
      <c r="J394" t="str">
        <f t="shared" si="16"/>
        <v>LBR_Bugs_BCG_v1</v>
      </c>
    </row>
    <row r="395" spans="1:10" hidden="1" x14ac:dyDescent="0.25">
      <c r="A395" t="s">
        <v>207</v>
      </c>
      <c r="B395" t="s">
        <v>223</v>
      </c>
      <c r="C395" t="s">
        <v>72</v>
      </c>
      <c r="D395" t="s">
        <v>16</v>
      </c>
      <c r="E395">
        <v>3</v>
      </c>
      <c r="F395" t="s">
        <v>215</v>
      </c>
      <c r="G395" t="b">
        <v>1</v>
      </c>
      <c r="I395" t="str">
        <f t="shared" si="15"/>
        <v>Main_NotusParma</v>
      </c>
      <c r="J395" t="str">
        <f t="shared" si="16"/>
        <v>LBR_Bugs_BCG_v1</v>
      </c>
    </row>
    <row r="396" spans="1:10" hidden="1" x14ac:dyDescent="0.25">
      <c r="A396" t="s">
        <v>207</v>
      </c>
      <c r="B396" t="s">
        <v>223</v>
      </c>
      <c r="C396" t="s">
        <v>76</v>
      </c>
      <c r="D396" t="s">
        <v>231</v>
      </c>
      <c r="E396">
        <v>2</v>
      </c>
      <c r="F396" t="s">
        <v>217</v>
      </c>
      <c r="G396" t="b">
        <v>1</v>
      </c>
      <c r="I396" t="str">
        <f t="shared" si="15"/>
        <v>Main_NotusParma</v>
      </c>
      <c r="J396" t="str">
        <f t="shared" si="16"/>
        <v>LBR_Bugs_BCG_v1</v>
      </c>
    </row>
    <row r="397" spans="1:10" hidden="1" x14ac:dyDescent="0.25">
      <c r="A397" t="s">
        <v>207</v>
      </c>
      <c r="B397" t="s">
        <v>223</v>
      </c>
      <c r="C397" t="s">
        <v>218</v>
      </c>
      <c r="D397" t="s">
        <v>16</v>
      </c>
      <c r="E397">
        <v>1</v>
      </c>
      <c r="F397" t="s">
        <v>219</v>
      </c>
      <c r="G397" t="b">
        <v>1</v>
      </c>
      <c r="I397" t="str">
        <f t="shared" si="15"/>
        <v>Main_NotusParma</v>
      </c>
      <c r="J397" t="str">
        <f t="shared" si="16"/>
        <v>LBR_Bugs_BCG_v1</v>
      </c>
    </row>
    <row r="398" spans="1:10" hidden="1" x14ac:dyDescent="0.25">
      <c r="A398" t="s">
        <v>207</v>
      </c>
      <c r="B398" t="s">
        <v>223</v>
      </c>
      <c r="C398" t="s">
        <v>220</v>
      </c>
      <c r="D398" t="s">
        <v>17</v>
      </c>
      <c r="E398">
        <v>5</v>
      </c>
      <c r="F398" t="s">
        <v>221</v>
      </c>
      <c r="G398" t="b">
        <v>1</v>
      </c>
      <c r="I398" t="str">
        <f t="shared" si="15"/>
        <v>Main_NotusParma</v>
      </c>
      <c r="J398" t="str">
        <f t="shared" si="16"/>
        <v>LBR_Bugs_BCG_v1</v>
      </c>
    </row>
    <row r="399" spans="1:10" hidden="1" x14ac:dyDescent="0.25">
      <c r="A399" t="s">
        <v>207</v>
      </c>
      <c r="B399" t="s">
        <v>224</v>
      </c>
      <c r="C399" t="s">
        <v>14</v>
      </c>
      <c r="D399" t="s">
        <v>16</v>
      </c>
      <c r="E399">
        <v>500</v>
      </c>
      <c r="F399" t="s">
        <v>209</v>
      </c>
      <c r="G399" t="b">
        <v>1</v>
      </c>
      <c r="I399" t="str">
        <f t="shared" si="15"/>
        <v>Main_SoChannel</v>
      </c>
      <c r="J399" t="str">
        <f t="shared" si="16"/>
        <v>LBR_Bugs_BCG_v1</v>
      </c>
    </row>
    <row r="400" spans="1:10" hidden="1" x14ac:dyDescent="0.25">
      <c r="A400" t="s">
        <v>207</v>
      </c>
      <c r="B400" t="s">
        <v>224</v>
      </c>
      <c r="C400" t="s">
        <v>14</v>
      </c>
      <c r="D400" t="s">
        <v>15</v>
      </c>
      <c r="E400">
        <v>650</v>
      </c>
      <c r="F400" t="s">
        <v>210</v>
      </c>
      <c r="G400" t="b">
        <v>1</v>
      </c>
      <c r="I400" t="str">
        <f t="shared" si="15"/>
        <v>Main_SoChannel</v>
      </c>
      <c r="J400" t="str">
        <f t="shared" si="16"/>
        <v>LBR_Bugs_BCG_v1</v>
      </c>
    </row>
    <row r="401" spans="1:10" hidden="1" x14ac:dyDescent="0.25">
      <c r="A401" t="s">
        <v>207</v>
      </c>
      <c r="B401" t="s">
        <v>224</v>
      </c>
      <c r="C401" t="s">
        <v>211</v>
      </c>
      <c r="D401" t="s">
        <v>17</v>
      </c>
      <c r="E401">
        <v>5</v>
      </c>
      <c r="F401" t="s">
        <v>212</v>
      </c>
      <c r="G401" t="b">
        <v>1</v>
      </c>
      <c r="I401" t="str">
        <f t="shared" si="15"/>
        <v>Main_SoChannel</v>
      </c>
      <c r="J401" t="str">
        <f t="shared" si="16"/>
        <v>LBR_Bugs_BCG_v1</v>
      </c>
    </row>
    <row r="402" spans="1:10" hidden="1" x14ac:dyDescent="0.25">
      <c r="A402" t="s">
        <v>207</v>
      </c>
      <c r="B402" t="s">
        <v>224</v>
      </c>
      <c r="C402" t="s">
        <v>213</v>
      </c>
      <c r="D402" t="s">
        <v>231</v>
      </c>
      <c r="E402">
        <v>1.75</v>
      </c>
      <c r="F402" t="s">
        <v>214</v>
      </c>
      <c r="G402" t="b">
        <v>1</v>
      </c>
      <c r="I402" t="str">
        <f t="shared" si="15"/>
        <v>Main_SoChannel</v>
      </c>
      <c r="J402" t="str">
        <f t="shared" si="16"/>
        <v>LBR_Bugs_BCG_v1</v>
      </c>
    </row>
    <row r="403" spans="1:10" hidden="1" x14ac:dyDescent="0.25">
      <c r="A403" t="s">
        <v>207</v>
      </c>
      <c r="B403" t="s">
        <v>224</v>
      </c>
      <c r="C403" t="s">
        <v>72</v>
      </c>
      <c r="D403" t="s">
        <v>16</v>
      </c>
      <c r="E403">
        <v>3</v>
      </c>
      <c r="F403" t="s">
        <v>215</v>
      </c>
      <c r="G403" t="b">
        <v>1</v>
      </c>
      <c r="I403" t="str">
        <f t="shared" si="15"/>
        <v>Main_SoChannel</v>
      </c>
      <c r="J403" t="str">
        <f t="shared" si="16"/>
        <v>LBR_Bugs_BCG_v1</v>
      </c>
    </row>
    <row r="404" spans="1:10" hidden="1" x14ac:dyDescent="0.25">
      <c r="A404" t="s">
        <v>207</v>
      </c>
      <c r="B404" t="s">
        <v>224</v>
      </c>
      <c r="C404" t="s">
        <v>74</v>
      </c>
      <c r="D404" t="s">
        <v>16</v>
      </c>
      <c r="E404">
        <v>1</v>
      </c>
      <c r="F404" t="s">
        <v>216</v>
      </c>
      <c r="G404" t="b">
        <v>1</v>
      </c>
      <c r="I404" t="str">
        <f t="shared" si="15"/>
        <v>Main_SoChannel</v>
      </c>
      <c r="J404" t="str">
        <f t="shared" si="16"/>
        <v>LBR_Bugs_BCG_v1</v>
      </c>
    </row>
    <row r="405" spans="1:10" hidden="1" x14ac:dyDescent="0.25">
      <c r="A405" t="s">
        <v>207</v>
      </c>
      <c r="B405" t="s">
        <v>224</v>
      </c>
      <c r="C405" t="s">
        <v>76</v>
      </c>
      <c r="D405" t="s">
        <v>231</v>
      </c>
      <c r="E405">
        <v>2</v>
      </c>
      <c r="F405" t="s">
        <v>217</v>
      </c>
      <c r="G405" t="b">
        <v>1</v>
      </c>
      <c r="I405" t="str">
        <f t="shared" si="15"/>
        <v>Main_SoChannel</v>
      </c>
      <c r="J405" t="str">
        <f t="shared" si="16"/>
        <v>LBR_Bugs_BCG_v1</v>
      </c>
    </row>
    <row r="406" spans="1:10" hidden="1" x14ac:dyDescent="0.25">
      <c r="A406" t="s">
        <v>207</v>
      </c>
      <c r="B406" t="s">
        <v>224</v>
      </c>
      <c r="C406" t="s">
        <v>218</v>
      </c>
      <c r="D406" t="s">
        <v>16</v>
      </c>
      <c r="E406">
        <v>1</v>
      </c>
      <c r="F406" t="s">
        <v>219</v>
      </c>
      <c r="G406" t="b">
        <v>1</v>
      </c>
      <c r="I406" t="str">
        <f t="shared" si="15"/>
        <v>Main_SoChannel</v>
      </c>
      <c r="J406" t="str">
        <f t="shared" si="16"/>
        <v>LBR_Bugs_BCG_v1</v>
      </c>
    </row>
    <row r="407" spans="1:10" hidden="1" x14ac:dyDescent="0.25">
      <c r="A407" t="s">
        <v>207</v>
      </c>
      <c r="B407" t="s">
        <v>224</v>
      </c>
      <c r="C407" t="s">
        <v>220</v>
      </c>
      <c r="D407" t="s">
        <v>17</v>
      </c>
      <c r="E407">
        <v>4</v>
      </c>
      <c r="F407" t="s">
        <v>221</v>
      </c>
      <c r="G407" t="b">
        <v>1</v>
      </c>
      <c r="I407" t="str">
        <f t="shared" si="15"/>
        <v>Main_SoChannel</v>
      </c>
      <c r="J407" t="str">
        <f t="shared" si="16"/>
        <v>LBR_Bugs_BCG_v1</v>
      </c>
    </row>
    <row r="408" spans="1:10" hidden="1" x14ac:dyDescent="0.25">
      <c r="A408" t="s">
        <v>207</v>
      </c>
      <c r="B408" t="s">
        <v>225</v>
      </c>
      <c r="C408" t="s">
        <v>14</v>
      </c>
      <c r="D408" t="s">
        <v>16</v>
      </c>
      <c r="E408">
        <v>500</v>
      </c>
      <c r="F408" t="s">
        <v>209</v>
      </c>
      <c r="G408" t="b">
        <v>1</v>
      </c>
      <c r="I408" t="str">
        <f t="shared" si="15"/>
        <v>Main_VetGlen</v>
      </c>
      <c r="J408" t="str">
        <f t="shared" si="16"/>
        <v>LBR_Bugs_BCG_v1</v>
      </c>
    </row>
    <row r="409" spans="1:10" hidden="1" x14ac:dyDescent="0.25">
      <c r="A409" t="s">
        <v>207</v>
      </c>
      <c r="B409" t="s">
        <v>225</v>
      </c>
      <c r="C409" t="s">
        <v>14</v>
      </c>
      <c r="D409" t="s">
        <v>15</v>
      </c>
      <c r="E409">
        <v>650</v>
      </c>
      <c r="F409" t="s">
        <v>210</v>
      </c>
      <c r="G409" t="b">
        <v>1</v>
      </c>
      <c r="I409" t="str">
        <f t="shared" si="15"/>
        <v>Main_VetGlen</v>
      </c>
      <c r="J409" t="str">
        <f t="shared" si="16"/>
        <v>LBR_Bugs_BCG_v1</v>
      </c>
    </row>
    <row r="410" spans="1:10" hidden="1" x14ac:dyDescent="0.25">
      <c r="A410" t="s">
        <v>207</v>
      </c>
      <c r="B410" t="s">
        <v>225</v>
      </c>
      <c r="C410" t="s">
        <v>211</v>
      </c>
      <c r="D410" t="s">
        <v>17</v>
      </c>
      <c r="E410">
        <v>1</v>
      </c>
      <c r="F410" t="s">
        <v>212</v>
      </c>
      <c r="G410" t="b">
        <v>1</v>
      </c>
      <c r="I410" t="str">
        <f t="shared" si="15"/>
        <v>Main_VetGlen</v>
      </c>
      <c r="J410" t="str">
        <f t="shared" si="16"/>
        <v>LBR_Bugs_BCG_v1</v>
      </c>
    </row>
    <row r="411" spans="1:10" hidden="1" x14ac:dyDescent="0.25">
      <c r="A411" t="s">
        <v>207</v>
      </c>
      <c r="B411" t="s">
        <v>225</v>
      </c>
      <c r="C411" t="s">
        <v>213</v>
      </c>
      <c r="D411" t="s">
        <v>231</v>
      </c>
      <c r="E411">
        <v>2</v>
      </c>
      <c r="F411" t="s">
        <v>214</v>
      </c>
      <c r="G411" t="b">
        <v>1</v>
      </c>
      <c r="I411" t="str">
        <f t="shared" si="15"/>
        <v>Main_VetGlen</v>
      </c>
      <c r="J411" t="str">
        <f t="shared" si="16"/>
        <v>LBR_Bugs_BCG_v1</v>
      </c>
    </row>
    <row r="412" spans="1:10" hidden="1" x14ac:dyDescent="0.25">
      <c r="A412" t="s">
        <v>207</v>
      </c>
      <c r="B412" t="s">
        <v>225</v>
      </c>
      <c r="C412" t="s">
        <v>72</v>
      </c>
      <c r="D412" t="s">
        <v>16</v>
      </c>
      <c r="E412">
        <v>3</v>
      </c>
      <c r="F412" t="s">
        <v>215</v>
      </c>
      <c r="G412" t="b">
        <v>1</v>
      </c>
      <c r="I412" t="str">
        <f t="shared" si="15"/>
        <v>Main_VetGlen</v>
      </c>
      <c r="J412" t="str">
        <f t="shared" si="16"/>
        <v>LBR_Bugs_BCG_v1</v>
      </c>
    </row>
    <row r="413" spans="1:10" hidden="1" x14ac:dyDescent="0.25">
      <c r="A413" t="s">
        <v>207</v>
      </c>
      <c r="B413" t="s">
        <v>225</v>
      </c>
      <c r="C413" t="s">
        <v>74</v>
      </c>
      <c r="D413" t="s">
        <v>16</v>
      </c>
      <c r="E413">
        <v>1</v>
      </c>
      <c r="F413" t="s">
        <v>216</v>
      </c>
      <c r="G413" t="b">
        <v>1</v>
      </c>
      <c r="I413" t="str">
        <f t="shared" si="15"/>
        <v>Main_VetGlen</v>
      </c>
      <c r="J413" t="str">
        <f t="shared" si="16"/>
        <v>LBR_Bugs_BCG_v1</v>
      </c>
    </row>
    <row r="414" spans="1:10" hidden="1" x14ac:dyDescent="0.25">
      <c r="A414" t="s">
        <v>207</v>
      </c>
      <c r="B414" t="s">
        <v>225</v>
      </c>
      <c r="C414" t="s">
        <v>76</v>
      </c>
      <c r="D414" t="s">
        <v>231</v>
      </c>
      <c r="E414">
        <v>2</v>
      </c>
      <c r="F414" t="s">
        <v>217</v>
      </c>
      <c r="G414" t="b">
        <v>1</v>
      </c>
      <c r="I414" t="str">
        <f t="shared" si="15"/>
        <v>Main_VetGlen</v>
      </c>
      <c r="J414" t="str">
        <f t="shared" si="16"/>
        <v>LBR_Bugs_BCG_v1</v>
      </c>
    </row>
    <row r="415" spans="1:10" hidden="1" x14ac:dyDescent="0.25">
      <c r="A415" t="s">
        <v>207</v>
      </c>
      <c r="B415" t="s">
        <v>225</v>
      </c>
      <c r="C415" t="s">
        <v>218</v>
      </c>
      <c r="D415" t="s">
        <v>16</v>
      </c>
      <c r="E415">
        <v>1</v>
      </c>
      <c r="F415" t="s">
        <v>219</v>
      </c>
      <c r="G415" t="b">
        <v>1</v>
      </c>
      <c r="I415" t="str">
        <f t="shared" si="15"/>
        <v>Main_VetGlen</v>
      </c>
      <c r="J415" t="str">
        <f t="shared" si="16"/>
        <v>LBR_Bugs_BCG_v1</v>
      </c>
    </row>
    <row r="416" spans="1:10" hidden="1" x14ac:dyDescent="0.25">
      <c r="A416" t="s">
        <v>207</v>
      </c>
      <c r="B416" t="s">
        <v>225</v>
      </c>
      <c r="C416" t="s">
        <v>220</v>
      </c>
      <c r="D416" t="s">
        <v>17</v>
      </c>
      <c r="E416">
        <v>4</v>
      </c>
      <c r="F416" t="s">
        <v>221</v>
      </c>
      <c r="G416" t="b">
        <v>1</v>
      </c>
      <c r="I416" t="str">
        <f t="shared" si="15"/>
        <v>Main_VetGlen</v>
      </c>
      <c r="J416" t="str">
        <f t="shared" si="16"/>
        <v>LBR_Bugs_BCG_v1</v>
      </c>
    </row>
    <row r="417" spans="1:10" hidden="1" x14ac:dyDescent="0.25">
      <c r="A417" t="s">
        <v>207</v>
      </c>
      <c r="B417" t="s">
        <v>208</v>
      </c>
      <c r="C417" t="s">
        <v>228</v>
      </c>
      <c r="D417" t="s">
        <v>16</v>
      </c>
      <c r="E417">
        <v>1000</v>
      </c>
      <c r="F417" t="s">
        <v>229</v>
      </c>
      <c r="G417" t="b">
        <v>1</v>
      </c>
      <c r="I417" t="str">
        <f t="shared" si="15"/>
        <v>Main_BarberPool</v>
      </c>
      <c r="J417" t="str">
        <f t="shared" si="16"/>
        <v>LBR_Bugs_BCG_v1</v>
      </c>
    </row>
    <row r="418" spans="1:10" hidden="1" x14ac:dyDescent="0.25">
      <c r="A418" t="s">
        <v>207</v>
      </c>
      <c r="B418" t="s">
        <v>204</v>
      </c>
      <c r="C418" t="s">
        <v>228</v>
      </c>
      <c r="D418" t="s">
        <v>16</v>
      </c>
      <c r="E418">
        <v>1000</v>
      </c>
      <c r="F418" t="s">
        <v>229</v>
      </c>
      <c r="G418" t="b">
        <v>1</v>
      </c>
      <c r="I418" t="str">
        <f t="shared" si="15"/>
        <v>Main_Eckert</v>
      </c>
      <c r="J418" t="str">
        <f t="shared" si="16"/>
        <v>LBR_Bugs_BCG_v1</v>
      </c>
    </row>
    <row r="419" spans="1:10" hidden="1" x14ac:dyDescent="0.25">
      <c r="A419" t="s">
        <v>207</v>
      </c>
      <c r="B419" t="s">
        <v>222</v>
      </c>
      <c r="C419" t="s">
        <v>228</v>
      </c>
      <c r="D419" t="s">
        <v>16</v>
      </c>
      <c r="E419">
        <v>1000</v>
      </c>
      <c r="F419" t="s">
        <v>229</v>
      </c>
      <c r="G419" t="b">
        <v>1</v>
      </c>
      <c r="I419" t="str">
        <f t="shared" si="15"/>
        <v>Main_Middleton</v>
      </c>
      <c r="J419" t="str">
        <f t="shared" si="16"/>
        <v>LBR_Bugs_BCG_v1</v>
      </c>
    </row>
    <row r="420" spans="1:10" hidden="1" x14ac:dyDescent="0.25">
      <c r="A420" t="s">
        <v>207</v>
      </c>
      <c r="B420" t="s">
        <v>223</v>
      </c>
      <c r="C420" t="s">
        <v>228</v>
      </c>
      <c r="D420" t="s">
        <v>16</v>
      </c>
      <c r="E420">
        <v>1000</v>
      </c>
      <c r="F420" t="s">
        <v>229</v>
      </c>
      <c r="G420" t="b">
        <v>1</v>
      </c>
      <c r="I420" t="str">
        <f t="shared" si="15"/>
        <v>Main_NotusParma</v>
      </c>
      <c r="J420" t="str">
        <f t="shared" si="16"/>
        <v>LBR_Bugs_BCG_v1</v>
      </c>
    </row>
    <row r="421" spans="1:10" hidden="1" x14ac:dyDescent="0.25">
      <c r="A421" t="s">
        <v>207</v>
      </c>
      <c r="B421" t="s">
        <v>224</v>
      </c>
      <c r="C421" t="s">
        <v>228</v>
      </c>
      <c r="D421" t="s">
        <v>16</v>
      </c>
      <c r="E421">
        <v>1000</v>
      </c>
      <c r="F421" t="s">
        <v>229</v>
      </c>
      <c r="G421" t="b">
        <v>1</v>
      </c>
      <c r="I421" t="str">
        <f t="shared" si="15"/>
        <v>Main_SoChannel</v>
      </c>
      <c r="J421" t="str">
        <f t="shared" si="16"/>
        <v>LBR_Bugs_BCG_v1</v>
      </c>
    </row>
    <row r="422" spans="1:10" hidden="1" x14ac:dyDescent="0.25">
      <c r="A422" t="s">
        <v>207</v>
      </c>
      <c r="B422" t="s">
        <v>225</v>
      </c>
      <c r="C422" t="s">
        <v>228</v>
      </c>
      <c r="D422" t="s">
        <v>16</v>
      </c>
      <c r="E422">
        <v>1000</v>
      </c>
      <c r="F422" t="s">
        <v>229</v>
      </c>
      <c r="G422" t="b">
        <v>1</v>
      </c>
      <c r="I422" t="str">
        <f t="shared" si="15"/>
        <v>Main_VetGlen</v>
      </c>
      <c r="J422" t="str">
        <f t="shared" si="16"/>
        <v>LBR_Bugs_BCG_v1</v>
      </c>
    </row>
    <row r="423" spans="1:10" hidden="1" x14ac:dyDescent="0.25">
      <c r="A423" t="s">
        <v>207</v>
      </c>
      <c r="B423" t="s">
        <v>208</v>
      </c>
      <c r="C423" t="s">
        <v>228</v>
      </c>
      <c r="D423" t="s">
        <v>15</v>
      </c>
      <c r="E423">
        <v>10000</v>
      </c>
      <c r="F423" t="s">
        <v>230</v>
      </c>
      <c r="G423" t="b">
        <v>1</v>
      </c>
      <c r="I423" t="str">
        <f t="shared" si="15"/>
        <v>Main_BarberPool</v>
      </c>
      <c r="J423" t="str">
        <f t="shared" si="16"/>
        <v>LBR_Bugs_BCG_v1</v>
      </c>
    </row>
    <row r="424" spans="1:10" hidden="1" x14ac:dyDescent="0.25">
      <c r="A424" t="s">
        <v>207</v>
      </c>
      <c r="B424" t="s">
        <v>204</v>
      </c>
      <c r="C424" t="s">
        <v>228</v>
      </c>
      <c r="D424" t="s">
        <v>15</v>
      </c>
      <c r="E424">
        <v>10000</v>
      </c>
      <c r="F424" t="s">
        <v>230</v>
      </c>
      <c r="G424" t="b">
        <v>1</v>
      </c>
      <c r="I424" t="str">
        <f t="shared" ref="I424:I428" si="17">B424</f>
        <v>Main_Eckert</v>
      </c>
      <c r="J424" t="str">
        <f t="shared" ref="J424:J428" si="18">A424</f>
        <v>LBR_Bugs_BCG_v1</v>
      </c>
    </row>
    <row r="425" spans="1:10" hidden="1" x14ac:dyDescent="0.25">
      <c r="A425" t="s">
        <v>207</v>
      </c>
      <c r="B425" t="s">
        <v>222</v>
      </c>
      <c r="C425" t="s">
        <v>228</v>
      </c>
      <c r="D425" t="s">
        <v>15</v>
      </c>
      <c r="E425">
        <v>10000</v>
      </c>
      <c r="F425" t="s">
        <v>230</v>
      </c>
      <c r="G425" t="b">
        <v>1</v>
      </c>
      <c r="I425" t="str">
        <f t="shared" si="17"/>
        <v>Main_Middleton</v>
      </c>
      <c r="J425" t="str">
        <f t="shared" si="18"/>
        <v>LBR_Bugs_BCG_v1</v>
      </c>
    </row>
    <row r="426" spans="1:10" hidden="1" x14ac:dyDescent="0.25">
      <c r="A426" t="s">
        <v>207</v>
      </c>
      <c r="B426" t="s">
        <v>223</v>
      </c>
      <c r="C426" t="s">
        <v>228</v>
      </c>
      <c r="D426" t="s">
        <v>15</v>
      </c>
      <c r="E426">
        <v>10000</v>
      </c>
      <c r="F426" t="s">
        <v>230</v>
      </c>
      <c r="G426" t="b">
        <v>1</v>
      </c>
      <c r="I426" t="str">
        <f t="shared" si="17"/>
        <v>Main_NotusParma</v>
      </c>
      <c r="J426" t="str">
        <f t="shared" si="18"/>
        <v>LBR_Bugs_BCG_v1</v>
      </c>
    </row>
    <row r="427" spans="1:10" hidden="1" x14ac:dyDescent="0.25">
      <c r="A427" t="s">
        <v>207</v>
      </c>
      <c r="B427" t="s">
        <v>224</v>
      </c>
      <c r="C427" t="s">
        <v>228</v>
      </c>
      <c r="D427" t="s">
        <v>15</v>
      </c>
      <c r="E427">
        <v>10000</v>
      </c>
      <c r="F427" t="s">
        <v>230</v>
      </c>
      <c r="G427" t="b">
        <v>1</v>
      </c>
      <c r="I427" t="str">
        <f t="shared" si="17"/>
        <v>Main_SoChannel</v>
      </c>
      <c r="J427" t="str">
        <f t="shared" si="18"/>
        <v>LBR_Bugs_BCG_v1</v>
      </c>
    </row>
    <row r="428" spans="1:10" hidden="1" x14ac:dyDescent="0.25">
      <c r="A428" t="s">
        <v>207</v>
      </c>
      <c r="B428" t="s">
        <v>225</v>
      </c>
      <c r="C428" t="s">
        <v>228</v>
      </c>
      <c r="D428" t="s">
        <v>15</v>
      </c>
      <c r="E428">
        <v>10000</v>
      </c>
      <c r="F428" t="s">
        <v>230</v>
      </c>
      <c r="G428" t="b">
        <v>1</v>
      </c>
      <c r="I428" t="str">
        <f t="shared" si="17"/>
        <v>Main_VetGlen</v>
      </c>
      <c r="J428" t="str">
        <f t="shared" si="18"/>
        <v>LBR_Bugs_BCG_v1</v>
      </c>
    </row>
    <row r="429" spans="1:10" hidden="1" x14ac:dyDescent="0.25">
      <c r="A429" s="33" t="s">
        <v>178</v>
      </c>
      <c r="B429" s="33" t="s">
        <v>232</v>
      </c>
      <c r="C429" s="34" t="s">
        <v>14</v>
      </c>
      <c r="D429" s="35" t="s">
        <v>16</v>
      </c>
      <c r="E429" s="35">
        <v>450</v>
      </c>
      <c r="F429" s="36" t="s">
        <v>209</v>
      </c>
      <c r="G429" s="61" t="b">
        <v>1</v>
      </c>
      <c r="I429" t="str">
        <f>B429</f>
        <v>Xeric_Multihab</v>
      </c>
      <c r="J429" t="str">
        <f>A429</f>
        <v>BCG_ORWA_v1_Bugs500ct</v>
      </c>
    </row>
    <row r="430" spans="1:10" hidden="1" x14ac:dyDescent="0.25">
      <c r="A430" s="33" t="s">
        <v>178</v>
      </c>
      <c r="B430" s="33" t="s">
        <v>232</v>
      </c>
      <c r="C430" s="36" t="s">
        <v>213</v>
      </c>
      <c r="D430" s="37" t="s">
        <v>16</v>
      </c>
      <c r="E430" s="35">
        <v>3.3</v>
      </c>
      <c r="F430" s="36" t="s">
        <v>233</v>
      </c>
      <c r="G430" s="61" t="b">
        <v>1</v>
      </c>
      <c r="I430" t="str">
        <f t="shared" ref="I430:I493" si="19">B430</f>
        <v>Xeric_Multihab</v>
      </c>
      <c r="J430" t="str">
        <f t="shared" ref="J430:J493" si="20">A430</f>
        <v>BCG_ORWA_v1_Bugs500ct</v>
      </c>
    </row>
    <row r="431" spans="1:10" hidden="1" x14ac:dyDescent="0.25">
      <c r="A431" s="33" t="s">
        <v>178</v>
      </c>
      <c r="B431" s="33" t="s">
        <v>232</v>
      </c>
      <c r="C431" s="34" t="s">
        <v>234</v>
      </c>
      <c r="D431" s="20" t="s">
        <v>96</v>
      </c>
      <c r="E431" s="35">
        <v>0</v>
      </c>
      <c r="F431" s="34" t="s">
        <v>235</v>
      </c>
      <c r="G431" s="61" t="b">
        <v>1</v>
      </c>
      <c r="I431" t="str">
        <f t="shared" si="19"/>
        <v>Xeric_Multihab</v>
      </c>
      <c r="J431" t="str">
        <f t="shared" si="20"/>
        <v>BCG_ORWA_v1_Bugs500ct</v>
      </c>
    </row>
    <row r="432" spans="1:10" hidden="1" x14ac:dyDescent="0.25">
      <c r="A432" s="33" t="s">
        <v>178</v>
      </c>
      <c r="B432" s="33" t="s">
        <v>232</v>
      </c>
      <c r="C432" s="38" t="s">
        <v>236</v>
      </c>
      <c r="D432" s="37" t="s">
        <v>16</v>
      </c>
      <c r="E432" s="35">
        <v>20</v>
      </c>
      <c r="F432" s="34" t="s">
        <v>237</v>
      </c>
      <c r="G432" s="61" t="b">
        <v>1</v>
      </c>
      <c r="I432" t="str">
        <f t="shared" si="19"/>
        <v>Xeric_Multihab</v>
      </c>
      <c r="J432" t="str">
        <f t="shared" si="20"/>
        <v>BCG_ORWA_v1_Bugs500ct</v>
      </c>
    </row>
    <row r="433" spans="1:10" hidden="1" x14ac:dyDescent="0.25">
      <c r="A433" s="33" t="s">
        <v>178</v>
      </c>
      <c r="B433" s="33" t="s">
        <v>232</v>
      </c>
      <c r="C433" s="34" t="s">
        <v>218</v>
      </c>
      <c r="D433" s="37" t="s">
        <v>16</v>
      </c>
      <c r="E433" s="35">
        <v>2</v>
      </c>
      <c r="F433" s="34" t="s">
        <v>238</v>
      </c>
      <c r="G433" s="61" t="b">
        <v>1</v>
      </c>
      <c r="I433" t="str">
        <f t="shared" si="19"/>
        <v>Xeric_Multihab</v>
      </c>
      <c r="J433" t="str">
        <f t="shared" si="20"/>
        <v>BCG_ORWA_v1_Bugs500ct</v>
      </c>
    </row>
    <row r="434" spans="1:10" hidden="1" x14ac:dyDescent="0.25">
      <c r="A434" s="33" t="s">
        <v>178</v>
      </c>
      <c r="B434" s="33" t="s">
        <v>232</v>
      </c>
      <c r="C434" s="34" t="s">
        <v>220</v>
      </c>
      <c r="D434" s="8" t="s">
        <v>17</v>
      </c>
      <c r="E434" s="35">
        <v>5</v>
      </c>
      <c r="F434" s="34" t="s">
        <v>239</v>
      </c>
      <c r="G434" s="61" t="b">
        <v>1</v>
      </c>
      <c r="I434" t="str">
        <f t="shared" si="19"/>
        <v>Xeric_Multihab</v>
      </c>
      <c r="J434" t="str">
        <f t="shared" si="20"/>
        <v>BCG_ORWA_v1_Bugs500ct</v>
      </c>
    </row>
    <row r="435" spans="1:10" hidden="1" x14ac:dyDescent="0.25">
      <c r="A435" s="33" t="s">
        <v>178</v>
      </c>
      <c r="B435" s="33" t="s">
        <v>232</v>
      </c>
      <c r="C435" s="34" t="s">
        <v>72</v>
      </c>
      <c r="D435" s="35" t="s">
        <v>16</v>
      </c>
      <c r="E435" s="35">
        <v>3</v>
      </c>
      <c r="F435" s="34" t="s">
        <v>215</v>
      </c>
      <c r="G435" s="61" t="b">
        <v>1</v>
      </c>
      <c r="I435" t="str">
        <f t="shared" si="19"/>
        <v>Xeric_Multihab</v>
      </c>
      <c r="J435" t="str">
        <f t="shared" si="20"/>
        <v>BCG_ORWA_v1_Bugs500ct</v>
      </c>
    </row>
    <row r="436" spans="1:10" hidden="1" x14ac:dyDescent="0.25">
      <c r="A436" s="33" t="s">
        <v>178</v>
      </c>
      <c r="B436" s="33" t="s">
        <v>232</v>
      </c>
      <c r="C436" s="34" t="s">
        <v>74</v>
      </c>
      <c r="D436" s="20" t="s">
        <v>96</v>
      </c>
      <c r="E436" s="35">
        <v>0</v>
      </c>
      <c r="F436" s="34" t="s">
        <v>216</v>
      </c>
      <c r="G436" s="61" t="b">
        <v>1</v>
      </c>
      <c r="I436" t="str">
        <f t="shared" si="19"/>
        <v>Xeric_Multihab</v>
      </c>
      <c r="J436" t="str">
        <f t="shared" si="20"/>
        <v>BCG_ORWA_v1_Bugs500ct</v>
      </c>
    </row>
    <row r="437" spans="1:10" hidden="1" x14ac:dyDescent="0.25">
      <c r="A437" s="33" t="s">
        <v>178</v>
      </c>
      <c r="B437" s="33" t="s">
        <v>232</v>
      </c>
      <c r="C437" s="34" t="s">
        <v>76</v>
      </c>
      <c r="D437" s="8" t="s">
        <v>231</v>
      </c>
      <c r="E437" s="35">
        <v>2</v>
      </c>
      <c r="F437" s="34" t="s">
        <v>217</v>
      </c>
      <c r="G437" s="61" t="b">
        <v>1</v>
      </c>
      <c r="I437" t="str">
        <f t="shared" si="19"/>
        <v>Xeric_Multihab</v>
      </c>
      <c r="J437" t="str">
        <f t="shared" si="20"/>
        <v>BCG_ORWA_v1_Bugs500ct</v>
      </c>
    </row>
    <row r="438" spans="1:10" hidden="1" x14ac:dyDescent="0.25">
      <c r="A438" s="33" t="s">
        <v>178</v>
      </c>
      <c r="B438" s="33" t="s">
        <v>232</v>
      </c>
      <c r="C438" s="39" t="s">
        <v>66</v>
      </c>
      <c r="D438" s="8" t="s">
        <v>17</v>
      </c>
      <c r="E438" s="35">
        <v>25</v>
      </c>
      <c r="F438" t="s">
        <v>240</v>
      </c>
      <c r="G438" s="61" t="b">
        <v>1</v>
      </c>
      <c r="I438" t="str">
        <f t="shared" si="19"/>
        <v>Xeric_Multihab</v>
      </c>
      <c r="J438" t="str">
        <f t="shared" si="20"/>
        <v>BCG_ORWA_v1_Bugs500ct</v>
      </c>
    </row>
    <row r="439" spans="1:10" hidden="1" x14ac:dyDescent="0.25">
      <c r="A439" s="40" t="s">
        <v>178</v>
      </c>
      <c r="B439" s="40" t="s">
        <v>232</v>
      </c>
      <c r="C439" s="41" t="s">
        <v>241</v>
      </c>
      <c r="D439" s="29" t="s">
        <v>17</v>
      </c>
      <c r="E439" s="42">
        <v>50</v>
      </c>
      <c r="F439" s="41" t="s">
        <v>242</v>
      </c>
      <c r="G439" s="61" t="b">
        <v>1</v>
      </c>
      <c r="I439" t="str">
        <f t="shared" si="19"/>
        <v>Xeric_Multihab</v>
      </c>
      <c r="J439" t="str">
        <f t="shared" si="20"/>
        <v>BCG_ORWA_v1_Bugs500ct</v>
      </c>
    </row>
    <row r="440" spans="1:10" hidden="1" x14ac:dyDescent="0.25">
      <c r="A440" s="33" t="s">
        <v>178</v>
      </c>
      <c r="B440" s="33" t="s">
        <v>232</v>
      </c>
      <c r="C440" s="34" t="s">
        <v>243</v>
      </c>
      <c r="D440" s="37" t="s">
        <v>15</v>
      </c>
      <c r="E440" s="35">
        <v>2</v>
      </c>
      <c r="F440" s="34" t="s">
        <v>244</v>
      </c>
      <c r="G440" s="61" t="b">
        <v>1</v>
      </c>
      <c r="I440" t="str">
        <f t="shared" si="19"/>
        <v>Xeric_Multihab</v>
      </c>
      <c r="J440" t="str">
        <f t="shared" si="20"/>
        <v>BCG_ORWA_v1_Bugs500ct</v>
      </c>
    </row>
    <row r="441" spans="1:10" hidden="1" x14ac:dyDescent="0.25">
      <c r="A441" s="33" t="s">
        <v>178</v>
      </c>
      <c r="B441" s="33" t="s">
        <v>245</v>
      </c>
      <c r="C441" s="34" t="s">
        <v>14</v>
      </c>
      <c r="D441" s="35" t="s">
        <v>16</v>
      </c>
      <c r="E441" s="35">
        <v>450</v>
      </c>
      <c r="F441" s="36" t="s">
        <v>209</v>
      </c>
      <c r="G441" s="61" t="b">
        <v>1</v>
      </c>
      <c r="I441" t="str">
        <f t="shared" si="19"/>
        <v>Xeric_Riffle</v>
      </c>
      <c r="J441" t="str">
        <f t="shared" si="20"/>
        <v>BCG_ORWA_v1_Bugs500ct</v>
      </c>
    </row>
    <row r="442" spans="1:10" hidden="1" x14ac:dyDescent="0.25">
      <c r="A442" s="33" t="s">
        <v>178</v>
      </c>
      <c r="B442" s="33" t="s">
        <v>245</v>
      </c>
      <c r="C442" s="36" t="s">
        <v>213</v>
      </c>
      <c r="D442" s="37" t="s">
        <v>16</v>
      </c>
      <c r="E442" s="35">
        <v>2.5</v>
      </c>
      <c r="F442" s="36" t="s">
        <v>233</v>
      </c>
      <c r="G442" s="61" t="b">
        <v>1</v>
      </c>
      <c r="I442" t="str">
        <f t="shared" si="19"/>
        <v>Xeric_Riffle</v>
      </c>
      <c r="J442" t="str">
        <f t="shared" si="20"/>
        <v>BCG_ORWA_v1_Bugs500ct</v>
      </c>
    </row>
    <row r="443" spans="1:10" hidden="1" x14ac:dyDescent="0.25">
      <c r="A443" s="33" t="s">
        <v>178</v>
      </c>
      <c r="B443" s="33" t="s">
        <v>245</v>
      </c>
      <c r="C443" s="34" t="s">
        <v>234</v>
      </c>
      <c r="D443" s="20" t="s">
        <v>96</v>
      </c>
      <c r="E443" s="35">
        <v>0</v>
      </c>
      <c r="F443" s="34" t="s">
        <v>235</v>
      </c>
      <c r="G443" s="61" t="b">
        <v>1</v>
      </c>
      <c r="I443" t="str">
        <f t="shared" si="19"/>
        <v>Xeric_Riffle</v>
      </c>
      <c r="J443" t="str">
        <f t="shared" si="20"/>
        <v>BCG_ORWA_v1_Bugs500ct</v>
      </c>
    </row>
    <row r="444" spans="1:10" hidden="1" x14ac:dyDescent="0.25">
      <c r="A444" s="33" t="s">
        <v>178</v>
      </c>
      <c r="B444" s="33" t="s">
        <v>245</v>
      </c>
      <c r="C444" s="38" t="s">
        <v>236</v>
      </c>
      <c r="D444" s="37" t="s">
        <v>16</v>
      </c>
      <c r="E444" s="35">
        <v>20</v>
      </c>
      <c r="F444" s="34" t="s">
        <v>237</v>
      </c>
      <c r="G444" s="61" t="b">
        <v>1</v>
      </c>
      <c r="I444" t="str">
        <f t="shared" si="19"/>
        <v>Xeric_Riffle</v>
      </c>
      <c r="J444" t="str">
        <f t="shared" si="20"/>
        <v>BCG_ORWA_v1_Bugs500ct</v>
      </c>
    </row>
    <row r="445" spans="1:10" hidden="1" x14ac:dyDescent="0.25">
      <c r="A445" s="33" t="s">
        <v>178</v>
      </c>
      <c r="B445" s="33" t="s">
        <v>245</v>
      </c>
      <c r="C445" s="34" t="s">
        <v>218</v>
      </c>
      <c r="D445" s="8" t="s">
        <v>231</v>
      </c>
      <c r="E445" s="35">
        <v>1</v>
      </c>
      <c r="F445" s="34" t="s">
        <v>238</v>
      </c>
      <c r="G445" s="61" t="b">
        <v>1</v>
      </c>
      <c r="I445" t="str">
        <f t="shared" si="19"/>
        <v>Xeric_Riffle</v>
      </c>
      <c r="J445" t="str">
        <f t="shared" si="20"/>
        <v>BCG_ORWA_v1_Bugs500ct</v>
      </c>
    </row>
    <row r="446" spans="1:10" hidden="1" x14ac:dyDescent="0.25">
      <c r="A446" s="33" t="s">
        <v>178</v>
      </c>
      <c r="B446" s="33" t="s">
        <v>245</v>
      </c>
      <c r="C446" s="34" t="s">
        <v>220</v>
      </c>
      <c r="D446" s="8" t="s">
        <v>17</v>
      </c>
      <c r="E446" s="35">
        <v>5</v>
      </c>
      <c r="F446" s="34" t="s">
        <v>239</v>
      </c>
      <c r="G446" s="61" t="b">
        <v>1</v>
      </c>
      <c r="I446" t="str">
        <f t="shared" si="19"/>
        <v>Xeric_Riffle</v>
      </c>
      <c r="J446" t="str">
        <f t="shared" si="20"/>
        <v>BCG_ORWA_v1_Bugs500ct</v>
      </c>
    </row>
    <row r="447" spans="1:10" hidden="1" x14ac:dyDescent="0.25">
      <c r="A447" s="33" t="s">
        <v>178</v>
      </c>
      <c r="B447" s="33" t="s">
        <v>245</v>
      </c>
      <c r="C447" s="34" t="s">
        <v>72</v>
      </c>
      <c r="D447" s="35" t="s">
        <v>16</v>
      </c>
      <c r="E447" s="35">
        <v>4</v>
      </c>
      <c r="F447" s="34" t="s">
        <v>215</v>
      </c>
      <c r="G447" s="61" t="b">
        <v>1</v>
      </c>
      <c r="I447" t="str">
        <f t="shared" si="19"/>
        <v>Xeric_Riffle</v>
      </c>
      <c r="J447" t="str">
        <f t="shared" si="20"/>
        <v>BCG_ORWA_v1_Bugs500ct</v>
      </c>
    </row>
    <row r="448" spans="1:10" hidden="1" x14ac:dyDescent="0.25">
      <c r="A448" s="33" t="s">
        <v>178</v>
      </c>
      <c r="B448" s="33" t="s">
        <v>245</v>
      </c>
      <c r="C448" s="34" t="s">
        <v>74</v>
      </c>
      <c r="D448" s="20" t="s">
        <v>96</v>
      </c>
      <c r="E448" s="35">
        <v>0</v>
      </c>
      <c r="F448" s="34" t="s">
        <v>216</v>
      </c>
      <c r="G448" s="61" t="b">
        <v>1</v>
      </c>
      <c r="I448" t="str">
        <f t="shared" si="19"/>
        <v>Xeric_Riffle</v>
      </c>
      <c r="J448" t="str">
        <f t="shared" si="20"/>
        <v>BCG_ORWA_v1_Bugs500ct</v>
      </c>
    </row>
    <row r="449" spans="1:10" hidden="1" x14ac:dyDescent="0.25">
      <c r="A449" s="33" t="s">
        <v>178</v>
      </c>
      <c r="B449" s="33" t="s">
        <v>245</v>
      </c>
      <c r="C449" s="34" t="s">
        <v>76</v>
      </c>
      <c r="D449" s="35" t="s">
        <v>16</v>
      </c>
      <c r="E449" s="35">
        <v>4</v>
      </c>
      <c r="F449" s="34" t="s">
        <v>217</v>
      </c>
      <c r="G449" s="61" t="b">
        <v>1</v>
      </c>
      <c r="I449" t="str">
        <f t="shared" si="19"/>
        <v>Xeric_Riffle</v>
      </c>
      <c r="J449" t="str">
        <f t="shared" si="20"/>
        <v>BCG_ORWA_v1_Bugs500ct</v>
      </c>
    </row>
    <row r="450" spans="1:10" hidden="1" x14ac:dyDescent="0.25">
      <c r="A450" s="33" t="s">
        <v>178</v>
      </c>
      <c r="B450" s="33" t="s">
        <v>245</v>
      </c>
      <c r="C450" s="39" t="s">
        <v>66</v>
      </c>
      <c r="D450" s="8" t="s">
        <v>17</v>
      </c>
      <c r="E450" s="35">
        <v>5</v>
      </c>
      <c r="F450" t="s">
        <v>240</v>
      </c>
      <c r="G450" s="61" t="b">
        <v>1</v>
      </c>
      <c r="I450" t="str">
        <f t="shared" si="19"/>
        <v>Xeric_Riffle</v>
      </c>
      <c r="J450" t="str">
        <f t="shared" si="20"/>
        <v>BCG_ORWA_v1_Bugs500ct</v>
      </c>
    </row>
    <row r="451" spans="1:10" hidden="1" x14ac:dyDescent="0.25">
      <c r="A451" s="40" t="s">
        <v>178</v>
      </c>
      <c r="B451" s="40" t="s">
        <v>245</v>
      </c>
      <c r="C451" s="41" t="s">
        <v>241</v>
      </c>
      <c r="D451" s="29" t="s">
        <v>17</v>
      </c>
      <c r="E451" s="42">
        <v>55</v>
      </c>
      <c r="F451" s="41" t="s">
        <v>242</v>
      </c>
      <c r="G451" s="61" t="b">
        <v>1</v>
      </c>
      <c r="I451" t="str">
        <f t="shared" si="19"/>
        <v>Xeric_Riffle</v>
      </c>
      <c r="J451" t="str">
        <f t="shared" si="20"/>
        <v>BCG_ORWA_v1_Bugs500ct</v>
      </c>
    </row>
    <row r="452" spans="1:10" ht="30" hidden="1" x14ac:dyDescent="0.25">
      <c r="A452" s="33" t="s">
        <v>178</v>
      </c>
      <c r="B452" s="33" t="s">
        <v>246</v>
      </c>
      <c r="C452" s="34" t="s">
        <v>14</v>
      </c>
      <c r="D452" s="35" t="s">
        <v>16</v>
      </c>
      <c r="E452" s="35">
        <v>450</v>
      </c>
      <c r="F452" s="36" t="s">
        <v>209</v>
      </c>
      <c r="G452" s="61" t="b">
        <v>1</v>
      </c>
      <c r="I452" t="str">
        <f t="shared" si="19"/>
        <v>MountainCold_Multihab</v>
      </c>
      <c r="J452" t="str">
        <f t="shared" si="20"/>
        <v>BCG_ORWA_v1_Bugs500ct</v>
      </c>
    </row>
    <row r="453" spans="1:10" ht="30" hidden="1" x14ac:dyDescent="0.25">
      <c r="A453" s="33" t="s">
        <v>178</v>
      </c>
      <c r="B453" s="33" t="s">
        <v>246</v>
      </c>
      <c r="C453" s="34" t="s">
        <v>188</v>
      </c>
      <c r="D453" s="35" t="s">
        <v>16</v>
      </c>
      <c r="E453" s="35">
        <v>35</v>
      </c>
      <c r="F453" s="34" t="s">
        <v>247</v>
      </c>
      <c r="G453" s="61" t="b">
        <v>1</v>
      </c>
      <c r="I453" t="str">
        <f t="shared" si="19"/>
        <v>MountainCold_Multihab</v>
      </c>
      <c r="J453" t="str">
        <f t="shared" si="20"/>
        <v>BCG_ORWA_v1_Bugs500ct</v>
      </c>
    </row>
    <row r="454" spans="1:10" ht="30" hidden="1" x14ac:dyDescent="0.25">
      <c r="A454" s="33" t="s">
        <v>178</v>
      </c>
      <c r="B454" s="33" t="s">
        <v>246</v>
      </c>
      <c r="C454" s="36" t="s">
        <v>213</v>
      </c>
      <c r="D454" s="37" t="s">
        <v>16</v>
      </c>
      <c r="E454" s="35">
        <v>3.5</v>
      </c>
      <c r="F454" s="36" t="s">
        <v>248</v>
      </c>
      <c r="G454" s="61" t="b">
        <v>1</v>
      </c>
      <c r="I454" t="str">
        <f t="shared" si="19"/>
        <v>MountainCold_Multihab</v>
      </c>
      <c r="J454" t="str">
        <f t="shared" si="20"/>
        <v>BCG_ORWA_v1_Bugs500ct</v>
      </c>
    </row>
    <row r="455" spans="1:10" ht="30" hidden="1" x14ac:dyDescent="0.25">
      <c r="A455" s="33" t="s">
        <v>178</v>
      </c>
      <c r="B455" s="33" t="s">
        <v>246</v>
      </c>
      <c r="C455" s="43" t="s">
        <v>249</v>
      </c>
      <c r="D455" s="37" t="s">
        <v>15</v>
      </c>
      <c r="E455" s="35">
        <v>0</v>
      </c>
      <c r="F455" s="34" t="s">
        <v>250</v>
      </c>
      <c r="G455" s="61" t="b">
        <v>1</v>
      </c>
      <c r="I455" t="str">
        <f t="shared" si="19"/>
        <v>MountainCold_Multihab</v>
      </c>
      <c r="J455" t="str">
        <f t="shared" si="20"/>
        <v>BCG_ORWA_v1_Bugs500ct</v>
      </c>
    </row>
    <row r="456" spans="1:10" ht="30" hidden="1" x14ac:dyDescent="0.25">
      <c r="A456" s="33" t="s">
        <v>178</v>
      </c>
      <c r="B456" s="33" t="s">
        <v>246</v>
      </c>
      <c r="C456" s="43" t="s">
        <v>282</v>
      </c>
      <c r="D456" s="8" t="s">
        <v>17</v>
      </c>
      <c r="E456" s="35">
        <v>30</v>
      </c>
      <c r="F456" s="34" t="s">
        <v>251</v>
      </c>
      <c r="G456" s="61" t="b">
        <v>1</v>
      </c>
      <c r="I456" t="str">
        <f t="shared" si="19"/>
        <v>MountainCold_Multihab</v>
      </c>
      <c r="J456" t="str">
        <f t="shared" si="20"/>
        <v>BCG_ORWA_v1_Bugs500ct</v>
      </c>
    </row>
    <row r="457" spans="1:10" ht="30" hidden="1" x14ac:dyDescent="0.25">
      <c r="A457" s="33" t="s">
        <v>178</v>
      </c>
      <c r="B457" s="33" t="s">
        <v>246</v>
      </c>
      <c r="C457" s="34" t="s">
        <v>234</v>
      </c>
      <c r="D457" s="20" t="s">
        <v>96</v>
      </c>
      <c r="E457" s="35">
        <v>0</v>
      </c>
      <c r="F457" s="34" t="s">
        <v>235</v>
      </c>
      <c r="G457" s="61" t="b">
        <v>1</v>
      </c>
      <c r="I457" t="str">
        <f t="shared" si="19"/>
        <v>MountainCold_Multihab</v>
      </c>
      <c r="J457" t="str">
        <f t="shared" si="20"/>
        <v>BCG_ORWA_v1_Bugs500ct</v>
      </c>
    </row>
    <row r="458" spans="1:10" ht="30" hidden="1" x14ac:dyDescent="0.25">
      <c r="A458" s="33" t="s">
        <v>178</v>
      </c>
      <c r="B458" s="33" t="s">
        <v>246</v>
      </c>
      <c r="C458" s="38" t="s">
        <v>236</v>
      </c>
      <c r="D458" s="37" t="s">
        <v>16</v>
      </c>
      <c r="E458" s="35">
        <v>25</v>
      </c>
      <c r="F458" s="34" t="s">
        <v>237</v>
      </c>
      <c r="G458" s="61" t="b">
        <v>1</v>
      </c>
      <c r="I458" t="str">
        <f t="shared" si="19"/>
        <v>MountainCold_Multihab</v>
      </c>
      <c r="J458" t="str">
        <f t="shared" si="20"/>
        <v>BCG_ORWA_v1_Bugs500ct</v>
      </c>
    </row>
    <row r="459" spans="1:10" ht="30" hidden="1" x14ac:dyDescent="0.25">
      <c r="A459" s="33" t="s">
        <v>178</v>
      </c>
      <c r="B459" s="33" t="s">
        <v>246</v>
      </c>
      <c r="C459" s="34" t="s">
        <v>220</v>
      </c>
      <c r="D459" s="37" t="s">
        <v>15</v>
      </c>
      <c r="E459" s="35">
        <v>0</v>
      </c>
      <c r="F459" s="34" t="s">
        <v>252</v>
      </c>
      <c r="G459" s="61" t="b">
        <v>1</v>
      </c>
      <c r="I459" t="str">
        <f t="shared" si="19"/>
        <v>MountainCold_Multihab</v>
      </c>
      <c r="J459" t="str">
        <f t="shared" si="20"/>
        <v>BCG_ORWA_v1_Bugs500ct</v>
      </c>
    </row>
    <row r="460" spans="1:10" ht="30" hidden="1" x14ac:dyDescent="0.25">
      <c r="A460" s="33" t="s">
        <v>178</v>
      </c>
      <c r="B460" s="33" t="s">
        <v>246</v>
      </c>
      <c r="C460" s="34" t="s">
        <v>72</v>
      </c>
      <c r="D460" s="35" t="s">
        <v>16</v>
      </c>
      <c r="E460" s="35">
        <v>4</v>
      </c>
      <c r="F460" s="34" t="s">
        <v>215</v>
      </c>
      <c r="G460" s="61" t="b">
        <v>1</v>
      </c>
      <c r="I460" t="str">
        <f t="shared" si="19"/>
        <v>MountainCold_Multihab</v>
      </c>
      <c r="J460" t="str">
        <f t="shared" si="20"/>
        <v>BCG_ORWA_v1_Bugs500ct</v>
      </c>
    </row>
    <row r="461" spans="1:10" ht="30" hidden="1" x14ac:dyDescent="0.25">
      <c r="A461" s="33" t="s">
        <v>178</v>
      </c>
      <c r="B461" s="33" t="s">
        <v>246</v>
      </c>
      <c r="C461" s="34" t="s">
        <v>74</v>
      </c>
      <c r="D461" s="35" t="s">
        <v>16</v>
      </c>
      <c r="E461" s="35">
        <v>3</v>
      </c>
      <c r="F461" s="34" t="s">
        <v>216</v>
      </c>
      <c r="G461" s="61" t="b">
        <v>1</v>
      </c>
      <c r="I461" t="str">
        <f t="shared" si="19"/>
        <v>MountainCold_Multihab</v>
      </c>
      <c r="J461" t="str">
        <f t="shared" si="20"/>
        <v>BCG_ORWA_v1_Bugs500ct</v>
      </c>
    </row>
    <row r="462" spans="1:10" ht="30" hidden="1" x14ac:dyDescent="0.25">
      <c r="A462" s="33" t="s">
        <v>178</v>
      </c>
      <c r="B462" s="33" t="s">
        <v>246</v>
      </c>
      <c r="C462" s="34" t="s">
        <v>76</v>
      </c>
      <c r="D462" s="35" t="s">
        <v>16</v>
      </c>
      <c r="E462" s="35">
        <v>4</v>
      </c>
      <c r="F462" s="34" t="s">
        <v>217</v>
      </c>
      <c r="G462" s="61" t="b">
        <v>1</v>
      </c>
      <c r="I462" t="str">
        <f t="shared" si="19"/>
        <v>MountainCold_Multihab</v>
      </c>
      <c r="J462" t="str">
        <f t="shared" si="20"/>
        <v>BCG_ORWA_v1_Bugs500ct</v>
      </c>
    </row>
    <row r="463" spans="1:10" ht="30" hidden="1" x14ac:dyDescent="0.25">
      <c r="A463" s="44" t="s">
        <v>178</v>
      </c>
      <c r="B463" s="44" t="s">
        <v>246</v>
      </c>
      <c r="C463" s="39" t="s">
        <v>66</v>
      </c>
      <c r="D463" s="45" t="s">
        <v>17</v>
      </c>
      <c r="E463" s="46">
        <v>5</v>
      </c>
      <c r="F463" s="13" t="s">
        <v>240</v>
      </c>
      <c r="G463" s="61" t="b">
        <v>1</v>
      </c>
      <c r="I463" t="str">
        <f t="shared" si="19"/>
        <v>MountainCold_Multihab</v>
      </c>
      <c r="J463" t="str">
        <f t="shared" si="20"/>
        <v>BCG_ORWA_v1_Bugs500ct</v>
      </c>
    </row>
    <row r="464" spans="1:10" ht="30" hidden="1" x14ac:dyDescent="0.25">
      <c r="A464" s="33" t="s">
        <v>178</v>
      </c>
      <c r="B464" s="33" t="s">
        <v>246</v>
      </c>
      <c r="C464" s="34" t="s">
        <v>243</v>
      </c>
      <c r="D464" s="8" t="s">
        <v>17</v>
      </c>
      <c r="E464" s="35">
        <v>4</v>
      </c>
      <c r="F464" s="34" t="s">
        <v>253</v>
      </c>
      <c r="G464" s="61" t="b">
        <v>1</v>
      </c>
      <c r="I464" t="str">
        <f t="shared" si="19"/>
        <v>MountainCold_Multihab</v>
      </c>
      <c r="J464" t="str">
        <f t="shared" si="20"/>
        <v>BCG_ORWA_v1_Bugs500ct</v>
      </c>
    </row>
    <row r="465" spans="1:10" ht="30" hidden="1" x14ac:dyDescent="0.25">
      <c r="A465" s="40" t="s">
        <v>178</v>
      </c>
      <c r="B465" s="40" t="s">
        <v>246</v>
      </c>
      <c r="C465" s="41" t="s">
        <v>241</v>
      </c>
      <c r="D465" s="47" t="s">
        <v>16</v>
      </c>
      <c r="E465" s="42">
        <v>45</v>
      </c>
      <c r="F465" s="41" t="s">
        <v>254</v>
      </c>
      <c r="G465" s="61" t="b">
        <v>1</v>
      </c>
      <c r="I465" t="str">
        <f t="shared" si="19"/>
        <v>MountainCold_Multihab</v>
      </c>
      <c r="J465" t="str">
        <f t="shared" si="20"/>
        <v>BCG_ORWA_v1_Bugs500ct</v>
      </c>
    </row>
    <row r="466" spans="1:10" ht="30" hidden="1" x14ac:dyDescent="0.25">
      <c r="A466" s="33" t="s">
        <v>178</v>
      </c>
      <c r="B466" s="33" t="s">
        <v>255</v>
      </c>
      <c r="C466" s="48" t="s">
        <v>14</v>
      </c>
      <c r="D466" s="28" t="s">
        <v>16</v>
      </c>
      <c r="E466" s="28">
        <v>450</v>
      </c>
      <c r="F466" s="30" t="s">
        <v>209</v>
      </c>
      <c r="G466" s="61" t="b">
        <v>1</v>
      </c>
      <c r="I466" t="str">
        <f t="shared" si="19"/>
        <v>MountainCold_Riffle</v>
      </c>
      <c r="J466" t="str">
        <f t="shared" si="20"/>
        <v>BCG_ORWA_v1_Bugs500ct</v>
      </c>
    </row>
    <row r="467" spans="1:10" ht="30" hidden="1" x14ac:dyDescent="0.25">
      <c r="A467" s="33" t="s">
        <v>178</v>
      </c>
      <c r="B467" s="33" t="s">
        <v>255</v>
      </c>
      <c r="C467" s="48" t="s">
        <v>188</v>
      </c>
      <c r="D467" s="28" t="s">
        <v>16</v>
      </c>
      <c r="E467" s="28">
        <v>35</v>
      </c>
      <c r="F467" s="48" t="s">
        <v>247</v>
      </c>
      <c r="G467" s="61" t="b">
        <v>1</v>
      </c>
      <c r="I467" t="str">
        <f t="shared" si="19"/>
        <v>MountainCold_Riffle</v>
      </c>
      <c r="J467" t="str">
        <f t="shared" si="20"/>
        <v>BCG_ORWA_v1_Bugs500ct</v>
      </c>
    </row>
    <row r="468" spans="1:10" ht="30" hidden="1" x14ac:dyDescent="0.25">
      <c r="A468" s="33" t="s">
        <v>178</v>
      </c>
      <c r="B468" s="33" t="s">
        <v>255</v>
      </c>
      <c r="C468" s="30" t="s">
        <v>213</v>
      </c>
      <c r="D468" s="32" t="s">
        <v>16</v>
      </c>
      <c r="E468" s="49">
        <v>3</v>
      </c>
      <c r="F468" s="30" t="s">
        <v>248</v>
      </c>
      <c r="G468" s="61" t="b">
        <v>1</v>
      </c>
      <c r="I468" t="str">
        <f t="shared" si="19"/>
        <v>MountainCold_Riffle</v>
      </c>
      <c r="J468" t="str">
        <f t="shared" si="20"/>
        <v>BCG_ORWA_v1_Bugs500ct</v>
      </c>
    </row>
    <row r="469" spans="1:10" ht="30" hidden="1" x14ac:dyDescent="0.25">
      <c r="A469" s="33" t="s">
        <v>178</v>
      </c>
      <c r="B469" s="33" t="s">
        <v>255</v>
      </c>
      <c r="C469" t="s">
        <v>249</v>
      </c>
      <c r="D469" s="32" t="s">
        <v>16</v>
      </c>
      <c r="E469" s="28">
        <v>1</v>
      </c>
      <c r="F469" s="48" t="s">
        <v>256</v>
      </c>
      <c r="G469" s="61" t="b">
        <v>1</v>
      </c>
      <c r="I469" t="str">
        <f t="shared" si="19"/>
        <v>MountainCold_Riffle</v>
      </c>
      <c r="J469" t="str">
        <f t="shared" si="20"/>
        <v>BCG_ORWA_v1_Bugs500ct</v>
      </c>
    </row>
    <row r="470" spans="1:10" ht="30" hidden="1" x14ac:dyDescent="0.25">
      <c r="A470" s="33" t="s">
        <v>178</v>
      </c>
      <c r="B470" s="33" t="s">
        <v>255</v>
      </c>
      <c r="C470" t="s">
        <v>282</v>
      </c>
      <c r="D470" s="8" t="s">
        <v>17</v>
      </c>
      <c r="E470" s="28">
        <v>15</v>
      </c>
      <c r="F470" s="48" t="s">
        <v>251</v>
      </c>
      <c r="G470" s="61" t="b">
        <v>1</v>
      </c>
      <c r="I470" t="str">
        <f t="shared" si="19"/>
        <v>MountainCold_Riffle</v>
      </c>
      <c r="J470" t="str">
        <f t="shared" si="20"/>
        <v>BCG_ORWA_v1_Bugs500ct</v>
      </c>
    </row>
    <row r="471" spans="1:10" ht="30" hidden="1" x14ac:dyDescent="0.25">
      <c r="A471" s="33" t="s">
        <v>178</v>
      </c>
      <c r="B471" s="33" t="s">
        <v>255</v>
      </c>
      <c r="C471" s="48" t="s">
        <v>234</v>
      </c>
      <c r="D471" s="8" t="s">
        <v>231</v>
      </c>
      <c r="E471" s="28">
        <v>3</v>
      </c>
      <c r="F471" s="48" t="s">
        <v>257</v>
      </c>
      <c r="G471" s="61" t="b">
        <v>1</v>
      </c>
      <c r="I471" t="str">
        <f t="shared" si="19"/>
        <v>MountainCold_Riffle</v>
      </c>
      <c r="J471" t="str">
        <f t="shared" si="20"/>
        <v>BCG_ORWA_v1_Bugs500ct</v>
      </c>
    </row>
    <row r="472" spans="1:10" ht="30" hidden="1" x14ac:dyDescent="0.25">
      <c r="A472" s="33" t="s">
        <v>178</v>
      </c>
      <c r="B472" s="33" t="s">
        <v>255</v>
      </c>
      <c r="C472" s="50" t="s">
        <v>236</v>
      </c>
      <c r="D472" s="32" t="s">
        <v>16</v>
      </c>
      <c r="E472" s="28">
        <v>24</v>
      </c>
      <c r="F472" s="48" t="s">
        <v>237</v>
      </c>
      <c r="G472" s="61" t="b">
        <v>1</v>
      </c>
      <c r="I472" t="str">
        <f t="shared" si="19"/>
        <v>MountainCold_Riffle</v>
      </c>
      <c r="J472" t="str">
        <f t="shared" si="20"/>
        <v>BCG_ORWA_v1_Bugs500ct</v>
      </c>
    </row>
    <row r="473" spans="1:10" ht="30" hidden="1" x14ac:dyDescent="0.25">
      <c r="A473" s="33" t="s">
        <v>178</v>
      </c>
      <c r="B473" s="33" t="s">
        <v>255</v>
      </c>
      <c r="C473" s="30" t="s">
        <v>134</v>
      </c>
      <c r="D473" s="35" t="s">
        <v>16</v>
      </c>
      <c r="E473" s="35">
        <v>5</v>
      </c>
      <c r="F473" s="48" t="s">
        <v>258</v>
      </c>
      <c r="G473" s="61" t="b">
        <v>1</v>
      </c>
      <c r="I473" t="str">
        <f t="shared" si="19"/>
        <v>MountainCold_Riffle</v>
      </c>
      <c r="J473" t="str">
        <f t="shared" si="20"/>
        <v>BCG_ORWA_v1_Bugs500ct</v>
      </c>
    </row>
    <row r="474" spans="1:10" ht="30" hidden="1" x14ac:dyDescent="0.25">
      <c r="A474" s="33" t="s">
        <v>178</v>
      </c>
      <c r="B474" s="33" t="s">
        <v>255</v>
      </c>
      <c r="C474" s="48" t="s">
        <v>220</v>
      </c>
      <c r="D474" s="32" t="s">
        <v>15</v>
      </c>
      <c r="E474" s="28">
        <v>0</v>
      </c>
      <c r="F474" s="48" t="s">
        <v>252</v>
      </c>
      <c r="G474" s="61" t="b">
        <v>1</v>
      </c>
      <c r="I474" t="str">
        <f t="shared" si="19"/>
        <v>MountainCold_Riffle</v>
      </c>
      <c r="J474" t="str">
        <f t="shared" si="20"/>
        <v>BCG_ORWA_v1_Bugs500ct</v>
      </c>
    </row>
    <row r="475" spans="1:10" ht="30" hidden="1" x14ac:dyDescent="0.25">
      <c r="A475" s="33" t="s">
        <v>178</v>
      </c>
      <c r="B475" s="33" t="s">
        <v>255</v>
      </c>
      <c r="C475" s="48" t="s">
        <v>72</v>
      </c>
      <c r="D475" s="28" t="s">
        <v>16</v>
      </c>
      <c r="E475" s="28">
        <v>5</v>
      </c>
      <c r="F475" s="48" t="s">
        <v>215</v>
      </c>
      <c r="G475" s="61" t="b">
        <v>1</v>
      </c>
      <c r="I475" t="str">
        <f t="shared" si="19"/>
        <v>MountainCold_Riffle</v>
      </c>
      <c r="J475" t="str">
        <f t="shared" si="20"/>
        <v>BCG_ORWA_v1_Bugs500ct</v>
      </c>
    </row>
    <row r="476" spans="1:10" ht="30" hidden="1" x14ac:dyDescent="0.25">
      <c r="A476" s="33" t="s">
        <v>178</v>
      </c>
      <c r="B476" s="33" t="s">
        <v>255</v>
      </c>
      <c r="C476" s="48" t="s">
        <v>74</v>
      </c>
      <c r="D476" s="28" t="s">
        <v>16</v>
      </c>
      <c r="E476" s="28">
        <v>4</v>
      </c>
      <c r="F476" s="48" t="s">
        <v>259</v>
      </c>
      <c r="G476" s="61" t="b">
        <v>1</v>
      </c>
      <c r="I476" t="str">
        <f t="shared" si="19"/>
        <v>MountainCold_Riffle</v>
      </c>
      <c r="J476" t="str">
        <f t="shared" si="20"/>
        <v>BCG_ORWA_v1_Bugs500ct</v>
      </c>
    </row>
    <row r="477" spans="1:10" ht="30" hidden="1" x14ac:dyDescent="0.25">
      <c r="A477" s="33" t="s">
        <v>178</v>
      </c>
      <c r="B477" s="33" t="s">
        <v>255</v>
      </c>
      <c r="C477" s="48" t="s">
        <v>76</v>
      </c>
      <c r="D477" s="28" t="s">
        <v>16</v>
      </c>
      <c r="E477" s="28">
        <v>5</v>
      </c>
      <c r="F477" s="48" t="s">
        <v>217</v>
      </c>
      <c r="G477" s="61" t="b">
        <v>1</v>
      </c>
      <c r="I477" t="str">
        <f t="shared" si="19"/>
        <v>MountainCold_Riffle</v>
      </c>
      <c r="J477" t="str">
        <f t="shared" si="20"/>
        <v>BCG_ORWA_v1_Bugs500ct</v>
      </c>
    </row>
    <row r="478" spans="1:10" ht="30" hidden="1" x14ac:dyDescent="0.25">
      <c r="A478" s="44" t="s">
        <v>178</v>
      </c>
      <c r="B478" s="44" t="s">
        <v>255</v>
      </c>
      <c r="C478" s="39" t="s">
        <v>66</v>
      </c>
      <c r="D478" s="45" t="s">
        <v>17</v>
      </c>
      <c r="E478" s="46">
        <v>5</v>
      </c>
      <c r="F478" s="13" t="s">
        <v>240</v>
      </c>
      <c r="G478" s="61" t="b">
        <v>1</v>
      </c>
      <c r="I478" t="str">
        <f t="shared" si="19"/>
        <v>MountainCold_Riffle</v>
      </c>
      <c r="J478" t="str">
        <f t="shared" si="20"/>
        <v>BCG_ORWA_v1_Bugs500ct</v>
      </c>
    </row>
    <row r="479" spans="1:10" ht="30" hidden="1" x14ac:dyDescent="0.25">
      <c r="A479" s="33" t="s">
        <v>178</v>
      </c>
      <c r="B479" s="33" t="s">
        <v>255</v>
      </c>
      <c r="C479" s="48" t="s">
        <v>243</v>
      </c>
      <c r="D479" s="32" t="s">
        <v>15</v>
      </c>
      <c r="E479" s="28">
        <v>4</v>
      </c>
      <c r="F479" s="48" t="s">
        <v>260</v>
      </c>
      <c r="G479" s="61" t="b">
        <v>1</v>
      </c>
      <c r="I479" t="str">
        <f t="shared" si="19"/>
        <v>MountainCold_Riffle</v>
      </c>
      <c r="J479" t="str">
        <f t="shared" si="20"/>
        <v>BCG_ORWA_v1_Bugs500ct</v>
      </c>
    </row>
    <row r="480" spans="1:10" ht="30" hidden="1" x14ac:dyDescent="0.25">
      <c r="A480" s="40" t="s">
        <v>178</v>
      </c>
      <c r="B480" s="40" t="s">
        <v>255</v>
      </c>
      <c r="C480" s="51" t="s">
        <v>241</v>
      </c>
      <c r="D480" s="52" t="s">
        <v>16</v>
      </c>
      <c r="E480" s="53">
        <v>60</v>
      </c>
      <c r="F480" s="51" t="s">
        <v>254</v>
      </c>
      <c r="G480" s="61" t="b">
        <v>1</v>
      </c>
      <c r="I480" t="str">
        <f t="shared" si="19"/>
        <v>MountainCold_Riffle</v>
      </c>
      <c r="J480" t="str">
        <f t="shared" si="20"/>
        <v>BCG_ORWA_v1_Bugs500ct</v>
      </c>
    </row>
    <row r="481" spans="1:10" hidden="1" x14ac:dyDescent="0.25">
      <c r="A481" s="33" t="s">
        <v>178</v>
      </c>
      <c r="B481" s="54" t="s">
        <v>261</v>
      </c>
      <c r="C481" s="34" t="s">
        <v>14</v>
      </c>
      <c r="D481" s="35" t="s">
        <v>16</v>
      </c>
      <c r="E481" s="28">
        <v>450</v>
      </c>
      <c r="F481" s="36" t="s">
        <v>209</v>
      </c>
      <c r="G481" s="61" t="b">
        <v>1</v>
      </c>
      <c r="I481" t="str">
        <f t="shared" si="19"/>
        <v>NBR_Riffle</v>
      </c>
      <c r="J481" t="str">
        <f t="shared" si="20"/>
        <v>BCG_ORWA_v1_Bugs500ct</v>
      </c>
    </row>
    <row r="482" spans="1:10" hidden="1" x14ac:dyDescent="0.25">
      <c r="A482" s="33" t="s">
        <v>178</v>
      </c>
      <c r="B482" s="54" t="s">
        <v>261</v>
      </c>
      <c r="C482" s="36" t="s">
        <v>213</v>
      </c>
      <c r="D482" s="32" t="s">
        <v>16</v>
      </c>
      <c r="E482" s="55">
        <v>3</v>
      </c>
      <c r="F482" s="30" t="s">
        <v>233</v>
      </c>
      <c r="G482" s="61" t="b">
        <v>1</v>
      </c>
      <c r="I482" t="str">
        <f t="shared" si="19"/>
        <v>NBR_Riffle</v>
      </c>
      <c r="J482" t="str">
        <f t="shared" si="20"/>
        <v>BCG_ORWA_v1_Bugs500ct</v>
      </c>
    </row>
    <row r="483" spans="1:10" hidden="1" x14ac:dyDescent="0.25">
      <c r="A483" s="33" t="s">
        <v>178</v>
      </c>
      <c r="B483" s="54" t="s">
        <v>261</v>
      </c>
      <c r="C483" s="48" t="s">
        <v>234</v>
      </c>
      <c r="D483" s="20" t="s">
        <v>96</v>
      </c>
      <c r="E483" s="28">
        <v>0</v>
      </c>
      <c r="F483" s="48" t="s">
        <v>235</v>
      </c>
      <c r="G483" s="61" t="b">
        <v>1</v>
      </c>
      <c r="I483" t="str">
        <f t="shared" si="19"/>
        <v>NBR_Riffle</v>
      </c>
      <c r="J483" t="str">
        <f t="shared" si="20"/>
        <v>BCG_ORWA_v1_Bugs500ct</v>
      </c>
    </row>
    <row r="484" spans="1:10" hidden="1" x14ac:dyDescent="0.25">
      <c r="A484" s="33" t="s">
        <v>178</v>
      </c>
      <c r="B484" s="54" t="s">
        <v>261</v>
      </c>
      <c r="C484" s="48" t="s">
        <v>218</v>
      </c>
      <c r="D484" s="8" t="s">
        <v>231</v>
      </c>
      <c r="E484" s="28">
        <v>1</v>
      </c>
      <c r="F484" s="48" t="s">
        <v>238</v>
      </c>
      <c r="G484" s="61" t="b">
        <v>1</v>
      </c>
      <c r="I484" t="str">
        <f t="shared" si="19"/>
        <v>NBR_Riffle</v>
      </c>
      <c r="J484" t="str">
        <f t="shared" si="20"/>
        <v>BCG_ORWA_v1_Bugs500ct</v>
      </c>
    </row>
    <row r="485" spans="1:10" hidden="1" x14ac:dyDescent="0.25">
      <c r="A485" s="33" t="s">
        <v>178</v>
      </c>
      <c r="B485" s="54" t="s">
        <v>261</v>
      </c>
      <c r="C485" s="48" t="s">
        <v>220</v>
      </c>
      <c r="D485" s="8" t="s">
        <v>17</v>
      </c>
      <c r="E485" s="28">
        <v>5</v>
      </c>
      <c r="F485" s="48" t="s">
        <v>239</v>
      </c>
      <c r="G485" s="61" t="b">
        <v>1</v>
      </c>
      <c r="I485" t="str">
        <f t="shared" si="19"/>
        <v>NBR_Riffle</v>
      </c>
      <c r="J485" t="str">
        <f t="shared" si="20"/>
        <v>BCG_ORWA_v1_Bugs500ct</v>
      </c>
    </row>
    <row r="486" spans="1:10" hidden="1" x14ac:dyDescent="0.25">
      <c r="A486" s="33" t="s">
        <v>178</v>
      </c>
      <c r="B486" s="54" t="s">
        <v>261</v>
      </c>
      <c r="C486" s="48" t="s">
        <v>72</v>
      </c>
      <c r="D486" s="28" t="s">
        <v>16</v>
      </c>
      <c r="E486" s="28">
        <v>4</v>
      </c>
      <c r="F486" s="48" t="s">
        <v>215</v>
      </c>
      <c r="G486" s="61" t="b">
        <v>1</v>
      </c>
      <c r="I486" t="str">
        <f t="shared" si="19"/>
        <v>NBR_Riffle</v>
      </c>
      <c r="J486" t="str">
        <f t="shared" si="20"/>
        <v>BCG_ORWA_v1_Bugs500ct</v>
      </c>
    </row>
    <row r="487" spans="1:10" hidden="1" x14ac:dyDescent="0.25">
      <c r="A487" s="33" t="s">
        <v>178</v>
      </c>
      <c r="B487" s="54" t="s">
        <v>261</v>
      </c>
      <c r="C487" s="48" t="s">
        <v>74</v>
      </c>
      <c r="D487" s="20" t="s">
        <v>96</v>
      </c>
      <c r="E487" s="28">
        <v>0</v>
      </c>
      <c r="F487" s="48" t="s">
        <v>216</v>
      </c>
      <c r="G487" s="61" t="b">
        <v>1</v>
      </c>
      <c r="I487" t="str">
        <f t="shared" si="19"/>
        <v>NBR_Riffle</v>
      </c>
      <c r="J487" t="str">
        <f t="shared" si="20"/>
        <v>BCG_ORWA_v1_Bugs500ct</v>
      </c>
    </row>
    <row r="488" spans="1:10" hidden="1" x14ac:dyDescent="0.25">
      <c r="A488" s="33" t="s">
        <v>178</v>
      </c>
      <c r="B488" s="54" t="s">
        <v>261</v>
      </c>
      <c r="C488" s="48" t="s">
        <v>76</v>
      </c>
      <c r="D488" s="28" t="s">
        <v>16</v>
      </c>
      <c r="E488" s="28">
        <v>4</v>
      </c>
      <c r="F488" s="48" t="s">
        <v>217</v>
      </c>
      <c r="G488" s="61" t="b">
        <v>1</v>
      </c>
      <c r="I488" t="str">
        <f t="shared" si="19"/>
        <v>NBR_Riffle</v>
      </c>
      <c r="J488" t="str">
        <f t="shared" si="20"/>
        <v>BCG_ORWA_v1_Bugs500ct</v>
      </c>
    </row>
    <row r="489" spans="1:10" hidden="1" x14ac:dyDescent="0.25">
      <c r="A489" s="33" t="s">
        <v>178</v>
      </c>
      <c r="B489" s="54" t="s">
        <v>261</v>
      </c>
      <c r="C489" s="48" t="s">
        <v>262</v>
      </c>
      <c r="D489" s="8" t="s">
        <v>17</v>
      </c>
      <c r="E489" s="28">
        <v>3</v>
      </c>
      <c r="F489" s="48" t="s">
        <v>263</v>
      </c>
      <c r="G489" s="62" t="b">
        <v>0</v>
      </c>
      <c r="I489" t="str">
        <f t="shared" si="19"/>
        <v>NBR_Riffle</v>
      </c>
      <c r="J489" t="str">
        <f t="shared" si="20"/>
        <v>BCG_ORWA_v1_Bugs500ct</v>
      </c>
    </row>
    <row r="490" spans="1:10" hidden="1" x14ac:dyDescent="0.25">
      <c r="A490" s="33" t="s">
        <v>178</v>
      </c>
      <c r="B490" s="54" t="s">
        <v>261</v>
      </c>
      <c r="C490" s="39" t="s">
        <v>66</v>
      </c>
      <c r="D490" s="8" t="s">
        <v>17</v>
      </c>
      <c r="E490" s="35">
        <v>20</v>
      </c>
      <c r="F490" t="s">
        <v>240</v>
      </c>
      <c r="G490" s="61" t="b">
        <v>1</v>
      </c>
      <c r="I490" t="str">
        <f t="shared" si="19"/>
        <v>NBR_Riffle</v>
      </c>
      <c r="J490" t="str">
        <f t="shared" si="20"/>
        <v>BCG_ORWA_v1_Bugs500ct</v>
      </c>
    </row>
    <row r="491" spans="1:10" hidden="1" x14ac:dyDescent="0.25">
      <c r="A491" s="40" t="s">
        <v>178</v>
      </c>
      <c r="B491" s="56" t="s">
        <v>261</v>
      </c>
      <c r="C491" s="41" t="s">
        <v>241</v>
      </c>
      <c r="D491" s="57" t="s">
        <v>17</v>
      </c>
      <c r="E491" s="42">
        <v>50</v>
      </c>
      <c r="F491" s="41" t="s">
        <v>242</v>
      </c>
      <c r="G491" s="61" t="b">
        <v>1</v>
      </c>
      <c r="I491" t="str">
        <f t="shared" si="19"/>
        <v>NBR_Riffle</v>
      </c>
      <c r="J491" t="str">
        <f t="shared" si="20"/>
        <v>BCG_ORWA_v1_Bugs500ct</v>
      </c>
    </row>
    <row r="492" spans="1:10" hidden="1" x14ac:dyDescent="0.25">
      <c r="A492" s="33" t="s">
        <v>178</v>
      </c>
      <c r="B492" s="58" t="s">
        <v>261</v>
      </c>
      <c r="C492" s="34" t="s">
        <v>243</v>
      </c>
      <c r="D492" s="59" t="s">
        <v>17</v>
      </c>
      <c r="E492" s="35">
        <v>2</v>
      </c>
      <c r="F492" s="34" t="s">
        <v>264</v>
      </c>
      <c r="G492" s="61" t="b">
        <v>1</v>
      </c>
      <c r="I492" t="str">
        <f t="shared" si="19"/>
        <v>NBR_Riffle</v>
      </c>
      <c r="J492" t="str">
        <f t="shared" si="20"/>
        <v>BCG_ORWA_v1_Bugs500ct</v>
      </c>
    </row>
    <row r="493" spans="1:10" hidden="1" x14ac:dyDescent="0.25">
      <c r="A493" s="34" t="s">
        <v>178</v>
      </c>
      <c r="B493" s="34" t="s">
        <v>265</v>
      </c>
      <c r="C493" s="34" t="s">
        <v>14</v>
      </c>
      <c r="D493" s="35" t="s">
        <v>16</v>
      </c>
      <c r="E493" s="35">
        <v>450</v>
      </c>
      <c r="F493" s="36" t="s">
        <v>209</v>
      </c>
      <c r="G493" s="61" t="b">
        <v>1</v>
      </c>
      <c r="I493" t="str">
        <f t="shared" si="19"/>
        <v>Foothills_Multihab</v>
      </c>
      <c r="J493" t="str">
        <f t="shared" si="20"/>
        <v>BCG_ORWA_v1_Bugs500ct</v>
      </c>
    </row>
    <row r="494" spans="1:10" hidden="1" x14ac:dyDescent="0.25">
      <c r="A494" s="34" t="s">
        <v>178</v>
      </c>
      <c r="B494" s="34" t="s">
        <v>265</v>
      </c>
      <c r="C494" s="34" t="s">
        <v>188</v>
      </c>
      <c r="D494" s="35" t="s">
        <v>16</v>
      </c>
      <c r="E494" s="35">
        <v>35</v>
      </c>
      <c r="F494" s="34" t="s">
        <v>247</v>
      </c>
      <c r="G494" s="61" t="b">
        <v>1</v>
      </c>
      <c r="I494" t="str">
        <f t="shared" ref="I494:I519" si="21">B494</f>
        <v>Foothills_Multihab</v>
      </c>
      <c r="J494" t="str">
        <f t="shared" ref="J494:J519" si="22">A494</f>
        <v>BCG_ORWA_v1_Bugs500ct</v>
      </c>
    </row>
    <row r="495" spans="1:10" hidden="1" x14ac:dyDescent="0.25">
      <c r="A495" s="34" t="s">
        <v>178</v>
      </c>
      <c r="B495" s="34" t="s">
        <v>265</v>
      </c>
      <c r="C495" s="34" t="s">
        <v>169</v>
      </c>
      <c r="D495" s="8" t="s">
        <v>17</v>
      </c>
      <c r="E495" s="35">
        <v>45</v>
      </c>
      <c r="F495" s="34" t="s">
        <v>233</v>
      </c>
      <c r="G495" s="61" t="b">
        <v>1</v>
      </c>
      <c r="I495" t="str">
        <f t="shared" si="21"/>
        <v>Foothills_Multihab</v>
      </c>
      <c r="J495" t="str">
        <f t="shared" si="22"/>
        <v>BCG_ORWA_v1_Bugs500ct</v>
      </c>
    </row>
    <row r="496" spans="1:10" hidden="1" x14ac:dyDescent="0.25">
      <c r="A496" s="34" t="s">
        <v>178</v>
      </c>
      <c r="B496" s="34" t="s">
        <v>265</v>
      </c>
      <c r="C496" s="36" t="s">
        <v>213</v>
      </c>
      <c r="D496" s="37" t="s">
        <v>16</v>
      </c>
      <c r="E496" s="35">
        <v>3.3</v>
      </c>
      <c r="F496" s="36" t="s">
        <v>248</v>
      </c>
      <c r="G496" s="61" t="b">
        <v>1</v>
      </c>
      <c r="I496" t="str">
        <f t="shared" si="21"/>
        <v>Foothills_Multihab</v>
      </c>
      <c r="J496" t="str">
        <f t="shared" si="22"/>
        <v>BCG_ORWA_v1_Bugs500ct</v>
      </c>
    </row>
    <row r="497" spans="1:10" hidden="1" x14ac:dyDescent="0.25">
      <c r="A497" s="34" t="s">
        <v>178</v>
      </c>
      <c r="B497" s="34" t="s">
        <v>265</v>
      </c>
      <c r="C497" s="34" t="s">
        <v>234</v>
      </c>
      <c r="D497" s="20" t="s">
        <v>96</v>
      </c>
      <c r="E497" s="35">
        <v>0</v>
      </c>
      <c r="F497" s="34" t="s">
        <v>235</v>
      </c>
      <c r="G497" s="61" t="b">
        <v>1</v>
      </c>
      <c r="I497" t="str">
        <f t="shared" si="21"/>
        <v>Foothills_Multihab</v>
      </c>
      <c r="J497" t="str">
        <f t="shared" si="22"/>
        <v>BCG_ORWA_v1_Bugs500ct</v>
      </c>
    </row>
    <row r="498" spans="1:10" hidden="1" x14ac:dyDescent="0.25">
      <c r="A498" s="34" t="s">
        <v>178</v>
      </c>
      <c r="B498" s="34" t="s">
        <v>265</v>
      </c>
      <c r="C498" s="60" t="s">
        <v>236</v>
      </c>
      <c r="D498" s="37" t="s">
        <v>16</v>
      </c>
      <c r="E498" s="35">
        <v>20</v>
      </c>
      <c r="F498" s="34" t="s">
        <v>237</v>
      </c>
      <c r="G498" s="61" t="b">
        <v>1</v>
      </c>
      <c r="I498" t="str">
        <f t="shared" si="21"/>
        <v>Foothills_Multihab</v>
      </c>
      <c r="J498" t="str">
        <f t="shared" si="22"/>
        <v>BCG_ORWA_v1_Bugs500ct</v>
      </c>
    </row>
    <row r="499" spans="1:10" hidden="1" x14ac:dyDescent="0.25">
      <c r="A499" s="34" t="s">
        <v>178</v>
      </c>
      <c r="B499" s="34" t="s">
        <v>265</v>
      </c>
      <c r="C499" s="34" t="s">
        <v>220</v>
      </c>
      <c r="D499" s="37" t="s">
        <v>15</v>
      </c>
      <c r="E499" s="35">
        <v>0</v>
      </c>
      <c r="F499" s="34" t="s">
        <v>252</v>
      </c>
      <c r="G499" s="61" t="b">
        <v>1</v>
      </c>
      <c r="I499" t="str">
        <f t="shared" si="21"/>
        <v>Foothills_Multihab</v>
      </c>
      <c r="J499" t="str">
        <f t="shared" si="22"/>
        <v>BCG_ORWA_v1_Bugs500ct</v>
      </c>
    </row>
    <row r="500" spans="1:10" hidden="1" x14ac:dyDescent="0.25">
      <c r="A500" s="34" t="s">
        <v>178</v>
      </c>
      <c r="B500" s="34" t="s">
        <v>265</v>
      </c>
      <c r="C500" s="34" t="s">
        <v>72</v>
      </c>
      <c r="D500" s="35" t="s">
        <v>16</v>
      </c>
      <c r="E500" s="35">
        <v>4</v>
      </c>
      <c r="F500" s="34" t="s">
        <v>215</v>
      </c>
      <c r="G500" s="61" t="b">
        <v>1</v>
      </c>
      <c r="I500" t="str">
        <f t="shared" si="21"/>
        <v>Foothills_Multihab</v>
      </c>
      <c r="J500" t="str">
        <f t="shared" si="22"/>
        <v>BCG_ORWA_v1_Bugs500ct</v>
      </c>
    </row>
    <row r="501" spans="1:10" hidden="1" x14ac:dyDescent="0.25">
      <c r="A501" s="34" t="s">
        <v>178</v>
      </c>
      <c r="B501" s="34" t="s">
        <v>265</v>
      </c>
      <c r="C501" s="34" t="s">
        <v>74</v>
      </c>
      <c r="D501" s="35" t="s">
        <v>16</v>
      </c>
      <c r="E501" s="35">
        <v>3</v>
      </c>
      <c r="F501" s="34" t="s">
        <v>216</v>
      </c>
      <c r="G501" s="61" t="b">
        <v>1</v>
      </c>
      <c r="I501" t="str">
        <f t="shared" si="21"/>
        <v>Foothills_Multihab</v>
      </c>
      <c r="J501" t="str">
        <f t="shared" si="22"/>
        <v>BCG_ORWA_v1_Bugs500ct</v>
      </c>
    </row>
    <row r="502" spans="1:10" hidden="1" x14ac:dyDescent="0.25">
      <c r="A502" s="34" t="s">
        <v>178</v>
      </c>
      <c r="B502" s="34" t="s">
        <v>265</v>
      </c>
      <c r="C502" s="34" t="s">
        <v>76</v>
      </c>
      <c r="D502" s="35" t="s">
        <v>16</v>
      </c>
      <c r="E502" s="35">
        <v>3</v>
      </c>
      <c r="F502" s="34" t="s">
        <v>217</v>
      </c>
      <c r="G502" s="61" t="b">
        <v>1</v>
      </c>
      <c r="I502" t="str">
        <f t="shared" si="21"/>
        <v>Foothills_Multihab</v>
      </c>
      <c r="J502" t="str">
        <f t="shared" si="22"/>
        <v>BCG_ORWA_v1_Bugs500ct</v>
      </c>
    </row>
    <row r="503" spans="1:10" hidden="1" x14ac:dyDescent="0.25">
      <c r="A503" s="34" t="s">
        <v>178</v>
      </c>
      <c r="B503" s="34" t="s">
        <v>265</v>
      </c>
      <c r="C503" s="34" t="s">
        <v>243</v>
      </c>
      <c r="D503" s="8" t="s">
        <v>17</v>
      </c>
      <c r="E503" s="35">
        <v>4</v>
      </c>
      <c r="F503" s="34" t="s">
        <v>253</v>
      </c>
      <c r="G503" s="61" t="b">
        <v>1</v>
      </c>
      <c r="I503" t="str">
        <f t="shared" si="21"/>
        <v>Foothills_Multihab</v>
      </c>
      <c r="J503" t="str">
        <f t="shared" si="22"/>
        <v>BCG_ORWA_v1_Bugs500ct</v>
      </c>
    </row>
    <row r="504" spans="1:10" hidden="1" x14ac:dyDescent="0.25">
      <c r="A504" s="41" t="s">
        <v>178</v>
      </c>
      <c r="B504" s="41" t="s">
        <v>265</v>
      </c>
      <c r="C504" s="41" t="s">
        <v>241</v>
      </c>
      <c r="D504" s="47" t="s">
        <v>16</v>
      </c>
      <c r="E504" s="42">
        <v>45</v>
      </c>
      <c r="F504" s="41" t="s">
        <v>254</v>
      </c>
      <c r="G504" s="61" t="b">
        <v>1</v>
      </c>
      <c r="I504" t="str">
        <f t="shared" si="21"/>
        <v>Foothills_Multihab</v>
      </c>
      <c r="J504" t="str">
        <f t="shared" si="22"/>
        <v>BCG_ORWA_v1_Bugs500ct</v>
      </c>
    </row>
    <row r="505" spans="1:10" hidden="1" x14ac:dyDescent="0.25">
      <c r="A505" s="34" t="s">
        <v>178</v>
      </c>
      <c r="B505" s="34" t="s">
        <v>265</v>
      </c>
      <c r="C505" s="39" t="s">
        <v>66</v>
      </c>
      <c r="D505" s="8" t="s">
        <v>17</v>
      </c>
      <c r="E505" s="35">
        <v>25</v>
      </c>
      <c r="F505" t="s">
        <v>240</v>
      </c>
      <c r="G505" s="61" t="b">
        <v>1</v>
      </c>
      <c r="I505" t="str">
        <f t="shared" si="21"/>
        <v>Foothills_Multihab</v>
      </c>
      <c r="J505" t="str">
        <f t="shared" si="22"/>
        <v>BCG_ORWA_v1_Bugs500ct</v>
      </c>
    </row>
    <row r="506" spans="1:10" hidden="1" x14ac:dyDescent="0.25">
      <c r="A506" s="34" t="s">
        <v>178</v>
      </c>
      <c r="B506" s="34" t="s">
        <v>266</v>
      </c>
      <c r="C506" s="34" t="s">
        <v>14</v>
      </c>
      <c r="D506" s="35" t="s">
        <v>16</v>
      </c>
      <c r="E506" s="35">
        <v>450</v>
      </c>
      <c r="F506" s="36" t="s">
        <v>209</v>
      </c>
      <c r="G506" s="61" t="b">
        <v>1</v>
      </c>
      <c r="I506" t="str">
        <f t="shared" si="21"/>
        <v>Foothills_Riffle</v>
      </c>
      <c r="J506" t="str">
        <f t="shared" si="22"/>
        <v>BCG_ORWA_v1_Bugs500ct</v>
      </c>
    </row>
    <row r="507" spans="1:10" hidden="1" x14ac:dyDescent="0.25">
      <c r="A507" s="34" t="s">
        <v>178</v>
      </c>
      <c r="B507" s="34" t="s">
        <v>266</v>
      </c>
      <c r="C507" s="34" t="s">
        <v>14</v>
      </c>
      <c r="D507" s="35" t="s">
        <v>15</v>
      </c>
      <c r="E507" s="35">
        <v>650</v>
      </c>
      <c r="F507" s="36" t="s">
        <v>210</v>
      </c>
      <c r="G507" s="61" t="b">
        <v>1</v>
      </c>
      <c r="I507" t="str">
        <f t="shared" si="21"/>
        <v>Foothills_Riffle</v>
      </c>
      <c r="J507" t="str">
        <f t="shared" si="22"/>
        <v>BCG_ORWA_v1_Bugs500ct</v>
      </c>
    </row>
    <row r="508" spans="1:10" hidden="1" x14ac:dyDescent="0.25">
      <c r="A508" s="41" t="s">
        <v>178</v>
      </c>
      <c r="B508" s="41" t="s">
        <v>266</v>
      </c>
      <c r="C508" s="41" t="s">
        <v>241</v>
      </c>
      <c r="D508" s="47" t="s">
        <v>16</v>
      </c>
      <c r="E508" s="42">
        <v>60</v>
      </c>
      <c r="F508" s="41" t="s">
        <v>254</v>
      </c>
      <c r="G508" s="61" t="b">
        <v>1</v>
      </c>
      <c r="I508" t="str">
        <f t="shared" si="21"/>
        <v>Foothills_Riffle</v>
      </c>
      <c r="J508" t="str">
        <f t="shared" si="22"/>
        <v>BCG_ORWA_v1_Bugs500ct</v>
      </c>
    </row>
    <row r="509" spans="1:10" hidden="1" x14ac:dyDescent="0.25">
      <c r="A509" s="41" t="s">
        <v>178</v>
      </c>
      <c r="B509" s="41" t="s">
        <v>266</v>
      </c>
      <c r="C509" s="41" t="s">
        <v>283</v>
      </c>
      <c r="D509" s="57" t="s">
        <v>17</v>
      </c>
      <c r="E509" s="42">
        <v>50</v>
      </c>
      <c r="F509" s="41" t="s">
        <v>284</v>
      </c>
      <c r="G509" s="62" t="b">
        <v>0</v>
      </c>
      <c r="H509" t="s">
        <v>270</v>
      </c>
      <c r="I509" t="str">
        <f t="shared" si="21"/>
        <v>Foothills_Riffle</v>
      </c>
      <c r="J509" t="str">
        <f t="shared" si="22"/>
        <v>BCG_ORWA_v1_Bugs500ct</v>
      </c>
    </row>
    <row r="510" spans="1:10" hidden="1" x14ac:dyDescent="0.25">
      <c r="A510" s="34" t="s">
        <v>178</v>
      </c>
      <c r="B510" s="34" t="s">
        <v>266</v>
      </c>
      <c r="C510" s="34" t="s">
        <v>234</v>
      </c>
      <c r="D510" s="37" t="s">
        <v>16</v>
      </c>
      <c r="E510" s="35">
        <v>3</v>
      </c>
      <c r="F510" s="34" t="s">
        <v>257</v>
      </c>
      <c r="G510" s="61" t="b">
        <v>1</v>
      </c>
      <c r="I510" t="str">
        <f t="shared" si="21"/>
        <v>Foothills_Riffle</v>
      </c>
      <c r="J510" t="str">
        <f t="shared" si="22"/>
        <v>BCG_ORWA_v1_Bugs500ct</v>
      </c>
    </row>
    <row r="511" spans="1:10" hidden="1" x14ac:dyDescent="0.25">
      <c r="A511" s="34" t="s">
        <v>178</v>
      </c>
      <c r="B511" s="34" t="s">
        <v>266</v>
      </c>
      <c r="C511" s="34" t="s">
        <v>267</v>
      </c>
      <c r="D511" s="59" t="s">
        <v>17</v>
      </c>
      <c r="E511" s="35">
        <v>35</v>
      </c>
      <c r="F511" s="34" t="s">
        <v>268</v>
      </c>
      <c r="G511" s="61" t="b">
        <v>1</v>
      </c>
      <c r="I511" t="str">
        <f t="shared" si="21"/>
        <v>Foothills_Riffle</v>
      </c>
      <c r="J511" t="str">
        <f t="shared" si="22"/>
        <v>BCG_ORWA_v1_Bugs500ct</v>
      </c>
    </row>
    <row r="512" spans="1:10" hidden="1" x14ac:dyDescent="0.25">
      <c r="A512" s="34" t="s">
        <v>178</v>
      </c>
      <c r="B512" s="34" t="s">
        <v>266</v>
      </c>
      <c r="C512" s="60" t="s">
        <v>236</v>
      </c>
      <c r="D512" s="59" t="s">
        <v>231</v>
      </c>
      <c r="E512" s="35">
        <v>20</v>
      </c>
      <c r="F512" s="34" t="s">
        <v>237</v>
      </c>
      <c r="G512" s="61" t="b">
        <v>1</v>
      </c>
      <c r="I512" t="str">
        <f t="shared" si="21"/>
        <v>Foothills_Riffle</v>
      </c>
      <c r="J512" t="str">
        <f t="shared" si="22"/>
        <v>BCG_ORWA_v1_Bugs500ct</v>
      </c>
    </row>
    <row r="513" spans="1:10" hidden="1" x14ac:dyDescent="0.25">
      <c r="A513" s="34" t="s">
        <v>178</v>
      </c>
      <c r="B513" s="34" t="s">
        <v>266</v>
      </c>
      <c r="C513" s="34" t="s">
        <v>218</v>
      </c>
      <c r="D513" s="59" t="s">
        <v>231</v>
      </c>
      <c r="E513" s="35">
        <v>10</v>
      </c>
      <c r="F513" s="34" t="s">
        <v>269</v>
      </c>
      <c r="G513" s="61" t="b">
        <v>1</v>
      </c>
      <c r="I513" t="str">
        <f t="shared" si="21"/>
        <v>Foothills_Riffle</v>
      </c>
      <c r="J513" t="str">
        <f t="shared" si="22"/>
        <v>BCG_ORWA_v1_Bugs500ct</v>
      </c>
    </row>
    <row r="514" spans="1:10" hidden="1" x14ac:dyDescent="0.25">
      <c r="A514" s="34" t="s">
        <v>178</v>
      </c>
      <c r="B514" s="34" t="s">
        <v>266</v>
      </c>
      <c r="C514" s="34" t="s">
        <v>220</v>
      </c>
      <c r="D514" s="37" t="s">
        <v>15</v>
      </c>
      <c r="E514" s="35">
        <v>0</v>
      </c>
      <c r="F514" s="34" t="s">
        <v>252</v>
      </c>
      <c r="G514" s="61" t="b">
        <v>1</v>
      </c>
      <c r="I514" t="str">
        <f t="shared" si="21"/>
        <v>Foothills_Riffle</v>
      </c>
      <c r="J514" t="str">
        <f t="shared" si="22"/>
        <v>BCG_ORWA_v1_Bugs500ct</v>
      </c>
    </row>
    <row r="515" spans="1:10" hidden="1" x14ac:dyDescent="0.25">
      <c r="A515" s="34" t="s">
        <v>178</v>
      </c>
      <c r="B515" s="34" t="s">
        <v>266</v>
      </c>
      <c r="C515" s="34" t="s">
        <v>72</v>
      </c>
      <c r="D515" s="35" t="s">
        <v>16</v>
      </c>
      <c r="E515" s="35">
        <v>4</v>
      </c>
      <c r="F515" s="34" t="s">
        <v>215</v>
      </c>
      <c r="G515" s="61" t="b">
        <v>1</v>
      </c>
      <c r="I515" t="str">
        <f t="shared" si="21"/>
        <v>Foothills_Riffle</v>
      </c>
      <c r="J515" t="str">
        <f t="shared" si="22"/>
        <v>BCG_ORWA_v1_Bugs500ct</v>
      </c>
    </row>
    <row r="516" spans="1:10" hidden="1" x14ac:dyDescent="0.25">
      <c r="A516" s="34" t="s">
        <v>178</v>
      </c>
      <c r="B516" s="34" t="s">
        <v>266</v>
      </c>
      <c r="C516" s="34" t="s">
        <v>74</v>
      </c>
      <c r="D516" s="35" t="s">
        <v>16</v>
      </c>
      <c r="E516" s="35">
        <v>3</v>
      </c>
      <c r="F516" s="34" t="s">
        <v>259</v>
      </c>
      <c r="G516" s="61" t="b">
        <v>1</v>
      </c>
      <c r="I516" t="str">
        <f t="shared" si="21"/>
        <v>Foothills_Riffle</v>
      </c>
      <c r="J516" t="str">
        <f t="shared" si="22"/>
        <v>BCG_ORWA_v1_Bugs500ct</v>
      </c>
    </row>
    <row r="517" spans="1:10" hidden="1" x14ac:dyDescent="0.25">
      <c r="A517" s="34" t="s">
        <v>178</v>
      </c>
      <c r="B517" s="34" t="s">
        <v>266</v>
      </c>
      <c r="C517" s="34" t="s">
        <v>76</v>
      </c>
      <c r="D517" s="8" t="s">
        <v>231</v>
      </c>
      <c r="E517" s="35">
        <v>6</v>
      </c>
      <c r="F517" s="34" t="s">
        <v>217</v>
      </c>
      <c r="G517" s="61" t="b">
        <v>1</v>
      </c>
      <c r="I517" t="str">
        <f t="shared" si="21"/>
        <v>Foothills_Riffle</v>
      </c>
      <c r="J517" t="str">
        <f t="shared" si="22"/>
        <v>BCG_ORWA_v1_Bugs500ct</v>
      </c>
    </row>
    <row r="518" spans="1:10" hidden="1" x14ac:dyDescent="0.25">
      <c r="A518" s="34" t="s">
        <v>178</v>
      </c>
      <c r="B518" s="34" t="s">
        <v>266</v>
      </c>
      <c r="C518" s="34" t="s">
        <v>243</v>
      </c>
      <c r="D518" s="8" t="s">
        <v>17</v>
      </c>
      <c r="E518" s="35">
        <v>4</v>
      </c>
      <c r="F518" s="34" t="s">
        <v>253</v>
      </c>
      <c r="G518" s="61" t="b">
        <v>1</v>
      </c>
      <c r="I518" t="str">
        <f t="shared" si="21"/>
        <v>Foothills_Riffle</v>
      </c>
      <c r="J518" t="str">
        <f t="shared" si="22"/>
        <v>BCG_ORWA_v1_Bugs500ct</v>
      </c>
    </row>
    <row r="519" spans="1:10" hidden="1" x14ac:dyDescent="0.25">
      <c r="A519" s="34" t="s">
        <v>178</v>
      </c>
      <c r="B519" s="34" t="s">
        <v>266</v>
      </c>
      <c r="C519" s="39" t="s">
        <v>66</v>
      </c>
      <c r="D519" s="8" t="s">
        <v>17</v>
      </c>
      <c r="E519" s="35">
        <v>40</v>
      </c>
      <c r="F519" t="s">
        <v>240</v>
      </c>
      <c r="G519" s="61" t="b">
        <v>1</v>
      </c>
      <c r="I519" t="str">
        <f t="shared" si="21"/>
        <v>Foothills_Riffle</v>
      </c>
      <c r="J519" t="str">
        <f t="shared" si="22"/>
        <v>BCG_ORWA_v1_Bugs500ct</v>
      </c>
    </row>
    <row r="520" spans="1:10" hidden="1" x14ac:dyDescent="0.25">
      <c r="A520" t="s">
        <v>178</v>
      </c>
      <c r="B520" t="s">
        <v>271</v>
      </c>
      <c r="C520" t="s">
        <v>14</v>
      </c>
      <c r="D520" s="28" t="s">
        <v>16</v>
      </c>
      <c r="E520" s="28">
        <v>450</v>
      </c>
      <c r="F520" t="s">
        <v>209</v>
      </c>
      <c r="G520" s="61" t="b">
        <v>1</v>
      </c>
      <c r="I520" t="s">
        <v>271</v>
      </c>
      <c r="J520" t="s">
        <v>178</v>
      </c>
    </row>
    <row r="521" spans="1:10" hidden="1" x14ac:dyDescent="0.25">
      <c r="A521" t="s">
        <v>178</v>
      </c>
      <c r="B521" t="s">
        <v>271</v>
      </c>
      <c r="C521" t="s">
        <v>14</v>
      </c>
      <c r="D521" s="28" t="s">
        <v>15</v>
      </c>
      <c r="E521" s="28">
        <v>650</v>
      </c>
      <c r="F521" t="s">
        <v>210</v>
      </c>
      <c r="G521" s="61" t="b">
        <v>1</v>
      </c>
      <c r="I521" t="s">
        <v>271</v>
      </c>
      <c r="J521" t="s">
        <v>178</v>
      </c>
    </row>
    <row r="522" spans="1:10" hidden="1" x14ac:dyDescent="0.25">
      <c r="A522" t="s">
        <v>178</v>
      </c>
      <c r="B522" t="s">
        <v>271</v>
      </c>
      <c r="C522" t="s">
        <v>241</v>
      </c>
      <c r="D522" s="28" t="s">
        <v>16</v>
      </c>
      <c r="E522" s="28">
        <v>40</v>
      </c>
      <c r="F522" t="s">
        <v>254</v>
      </c>
      <c r="G522" s="61" t="b">
        <v>1</v>
      </c>
      <c r="I522" t="s">
        <v>271</v>
      </c>
      <c r="J522" t="s">
        <v>178</v>
      </c>
    </row>
    <row r="523" spans="1:10" hidden="1" x14ac:dyDescent="0.25">
      <c r="A523" t="s">
        <v>178</v>
      </c>
      <c r="B523" t="s">
        <v>271</v>
      </c>
      <c r="C523" t="s">
        <v>283</v>
      </c>
      <c r="D523" s="28" t="s">
        <v>17</v>
      </c>
      <c r="E523" s="28">
        <v>50</v>
      </c>
      <c r="F523" t="s">
        <v>284</v>
      </c>
      <c r="G523" s="61" t="b">
        <v>1</v>
      </c>
      <c r="I523" t="s">
        <v>271</v>
      </c>
      <c r="J523" t="s">
        <v>178</v>
      </c>
    </row>
    <row r="524" spans="1:10" hidden="1" x14ac:dyDescent="0.25">
      <c r="A524" t="s">
        <v>178</v>
      </c>
      <c r="B524" t="s">
        <v>271</v>
      </c>
      <c r="C524" t="s">
        <v>234</v>
      </c>
      <c r="D524" s="63" t="s">
        <v>96</v>
      </c>
      <c r="E524" s="28">
        <v>0</v>
      </c>
      <c r="F524" t="s">
        <v>235</v>
      </c>
      <c r="G524" s="61" t="b">
        <v>1</v>
      </c>
      <c r="I524" t="s">
        <v>271</v>
      </c>
      <c r="J524" t="s">
        <v>178</v>
      </c>
    </row>
    <row r="525" spans="1:10" hidden="1" x14ac:dyDescent="0.25">
      <c r="A525" t="s">
        <v>178</v>
      </c>
      <c r="B525" t="s">
        <v>271</v>
      </c>
      <c r="C525" t="s">
        <v>267</v>
      </c>
      <c r="D525" s="28" t="s">
        <v>17</v>
      </c>
      <c r="E525" s="28">
        <v>40</v>
      </c>
      <c r="F525" t="s">
        <v>268</v>
      </c>
      <c r="G525" s="61" t="b">
        <v>1</v>
      </c>
      <c r="I525" t="s">
        <v>271</v>
      </c>
      <c r="J525" t="s">
        <v>178</v>
      </c>
    </row>
    <row r="526" spans="1:10" hidden="1" x14ac:dyDescent="0.25">
      <c r="A526" t="s">
        <v>178</v>
      </c>
      <c r="B526" t="s">
        <v>271</v>
      </c>
      <c r="C526" t="s">
        <v>236</v>
      </c>
      <c r="D526" s="28" t="s">
        <v>231</v>
      </c>
      <c r="E526" s="28">
        <v>20</v>
      </c>
      <c r="F526" t="s">
        <v>237</v>
      </c>
      <c r="G526" s="61" t="b">
        <v>1</v>
      </c>
      <c r="I526" t="s">
        <v>271</v>
      </c>
      <c r="J526" t="s">
        <v>178</v>
      </c>
    </row>
    <row r="527" spans="1:10" hidden="1" x14ac:dyDescent="0.25">
      <c r="A527" t="s">
        <v>178</v>
      </c>
      <c r="B527" t="s">
        <v>271</v>
      </c>
      <c r="C527" t="s">
        <v>218</v>
      </c>
      <c r="D527" s="28" t="s">
        <v>231</v>
      </c>
      <c r="E527" s="28">
        <v>5</v>
      </c>
      <c r="F527" t="s">
        <v>269</v>
      </c>
      <c r="G527" s="61" t="b">
        <v>1</v>
      </c>
      <c r="I527" t="s">
        <v>271</v>
      </c>
      <c r="J527" t="s">
        <v>178</v>
      </c>
    </row>
    <row r="528" spans="1:10" hidden="1" x14ac:dyDescent="0.25">
      <c r="A528" t="s">
        <v>178</v>
      </c>
      <c r="B528" t="s">
        <v>271</v>
      </c>
      <c r="C528" t="s">
        <v>220</v>
      </c>
      <c r="D528" s="28" t="s">
        <v>17</v>
      </c>
      <c r="E528" s="28">
        <v>2</v>
      </c>
      <c r="F528" t="s">
        <v>252</v>
      </c>
      <c r="G528" s="61" t="b">
        <v>1</v>
      </c>
      <c r="I528" t="s">
        <v>271</v>
      </c>
      <c r="J528" t="s">
        <v>178</v>
      </c>
    </row>
    <row r="529" spans="1:10" hidden="1" x14ac:dyDescent="0.25">
      <c r="A529" t="s">
        <v>178</v>
      </c>
      <c r="B529" t="s">
        <v>271</v>
      </c>
      <c r="C529" t="s">
        <v>72</v>
      </c>
      <c r="D529" s="28" t="s">
        <v>16</v>
      </c>
      <c r="E529" s="28">
        <v>3</v>
      </c>
      <c r="F529" t="s">
        <v>215</v>
      </c>
      <c r="G529" s="61" t="b">
        <v>1</v>
      </c>
      <c r="I529" t="s">
        <v>271</v>
      </c>
      <c r="J529" t="s">
        <v>178</v>
      </c>
    </row>
    <row r="530" spans="1:10" hidden="1" x14ac:dyDescent="0.25">
      <c r="A530" t="s">
        <v>178</v>
      </c>
      <c r="B530" t="s">
        <v>271</v>
      </c>
      <c r="C530" t="s">
        <v>74</v>
      </c>
      <c r="D530" s="28" t="s">
        <v>16</v>
      </c>
      <c r="E530" s="28">
        <v>3</v>
      </c>
      <c r="F530" t="s">
        <v>259</v>
      </c>
      <c r="G530" s="61" t="b">
        <v>1</v>
      </c>
      <c r="I530" t="s">
        <v>271</v>
      </c>
      <c r="J530" t="s">
        <v>178</v>
      </c>
    </row>
    <row r="531" spans="1:10" hidden="1" x14ac:dyDescent="0.25">
      <c r="A531" t="s">
        <v>178</v>
      </c>
      <c r="B531" t="s">
        <v>271</v>
      </c>
      <c r="C531" t="s">
        <v>76</v>
      </c>
      <c r="D531" s="28" t="s">
        <v>16</v>
      </c>
      <c r="E531" s="28">
        <v>3</v>
      </c>
      <c r="F531" t="s">
        <v>217</v>
      </c>
      <c r="G531" s="61" t="b">
        <v>1</v>
      </c>
      <c r="I531" t="s">
        <v>271</v>
      </c>
      <c r="J531" t="s">
        <v>178</v>
      </c>
    </row>
    <row r="532" spans="1:10" hidden="1" x14ac:dyDescent="0.25">
      <c r="A532" t="s">
        <v>178</v>
      </c>
      <c r="B532" t="s">
        <v>271</v>
      </c>
      <c r="C532" t="s">
        <v>243</v>
      </c>
      <c r="D532" s="63" t="s">
        <v>96</v>
      </c>
      <c r="E532" s="28">
        <v>0</v>
      </c>
      <c r="F532" t="s">
        <v>272</v>
      </c>
      <c r="G532" s="61" t="b">
        <v>1</v>
      </c>
      <c r="I532" t="s">
        <v>271</v>
      </c>
      <c r="J532" t="s">
        <v>178</v>
      </c>
    </row>
    <row r="533" spans="1:10" hidden="1" x14ac:dyDescent="0.25">
      <c r="A533" t="s">
        <v>178</v>
      </c>
      <c r="B533" t="s">
        <v>271</v>
      </c>
      <c r="C533" t="s">
        <v>66</v>
      </c>
      <c r="D533" s="28" t="s">
        <v>17</v>
      </c>
      <c r="E533" s="28">
        <v>35</v>
      </c>
      <c r="F533" t="s">
        <v>240</v>
      </c>
      <c r="G533" s="61" t="b">
        <v>1</v>
      </c>
      <c r="I533" t="s">
        <v>271</v>
      </c>
      <c r="J533" t="s">
        <v>178</v>
      </c>
    </row>
    <row r="534" spans="1:10" hidden="1" x14ac:dyDescent="0.25">
      <c r="A534" t="s">
        <v>178</v>
      </c>
      <c r="B534" t="s">
        <v>273</v>
      </c>
      <c r="C534" t="s">
        <v>14</v>
      </c>
      <c r="D534" s="28" t="s">
        <v>16</v>
      </c>
      <c r="E534" s="28">
        <v>450</v>
      </c>
      <c r="F534" t="s">
        <v>209</v>
      </c>
      <c r="G534" s="61" t="b">
        <v>1</v>
      </c>
      <c r="I534" t="s">
        <v>273</v>
      </c>
      <c r="J534" t="s">
        <v>178</v>
      </c>
    </row>
    <row r="535" spans="1:10" hidden="1" x14ac:dyDescent="0.25">
      <c r="A535" t="s">
        <v>178</v>
      </c>
      <c r="B535" t="s">
        <v>273</v>
      </c>
      <c r="C535" t="s">
        <v>14</v>
      </c>
      <c r="D535" s="28" t="s">
        <v>15</v>
      </c>
      <c r="E535" s="28">
        <v>650</v>
      </c>
      <c r="F535" t="s">
        <v>210</v>
      </c>
      <c r="G535" s="61" t="b">
        <v>1</v>
      </c>
      <c r="I535" t="s">
        <v>273</v>
      </c>
      <c r="J535" t="s">
        <v>178</v>
      </c>
    </row>
    <row r="536" spans="1:10" hidden="1" x14ac:dyDescent="0.25">
      <c r="A536" t="s">
        <v>178</v>
      </c>
      <c r="B536" t="s">
        <v>273</v>
      </c>
      <c r="C536" t="s">
        <v>241</v>
      </c>
      <c r="D536" s="28" t="s">
        <v>16</v>
      </c>
      <c r="E536" s="28">
        <v>40</v>
      </c>
      <c r="F536" t="s">
        <v>254</v>
      </c>
      <c r="G536" s="61" t="b">
        <v>1</v>
      </c>
      <c r="I536" t="s">
        <v>273</v>
      </c>
      <c r="J536" t="s">
        <v>178</v>
      </c>
    </row>
    <row r="537" spans="1:10" hidden="1" x14ac:dyDescent="0.25">
      <c r="A537" t="s">
        <v>178</v>
      </c>
      <c r="B537" t="s">
        <v>273</v>
      </c>
      <c r="C537" t="s">
        <v>213</v>
      </c>
      <c r="D537" s="28" t="s">
        <v>16</v>
      </c>
      <c r="E537" s="28">
        <v>3.5</v>
      </c>
      <c r="F537" t="s">
        <v>248</v>
      </c>
      <c r="G537" s="61" t="b">
        <v>1</v>
      </c>
      <c r="I537" t="s">
        <v>273</v>
      </c>
      <c r="J537" t="s">
        <v>178</v>
      </c>
    </row>
    <row r="538" spans="1:10" hidden="1" x14ac:dyDescent="0.25">
      <c r="A538" t="s">
        <v>178</v>
      </c>
      <c r="B538" t="s">
        <v>273</v>
      </c>
      <c r="C538" t="s">
        <v>234</v>
      </c>
      <c r="D538" s="63" t="s">
        <v>96</v>
      </c>
      <c r="E538" s="28">
        <v>0</v>
      </c>
      <c r="F538" t="s">
        <v>235</v>
      </c>
      <c r="G538" s="61" t="b">
        <v>1</v>
      </c>
      <c r="I538" t="s">
        <v>273</v>
      </c>
      <c r="J538" t="s">
        <v>178</v>
      </c>
    </row>
    <row r="539" spans="1:10" hidden="1" x14ac:dyDescent="0.25">
      <c r="A539" t="s">
        <v>178</v>
      </c>
      <c r="B539" t="s">
        <v>273</v>
      </c>
      <c r="C539" t="s">
        <v>267</v>
      </c>
      <c r="D539" s="28" t="s">
        <v>17</v>
      </c>
      <c r="E539" s="28">
        <v>35</v>
      </c>
      <c r="F539" t="s">
        <v>268</v>
      </c>
      <c r="G539" s="61" t="b">
        <v>1</v>
      </c>
      <c r="I539" t="s">
        <v>273</v>
      </c>
      <c r="J539" t="s">
        <v>178</v>
      </c>
    </row>
    <row r="540" spans="1:10" hidden="1" x14ac:dyDescent="0.25">
      <c r="A540" t="s">
        <v>178</v>
      </c>
      <c r="B540" t="s">
        <v>273</v>
      </c>
      <c r="C540" t="s">
        <v>236</v>
      </c>
      <c r="D540" s="28" t="s">
        <v>231</v>
      </c>
      <c r="E540" s="28">
        <v>20</v>
      </c>
      <c r="F540" t="s">
        <v>237</v>
      </c>
      <c r="G540" s="61" t="b">
        <v>1</v>
      </c>
      <c r="I540" t="s">
        <v>273</v>
      </c>
      <c r="J540" t="s">
        <v>178</v>
      </c>
    </row>
    <row r="541" spans="1:10" hidden="1" x14ac:dyDescent="0.25">
      <c r="A541" t="s">
        <v>178</v>
      </c>
      <c r="B541" t="s">
        <v>273</v>
      </c>
      <c r="C541" t="s">
        <v>218</v>
      </c>
      <c r="D541" s="28" t="s">
        <v>231</v>
      </c>
      <c r="E541" s="28">
        <v>10</v>
      </c>
      <c r="F541" t="s">
        <v>274</v>
      </c>
      <c r="G541" s="61" t="b">
        <v>1</v>
      </c>
      <c r="I541" t="s">
        <v>273</v>
      </c>
      <c r="J541" t="s">
        <v>178</v>
      </c>
    </row>
    <row r="542" spans="1:10" hidden="1" x14ac:dyDescent="0.25">
      <c r="A542" t="s">
        <v>178</v>
      </c>
      <c r="B542" t="s">
        <v>273</v>
      </c>
      <c r="C542" t="s">
        <v>220</v>
      </c>
      <c r="D542" s="28" t="s">
        <v>15</v>
      </c>
      <c r="E542" s="28">
        <v>0</v>
      </c>
      <c r="F542" t="s">
        <v>252</v>
      </c>
      <c r="G542" s="61" t="b">
        <v>1</v>
      </c>
      <c r="I542" t="s">
        <v>273</v>
      </c>
      <c r="J542" t="s">
        <v>178</v>
      </c>
    </row>
    <row r="543" spans="1:10" hidden="1" x14ac:dyDescent="0.25">
      <c r="A543" t="s">
        <v>178</v>
      </c>
      <c r="B543" t="s">
        <v>273</v>
      </c>
      <c r="C543" t="s">
        <v>72</v>
      </c>
      <c r="D543" s="28" t="s">
        <v>16</v>
      </c>
      <c r="E543" s="28">
        <v>3</v>
      </c>
      <c r="F543" t="s">
        <v>215</v>
      </c>
      <c r="G543" s="61" t="b">
        <v>1</v>
      </c>
      <c r="I543" t="s">
        <v>273</v>
      </c>
      <c r="J543" t="s">
        <v>178</v>
      </c>
    </row>
    <row r="544" spans="1:10" hidden="1" x14ac:dyDescent="0.25">
      <c r="A544" t="s">
        <v>178</v>
      </c>
      <c r="B544" t="s">
        <v>273</v>
      </c>
      <c r="C544" t="s">
        <v>74</v>
      </c>
      <c r="D544" s="28" t="s">
        <v>16</v>
      </c>
      <c r="E544" s="28">
        <v>3</v>
      </c>
      <c r="F544" t="s">
        <v>259</v>
      </c>
      <c r="G544" s="61" t="b">
        <v>1</v>
      </c>
      <c r="I544" t="s">
        <v>273</v>
      </c>
      <c r="J544" t="s">
        <v>178</v>
      </c>
    </row>
    <row r="545" spans="1:10" hidden="1" x14ac:dyDescent="0.25">
      <c r="A545" t="s">
        <v>178</v>
      </c>
      <c r="B545" t="s">
        <v>273</v>
      </c>
      <c r="C545" t="s">
        <v>76</v>
      </c>
      <c r="D545" s="28" t="s">
        <v>16</v>
      </c>
      <c r="E545" s="28">
        <v>3</v>
      </c>
      <c r="F545" t="s">
        <v>217</v>
      </c>
      <c r="G545" s="61" t="b">
        <v>1</v>
      </c>
      <c r="I545" t="s">
        <v>273</v>
      </c>
      <c r="J545" t="s">
        <v>178</v>
      </c>
    </row>
    <row r="546" spans="1:10" hidden="1" x14ac:dyDescent="0.25">
      <c r="A546" t="s">
        <v>178</v>
      </c>
      <c r="B546" t="s">
        <v>273</v>
      </c>
      <c r="C546" t="s">
        <v>243</v>
      </c>
      <c r="D546" s="63" t="s">
        <v>96</v>
      </c>
      <c r="E546" s="28">
        <v>0</v>
      </c>
      <c r="F546" t="s">
        <v>272</v>
      </c>
      <c r="G546" s="61" t="b">
        <v>1</v>
      </c>
      <c r="I546" t="s">
        <v>273</v>
      </c>
      <c r="J546" t="s">
        <v>178</v>
      </c>
    </row>
    <row r="547" spans="1:10" hidden="1" x14ac:dyDescent="0.25">
      <c r="A547" t="s">
        <v>178</v>
      </c>
      <c r="B547" t="s">
        <v>273</v>
      </c>
      <c r="C547" t="s">
        <v>66</v>
      </c>
      <c r="D547" s="28" t="s">
        <v>17</v>
      </c>
      <c r="E547" s="28">
        <v>35</v>
      </c>
      <c r="F547" t="s">
        <v>240</v>
      </c>
      <c r="G547" s="61" t="b">
        <v>1</v>
      </c>
      <c r="I547" t="s">
        <v>273</v>
      </c>
      <c r="J547" t="s">
        <v>178</v>
      </c>
    </row>
    <row r="548" spans="1:10" hidden="1" x14ac:dyDescent="0.25">
      <c r="A548" t="s">
        <v>178</v>
      </c>
      <c r="B548" t="s">
        <v>275</v>
      </c>
      <c r="C548" t="s">
        <v>14</v>
      </c>
      <c r="D548" s="28" t="s">
        <v>16</v>
      </c>
      <c r="E548" s="28">
        <v>450</v>
      </c>
      <c r="F548" t="s">
        <v>209</v>
      </c>
      <c r="G548" s="61" t="b">
        <v>1</v>
      </c>
      <c r="I548" t="s">
        <v>275</v>
      </c>
      <c r="J548" t="s">
        <v>178</v>
      </c>
    </row>
    <row r="549" spans="1:10" hidden="1" x14ac:dyDescent="0.25">
      <c r="A549" t="s">
        <v>178</v>
      </c>
      <c r="B549" t="s">
        <v>275</v>
      </c>
      <c r="C549" t="s">
        <v>14</v>
      </c>
      <c r="D549" s="28" t="s">
        <v>15</v>
      </c>
      <c r="E549" s="28">
        <v>650</v>
      </c>
      <c r="F549" t="s">
        <v>210</v>
      </c>
      <c r="G549" s="61" t="b">
        <v>1</v>
      </c>
      <c r="I549" t="s">
        <v>275</v>
      </c>
      <c r="J549" t="s">
        <v>178</v>
      </c>
    </row>
    <row r="550" spans="1:10" hidden="1" x14ac:dyDescent="0.25">
      <c r="A550" t="s">
        <v>178</v>
      </c>
      <c r="B550" t="s">
        <v>275</v>
      </c>
      <c r="C550" t="s">
        <v>241</v>
      </c>
      <c r="D550" s="28" t="s">
        <v>15</v>
      </c>
      <c r="E550" s="28">
        <v>30</v>
      </c>
      <c r="F550" t="s">
        <v>276</v>
      </c>
      <c r="G550" s="61" t="b">
        <v>1</v>
      </c>
      <c r="I550" t="s">
        <v>275</v>
      </c>
      <c r="J550" t="s">
        <v>178</v>
      </c>
    </row>
    <row r="551" spans="1:10" hidden="1" x14ac:dyDescent="0.25">
      <c r="A551" t="s">
        <v>178</v>
      </c>
      <c r="B551" t="s">
        <v>275</v>
      </c>
      <c r="C551" t="s">
        <v>213</v>
      </c>
      <c r="D551" s="28" t="s">
        <v>16</v>
      </c>
      <c r="E551" s="28">
        <v>3</v>
      </c>
      <c r="F551" t="s">
        <v>277</v>
      </c>
      <c r="G551" s="61" t="b">
        <v>1</v>
      </c>
      <c r="I551" t="s">
        <v>275</v>
      </c>
      <c r="J551" t="s">
        <v>178</v>
      </c>
    </row>
    <row r="552" spans="1:10" hidden="1" x14ac:dyDescent="0.25">
      <c r="A552" t="s">
        <v>178</v>
      </c>
      <c r="B552" t="s">
        <v>275</v>
      </c>
      <c r="C552" t="s">
        <v>234</v>
      </c>
      <c r="D552" s="63" t="s">
        <v>96</v>
      </c>
      <c r="E552" s="28">
        <v>0</v>
      </c>
      <c r="F552" t="s">
        <v>235</v>
      </c>
      <c r="G552" s="61" t="b">
        <v>1</v>
      </c>
      <c r="I552" t="s">
        <v>275</v>
      </c>
      <c r="J552" t="s">
        <v>178</v>
      </c>
    </row>
    <row r="553" spans="1:10" hidden="1" x14ac:dyDescent="0.25">
      <c r="A553" t="s">
        <v>178</v>
      </c>
      <c r="B553" t="s">
        <v>275</v>
      </c>
      <c r="C553" t="s">
        <v>267</v>
      </c>
      <c r="D553" s="28" t="s">
        <v>17</v>
      </c>
      <c r="E553" s="28">
        <v>40</v>
      </c>
      <c r="F553" t="s">
        <v>268</v>
      </c>
      <c r="G553" s="61" t="b">
        <v>1</v>
      </c>
      <c r="I553" t="s">
        <v>275</v>
      </c>
      <c r="J553" t="s">
        <v>178</v>
      </c>
    </row>
    <row r="554" spans="1:10" hidden="1" x14ac:dyDescent="0.25">
      <c r="A554" t="s">
        <v>178</v>
      </c>
      <c r="B554" t="s">
        <v>275</v>
      </c>
      <c r="C554" t="s">
        <v>236</v>
      </c>
      <c r="D554" s="28" t="s">
        <v>231</v>
      </c>
      <c r="E554" s="28">
        <v>20</v>
      </c>
      <c r="F554" t="s">
        <v>237</v>
      </c>
      <c r="G554" s="61" t="b">
        <v>1</v>
      </c>
      <c r="I554" t="s">
        <v>275</v>
      </c>
      <c r="J554" t="s">
        <v>178</v>
      </c>
    </row>
    <row r="555" spans="1:10" hidden="1" x14ac:dyDescent="0.25">
      <c r="A555" t="s">
        <v>178</v>
      </c>
      <c r="B555" t="s">
        <v>275</v>
      </c>
      <c r="C555" t="s">
        <v>218</v>
      </c>
      <c r="D555" s="28" t="s">
        <v>231</v>
      </c>
      <c r="E555" s="28">
        <v>5</v>
      </c>
      <c r="F555" t="s">
        <v>269</v>
      </c>
      <c r="G555" s="61" t="b">
        <v>1</v>
      </c>
      <c r="I555" t="s">
        <v>275</v>
      </c>
      <c r="J555" t="s">
        <v>178</v>
      </c>
    </row>
    <row r="556" spans="1:10" hidden="1" x14ac:dyDescent="0.25">
      <c r="A556" t="s">
        <v>178</v>
      </c>
      <c r="B556" t="s">
        <v>275</v>
      </c>
      <c r="C556" t="s">
        <v>220</v>
      </c>
      <c r="D556" s="28" t="s">
        <v>15</v>
      </c>
      <c r="E556" s="28">
        <v>1</v>
      </c>
      <c r="F556" t="s">
        <v>278</v>
      </c>
      <c r="G556" s="61" t="b">
        <v>1</v>
      </c>
      <c r="I556" t="s">
        <v>275</v>
      </c>
      <c r="J556" t="s">
        <v>178</v>
      </c>
    </row>
    <row r="557" spans="1:10" hidden="1" x14ac:dyDescent="0.25">
      <c r="A557" t="s">
        <v>178</v>
      </c>
      <c r="B557" t="s">
        <v>275</v>
      </c>
      <c r="C557" t="s">
        <v>72</v>
      </c>
      <c r="D557" s="28" t="s">
        <v>16</v>
      </c>
      <c r="E557" s="28">
        <v>3</v>
      </c>
      <c r="F557" t="s">
        <v>215</v>
      </c>
      <c r="G557" s="61" t="b">
        <v>1</v>
      </c>
      <c r="I557" t="s">
        <v>275</v>
      </c>
      <c r="J557" t="s">
        <v>178</v>
      </c>
    </row>
    <row r="558" spans="1:10" hidden="1" x14ac:dyDescent="0.25">
      <c r="A558" t="s">
        <v>178</v>
      </c>
      <c r="B558" t="s">
        <v>275</v>
      </c>
      <c r="C558" t="s">
        <v>74</v>
      </c>
      <c r="D558" s="28" t="s">
        <v>16</v>
      </c>
      <c r="E558" s="28">
        <v>2</v>
      </c>
      <c r="F558" t="s">
        <v>259</v>
      </c>
      <c r="G558" s="61" t="b">
        <v>1</v>
      </c>
      <c r="I558" t="s">
        <v>275</v>
      </c>
      <c r="J558" t="s">
        <v>178</v>
      </c>
    </row>
    <row r="559" spans="1:10" hidden="1" x14ac:dyDescent="0.25">
      <c r="A559" t="s">
        <v>178</v>
      </c>
      <c r="B559" t="s">
        <v>275</v>
      </c>
      <c r="C559" t="s">
        <v>76</v>
      </c>
      <c r="D559" s="28" t="s">
        <v>16</v>
      </c>
      <c r="E559" s="28">
        <v>3</v>
      </c>
      <c r="F559" t="s">
        <v>217</v>
      </c>
      <c r="G559" s="61" t="b">
        <v>1</v>
      </c>
      <c r="I559" t="s">
        <v>275</v>
      </c>
      <c r="J559" t="s">
        <v>178</v>
      </c>
    </row>
    <row r="560" spans="1:10" hidden="1" x14ac:dyDescent="0.25">
      <c r="A560" t="s">
        <v>178</v>
      </c>
      <c r="B560" t="s">
        <v>275</v>
      </c>
      <c r="C560" t="s">
        <v>243</v>
      </c>
      <c r="D560" s="63" t="s">
        <v>96</v>
      </c>
      <c r="E560" s="28">
        <v>0</v>
      </c>
      <c r="F560" t="s">
        <v>272</v>
      </c>
      <c r="G560" s="61" t="b">
        <v>1</v>
      </c>
      <c r="I560" t="s">
        <v>275</v>
      </c>
      <c r="J560" t="s">
        <v>178</v>
      </c>
    </row>
    <row r="561" spans="1:10" hidden="1" x14ac:dyDescent="0.25">
      <c r="A561" t="s">
        <v>178</v>
      </c>
      <c r="B561" t="s">
        <v>275</v>
      </c>
      <c r="C561" t="s">
        <v>66</v>
      </c>
      <c r="D561" s="28" t="s">
        <v>17</v>
      </c>
      <c r="E561" s="28">
        <v>20</v>
      </c>
      <c r="F561" t="s">
        <v>240</v>
      </c>
      <c r="G561" s="61" t="b">
        <v>1</v>
      </c>
      <c r="I561" t="s">
        <v>275</v>
      </c>
      <c r="J561" t="s">
        <v>178</v>
      </c>
    </row>
    <row r="562" spans="1:10" hidden="1" x14ac:dyDescent="0.25">
      <c r="A562" t="s">
        <v>203</v>
      </c>
      <c r="B562" t="s">
        <v>208</v>
      </c>
      <c r="C562" t="s">
        <v>287</v>
      </c>
      <c r="D562" t="s">
        <v>15</v>
      </c>
      <c r="E562">
        <v>0</v>
      </c>
      <c r="F562" t="s">
        <v>288</v>
      </c>
      <c r="G562" t="b">
        <v>1</v>
      </c>
      <c r="I562" t="s">
        <v>208</v>
      </c>
      <c r="J562" t="s">
        <v>203</v>
      </c>
    </row>
    <row r="563" spans="1:10" hidden="1" x14ac:dyDescent="0.25">
      <c r="A563" t="s">
        <v>203</v>
      </c>
      <c r="B563" t="s">
        <v>204</v>
      </c>
      <c r="C563" t="s">
        <v>287</v>
      </c>
      <c r="D563" t="s">
        <v>15</v>
      </c>
      <c r="E563">
        <v>0</v>
      </c>
      <c r="F563" t="s">
        <v>288</v>
      </c>
      <c r="G563" t="b">
        <v>1</v>
      </c>
      <c r="I563" t="s">
        <v>204</v>
      </c>
      <c r="J563" t="s">
        <v>203</v>
      </c>
    </row>
    <row r="564" spans="1:10" hidden="1" x14ac:dyDescent="0.25">
      <c r="A564" t="s">
        <v>203</v>
      </c>
      <c r="B564" t="s">
        <v>222</v>
      </c>
      <c r="C564" t="s">
        <v>287</v>
      </c>
      <c r="D564" t="s">
        <v>15</v>
      </c>
      <c r="E564">
        <v>0</v>
      </c>
      <c r="F564" t="s">
        <v>288</v>
      </c>
      <c r="G564" t="b">
        <v>1</v>
      </c>
      <c r="I564" t="s">
        <v>222</v>
      </c>
      <c r="J564" t="s">
        <v>203</v>
      </c>
    </row>
    <row r="565" spans="1:10" hidden="1" x14ac:dyDescent="0.25">
      <c r="A565" t="s">
        <v>203</v>
      </c>
      <c r="B565" t="s">
        <v>223</v>
      </c>
      <c r="C565" t="s">
        <v>287</v>
      </c>
      <c r="D565" t="s">
        <v>15</v>
      </c>
      <c r="E565">
        <v>0</v>
      </c>
      <c r="F565" t="s">
        <v>288</v>
      </c>
      <c r="G565" t="b">
        <v>1</v>
      </c>
      <c r="I565" t="s">
        <v>223</v>
      </c>
      <c r="J565" t="s">
        <v>203</v>
      </c>
    </row>
    <row r="566" spans="1:10" hidden="1" x14ac:dyDescent="0.25">
      <c r="A566" t="s">
        <v>203</v>
      </c>
      <c r="B566" t="s">
        <v>224</v>
      </c>
      <c r="C566" t="s">
        <v>287</v>
      </c>
      <c r="D566" t="s">
        <v>15</v>
      </c>
      <c r="E566">
        <v>0</v>
      </c>
      <c r="F566" t="s">
        <v>288</v>
      </c>
      <c r="G566" t="b">
        <v>1</v>
      </c>
      <c r="I566" t="s">
        <v>224</v>
      </c>
      <c r="J566" t="s">
        <v>203</v>
      </c>
    </row>
    <row r="567" spans="1:10" hidden="1" x14ac:dyDescent="0.25">
      <c r="A567" t="s">
        <v>203</v>
      </c>
      <c r="B567" t="s">
        <v>225</v>
      </c>
      <c r="C567" t="s">
        <v>287</v>
      </c>
      <c r="D567" t="s">
        <v>15</v>
      </c>
      <c r="E567">
        <v>0</v>
      </c>
      <c r="F567" t="s">
        <v>288</v>
      </c>
      <c r="G567" t="b">
        <v>1</v>
      </c>
      <c r="I567" t="s">
        <v>225</v>
      </c>
      <c r="J567" t="s">
        <v>203</v>
      </c>
    </row>
    <row r="568" spans="1:10" hidden="1" x14ac:dyDescent="0.25">
      <c r="A568" t="s">
        <v>203</v>
      </c>
      <c r="B568" t="s">
        <v>204</v>
      </c>
      <c r="C568" t="s">
        <v>14</v>
      </c>
      <c r="D568" t="s">
        <v>16</v>
      </c>
      <c r="E568">
        <v>150</v>
      </c>
      <c r="F568" t="s">
        <v>205</v>
      </c>
      <c r="G568" t="b">
        <v>1</v>
      </c>
      <c r="I568" t="s">
        <v>204</v>
      </c>
      <c r="J568" t="s">
        <v>203</v>
      </c>
    </row>
    <row r="569" spans="1:10" hidden="1" x14ac:dyDescent="0.25">
      <c r="A569" t="s">
        <v>203</v>
      </c>
      <c r="B569" t="s">
        <v>204</v>
      </c>
      <c r="C569" t="s">
        <v>14</v>
      </c>
      <c r="D569" t="s">
        <v>15</v>
      </c>
      <c r="E569">
        <v>600</v>
      </c>
      <c r="F569" t="s">
        <v>289</v>
      </c>
      <c r="G569" t="b">
        <v>1</v>
      </c>
      <c r="I569" t="s">
        <v>204</v>
      </c>
      <c r="J569" t="s">
        <v>203</v>
      </c>
    </row>
    <row r="570" spans="1:10" hidden="1" x14ac:dyDescent="0.25">
      <c r="A570" t="s">
        <v>203</v>
      </c>
      <c r="B570" t="s">
        <v>208</v>
      </c>
      <c r="C570" t="s">
        <v>14</v>
      </c>
      <c r="D570" t="s">
        <v>16</v>
      </c>
      <c r="E570">
        <v>150</v>
      </c>
      <c r="F570" t="s">
        <v>205</v>
      </c>
      <c r="G570" t="b">
        <v>1</v>
      </c>
      <c r="I570" t="s">
        <v>208</v>
      </c>
      <c r="J570" t="s">
        <v>203</v>
      </c>
    </row>
    <row r="571" spans="1:10" hidden="1" x14ac:dyDescent="0.25">
      <c r="A571" t="s">
        <v>203</v>
      </c>
      <c r="B571" t="s">
        <v>208</v>
      </c>
      <c r="C571" t="s">
        <v>14</v>
      </c>
      <c r="D571" t="s">
        <v>15</v>
      </c>
      <c r="E571">
        <v>600</v>
      </c>
      <c r="F571" t="s">
        <v>289</v>
      </c>
      <c r="G571" t="b">
        <v>1</v>
      </c>
      <c r="I571" t="s">
        <v>208</v>
      </c>
      <c r="J571" t="s">
        <v>203</v>
      </c>
    </row>
    <row r="572" spans="1:10" hidden="1" x14ac:dyDescent="0.25">
      <c r="A572" t="s">
        <v>203</v>
      </c>
      <c r="B572" t="s">
        <v>222</v>
      </c>
      <c r="C572" t="s">
        <v>14</v>
      </c>
      <c r="D572" t="s">
        <v>16</v>
      </c>
      <c r="E572">
        <v>100</v>
      </c>
      <c r="F572" t="s">
        <v>205</v>
      </c>
      <c r="G572" t="b">
        <v>1</v>
      </c>
      <c r="I572" t="s">
        <v>222</v>
      </c>
      <c r="J572" t="s">
        <v>203</v>
      </c>
    </row>
    <row r="573" spans="1:10" hidden="1" x14ac:dyDescent="0.25">
      <c r="A573" t="s">
        <v>203</v>
      </c>
      <c r="B573" t="s">
        <v>222</v>
      </c>
      <c r="C573" t="s">
        <v>14</v>
      </c>
      <c r="D573" t="s">
        <v>15</v>
      </c>
      <c r="E573">
        <v>500</v>
      </c>
      <c r="F573" t="s">
        <v>289</v>
      </c>
      <c r="G573" t="b">
        <v>1</v>
      </c>
      <c r="I573" t="s">
        <v>222</v>
      </c>
      <c r="J573" t="s">
        <v>203</v>
      </c>
    </row>
    <row r="574" spans="1:10" hidden="1" x14ac:dyDescent="0.25">
      <c r="A574" t="s">
        <v>203</v>
      </c>
      <c r="B574" t="s">
        <v>223</v>
      </c>
      <c r="C574" t="s">
        <v>14</v>
      </c>
      <c r="D574" t="s">
        <v>16</v>
      </c>
      <c r="E574">
        <v>25</v>
      </c>
      <c r="F574" t="s">
        <v>205</v>
      </c>
      <c r="G574" t="b">
        <v>1</v>
      </c>
      <c r="I574" t="s">
        <v>223</v>
      </c>
      <c r="J574" t="s">
        <v>203</v>
      </c>
    </row>
    <row r="575" spans="1:10" hidden="1" x14ac:dyDescent="0.25">
      <c r="A575" t="s">
        <v>203</v>
      </c>
      <c r="B575" t="s">
        <v>223</v>
      </c>
      <c r="C575" t="s">
        <v>14</v>
      </c>
      <c r="D575" t="s">
        <v>15</v>
      </c>
      <c r="E575">
        <v>350</v>
      </c>
      <c r="F575" t="s">
        <v>289</v>
      </c>
      <c r="G575" t="b">
        <v>1</v>
      </c>
      <c r="I575" t="s">
        <v>223</v>
      </c>
      <c r="J575" t="s">
        <v>203</v>
      </c>
    </row>
    <row r="576" spans="1:10" hidden="1" x14ac:dyDescent="0.25">
      <c r="A576" t="s">
        <v>203</v>
      </c>
      <c r="B576" t="s">
        <v>224</v>
      </c>
      <c r="C576" t="s">
        <v>14</v>
      </c>
      <c r="D576" t="s">
        <v>16</v>
      </c>
      <c r="E576">
        <v>50</v>
      </c>
      <c r="F576" t="s">
        <v>205</v>
      </c>
      <c r="G576" t="b">
        <v>1</v>
      </c>
      <c r="I576" t="s">
        <v>224</v>
      </c>
      <c r="J576" t="s">
        <v>203</v>
      </c>
    </row>
    <row r="577" spans="1:10" hidden="1" x14ac:dyDescent="0.25">
      <c r="A577" t="s">
        <v>203</v>
      </c>
      <c r="B577" t="s">
        <v>224</v>
      </c>
      <c r="C577" t="s">
        <v>14</v>
      </c>
      <c r="D577" t="s">
        <v>15</v>
      </c>
      <c r="E577">
        <v>700</v>
      </c>
      <c r="F577" t="s">
        <v>289</v>
      </c>
      <c r="G577" t="b">
        <v>1</v>
      </c>
      <c r="I577" t="s">
        <v>224</v>
      </c>
      <c r="J577" t="s">
        <v>203</v>
      </c>
    </row>
    <row r="578" spans="1:10" hidden="1" x14ac:dyDescent="0.25">
      <c r="A578" t="s">
        <v>203</v>
      </c>
      <c r="B578" t="s">
        <v>225</v>
      </c>
      <c r="C578" t="s">
        <v>14</v>
      </c>
      <c r="D578" t="s">
        <v>16</v>
      </c>
      <c r="E578">
        <v>100</v>
      </c>
      <c r="F578" t="s">
        <v>205</v>
      </c>
      <c r="G578" t="b">
        <v>1</v>
      </c>
      <c r="I578" t="s">
        <v>225</v>
      </c>
      <c r="J578" t="s">
        <v>203</v>
      </c>
    </row>
    <row r="579" spans="1:10" hidden="1" x14ac:dyDescent="0.25">
      <c r="A579" t="s">
        <v>203</v>
      </c>
      <c r="B579" t="s">
        <v>225</v>
      </c>
      <c r="C579" t="s">
        <v>14</v>
      </c>
      <c r="D579" t="s">
        <v>15</v>
      </c>
      <c r="E579">
        <v>650</v>
      </c>
      <c r="F579" t="s">
        <v>289</v>
      </c>
      <c r="G579" t="b">
        <v>1</v>
      </c>
      <c r="I579" t="s">
        <v>225</v>
      </c>
      <c r="J579" t="s">
        <v>203</v>
      </c>
    </row>
    <row r="580" spans="1:10" hidden="1" x14ac:dyDescent="0.25">
      <c r="A580" t="s">
        <v>203</v>
      </c>
      <c r="B580" t="s">
        <v>204</v>
      </c>
      <c r="C580" t="s">
        <v>188</v>
      </c>
      <c r="D580" t="s">
        <v>16</v>
      </c>
      <c r="E580">
        <v>7</v>
      </c>
      <c r="F580" t="s">
        <v>206</v>
      </c>
      <c r="G580" t="b">
        <v>1</v>
      </c>
      <c r="I580" t="s">
        <v>204</v>
      </c>
      <c r="J580" t="s">
        <v>203</v>
      </c>
    </row>
    <row r="581" spans="1:10" hidden="1" x14ac:dyDescent="0.25">
      <c r="A581" t="s">
        <v>203</v>
      </c>
      <c r="B581" t="s">
        <v>208</v>
      </c>
      <c r="C581" t="s">
        <v>188</v>
      </c>
      <c r="D581" t="s">
        <v>16</v>
      </c>
      <c r="E581">
        <v>7</v>
      </c>
      <c r="F581" t="s">
        <v>206</v>
      </c>
      <c r="G581" t="b">
        <v>1</v>
      </c>
      <c r="I581" t="s">
        <v>208</v>
      </c>
      <c r="J581" t="s">
        <v>203</v>
      </c>
    </row>
    <row r="582" spans="1:10" hidden="1" x14ac:dyDescent="0.25">
      <c r="A582" t="s">
        <v>203</v>
      </c>
      <c r="B582" t="s">
        <v>222</v>
      </c>
      <c r="C582" t="s">
        <v>188</v>
      </c>
      <c r="D582" t="s">
        <v>16</v>
      </c>
      <c r="E582">
        <v>5</v>
      </c>
      <c r="F582" t="s">
        <v>206</v>
      </c>
      <c r="G582" t="b">
        <v>1</v>
      </c>
      <c r="I582" t="s">
        <v>222</v>
      </c>
      <c r="J582" t="s">
        <v>203</v>
      </c>
    </row>
    <row r="583" spans="1:10" hidden="1" x14ac:dyDescent="0.25">
      <c r="A583" t="s">
        <v>203</v>
      </c>
      <c r="B583" t="s">
        <v>223</v>
      </c>
      <c r="C583" t="s">
        <v>188</v>
      </c>
      <c r="D583" t="s">
        <v>16</v>
      </c>
      <c r="E583">
        <v>5</v>
      </c>
      <c r="F583" t="s">
        <v>206</v>
      </c>
      <c r="G583" t="b">
        <v>1</v>
      </c>
      <c r="I583" t="s">
        <v>223</v>
      </c>
      <c r="J583" t="s">
        <v>203</v>
      </c>
    </row>
    <row r="584" spans="1:10" hidden="1" x14ac:dyDescent="0.25">
      <c r="A584" t="s">
        <v>203</v>
      </c>
      <c r="B584" t="s">
        <v>224</v>
      </c>
      <c r="C584" t="s">
        <v>188</v>
      </c>
      <c r="D584" t="s">
        <v>16</v>
      </c>
      <c r="E584">
        <v>6</v>
      </c>
      <c r="F584" t="s">
        <v>206</v>
      </c>
      <c r="G584" t="b">
        <v>1</v>
      </c>
      <c r="I584" t="s">
        <v>224</v>
      </c>
      <c r="J584" t="s">
        <v>203</v>
      </c>
    </row>
    <row r="585" spans="1:10" hidden="1" x14ac:dyDescent="0.25">
      <c r="A585" t="s">
        <v>203</v>
      </c>
      <c r="B585" t="s">
        <v>225</v>
      </c>
      <c r="C585" t="s">
        <v>188</v>
      </c>
      <c r="D585" t="s">
        <v>16</v>
      </c>
      <c r="E585">
        <v>8</v>
      </c>
      <c r="F585" t="s">
        <v>206</v>
      </c>
      <c r="G585" t="b">
        <v>1</v>
      </c>
      <c r="I585" t="s">
        <v>225</v>
      </c>
      <c r="J585" t="s">
        <v>203</v>
      </c>
    </row>
    <row r="586" spans="1:10" hidden="1" x14ac:dyDescent="0.25">
      <c r="A586" t="s">
        <v>203</v>
      </c>
      <c r="B586" t="s">
        <v>208</v>
      </c>
      <c r="C586" t="s">
        <v>290</v>
      </c>
      <c r="D586" t="s">
        <v>15</v>
      </c>
      <c r="E586">
        <v>0</v>
      </c>
      <c r="F586" t="s">
        <v>291</v>
      </c>
      <c r="G586" t="b">
        <v>1</v>
      </c>
      <c r="I586" t="s">
        <v>208</v>
      </c>
      <c r="J586" t="s">
        <v>203</v>
      </c>
    </row>
    <row r="587" spans="1:10" hidden="1" x14ac:dyDescent="0.25">
      <c r="A587" t="s">
        <v>203</v>
      </c>
      <c r="B587" t="s">
        <v>204</v>
      </c>
      <c r="C587" t="s">
        <v>290</v>
      </c>
      <c r="D587" t="s">
        <v>15</v>
      </c>
      <c r="E587">
        <v>0</v>
      </c>
      <c r="F587" t="s">
        <v>291</v>
      </c>
      <c r="G587" t="b">
        <v>1</v>
      </c>
      <c r="I587" t="s">
        <v>204</v>
      </c>
      <c r="J587" t="s">
        <v>203</v>
      </c>
    </row>
    <row r="588" spans="1:10" hidden="1" x14ac:dyDescent="0.25">
      <c r="A588" t="s">
        <v>203</v>
      </c>
      <c r="B588" t="s">
        <v>222</v>
      </c>
      <c r="C588" t="s">
        <v>290</v>
      </c>
      <c r="D588" t="s">
        <v>15</v>
      </c>
      <c r="E588">
        <v>0</v>
      </c>
      <c r="F588" t="s">
        <v>291</v>
      </c>
      <c r="G588" t="b">
        <v>1</v>
      </c>
      <c r="I588" t="s">
        <v>222</v>
      </c>
      <c r="J588" t="s">
        <v>203</v>
      </c>
    </row>
    <row r="589" spans="1:10" hidden="1" x14ac:dyDescent="0.25">
      <c r="A589" t="s">
        <v>203</v>
      </c>
      <c r="B589" t="s">
        <v>223</v>
      </c>
      <c r="C589" t="s">
        <v>290</v>
      </c>
      <c r="D589" t="s">
        <v>15</v>
      </c>
      <c r="E589">
        <v>0</v>
      </c>
      <c r="F589" t="s">
        <v>291</v>
      </c>
      <c r="G589" t="b">
        <v>1</v>
      </c>
      <c r="I589" t="s">
        <v>223</v>
      </c>
      <c r="J589" t="s">
        <v>203</v>
      </c>
    </row>
    <row r="590" spans="1:10" hidden="1" x14ac:dyDescent="0.25">
      <c r="A590" t="s">
        <v>203</v>
      </c>
      <c r="B590" t="s">
        <v>224</v>
      </c>
      <c r="C590" t="s">
        <v>290</v>
      </c>
      <c r="D590" t="s">
        <v>15</v>
      </c>
      <c r="E590">
        <v>0</v>
      </c>
      <c r="F590" t="s">
        <v>291</v>
      </c>
      <c r="G590" t="b">
        <v>1</v>
      </c>
      <c r="I590" t="s">
        <v>224</v>
      </c>
      <c r="J590" t="s">
        <v>203</v>
      </c>
    </row>
    <row r="591" spans="1:10" hidden="1" x14ac:dyDescent="0.25">
      <c r="A591" t="s">
        <v>203</v>
      </c>
      <c r="B591" t="s">
        <v>225</v>
      </c>
      <c r="C591" t="s">
        <v>290</v>
      </c>
      <c r="D591" t="s">
        <v>15</v>
      </c>
      <c r="E591">
        <v>0</v>
      </c>
      <c r="F591" t="s">
        <v>291</v>
      </c>
      <c r="G591" t="b">
        <v>1</v>
      </c>
      <c r="I591" t="s">
        <v>225</v>
      </c>
      <c r="J591" t="s">
        <v>203</v>
      </c>
    </row>
    <row r="592" spans="1:10" x14ac:dyDescent="0.25">
      <c r="A592" t="s">
        <v>203</v>
      </c>
      <c r="B592" t="s">
        <v>208</v>
      </c>
      <c r="C592" t="s">
        <v>292</v>
      </c>
      <c r="D592" s="64" t="s">
        <v>96</v>
      </c>
      <c r="E592">
        <v>0</v>
      </c>
      <c r="F592" t="s">
        <v>293</v>
      </c>
      <c r="G592" t="b">
        <v>1</v>
      </c>
      <c r="I592" t="s">
        <v>208</v>
      </c>
      <c r="J592" t="s">
        <v>203</v>
      </c>
    </row>
    <row r="593" spans="1:10" x14ac:dyDescent="0.25">
      <c r="A593" t="s">
        <v>203</v>
      </c>
      <c r="B593" t="s">
        <v>204</v>
      </c>
      <c r="C593" t="s">
        <v>292</v>
      </c>
      <c r="D593" s="64" t="s">
        <v>96</v>
      </c>
      <c r="E593">
        <v>0</v>
      </c>
      <c r="F593" t="s">
        <v>293</v>
      </c>
      <c r="G593" t="b">
        <v>1</v>
      </c>
      <c r="I593" t="s">
        <v>204</v>
      </c>
      <c r="J593" t="s">
        <v>203</v>
      </c>
    </row>
    <row r="594" spans="1:10" x14ac:dyDescent="0.25">
      <c r="A594" t="s">
        <v>203</v>
      </c>
      <c r="B594" t="s">
        <v>224</v>
      </c>
      <c r="C594" t="s">
        <v>292</v>
      </c>
      <c r="D594" s="64" t="s">
        <v>96</v>
      </c>
      <c r="E594">
        <v>0</v>
      </c>
      <c r="F594" t="s">
        <v>293</v>
      </c>
      <c r="G594" t="b">
        <v>1</v>
      </c>
      <c r="I594" t="s">
        <v>224</v>
      </c>
      <c r="J594" t="s">
        <v>203</v>
      </c>
    </row>
    <row r="595" spans="1:10" x14ac:dyDescent="0.25">
      <c r="A595" t="s">
        <v>203</v>
      </c>
      <c r="B595" t="s">
        <v>225</v>
      </c>
      <c r="C595" t="s">
        <v>292</v>
      </c>
      <c r="D595" s="64" t="s">
        <v>96</v>
      </c>
      <c r="E595">
        <v>0</v>
      </c>
      <c r="F595" t="s">
        <v>293</v>
      </c>
      <c r="G595" t="b">
        <v>1</v>
      </c>
      <c r="I595" t="s">
        <v>225</v>
      </c>
      <c r="J595" t="s">
        <v>203</v>
      </c>
    </row>
    <row r="596" spans="1:10" hidden="1" x14ac:dyDescent="0.25">
      <c r="A596" t="s">
        <v>203</v>
      </c>
      <c r="B596" t="s">
        <v>208</v>
      </c>
      <c r="C596" t="s">
        <v>294</v>
      </c>
      <c r="D596" t="s">
        <v>16</v>
      </c>
      <c r="E596">
        <v>3</v>
      </c>
      <c r="F596" t="s">
        <v>295</v>
      </c>
      <c r="G596" t="b">
        <v>1</v>
      </c>
      <c r="I596" t="s">
        <v>208</v>
      </c>
      <c r="J596" t="s">
        <v>203</v>
      </c>
    </row>
    <row r="597" spans="1:10" hidden="1" x14ac:dyDescent="0.25">
      <c r="A597" t="s">
        <v>203</v>
      </c>
      <c r="B597" t="s">
        <v>204</v>
      </c>
      <c r="C597" t="s">
        <v>294</v>
      </c>
      <c r="D597" t="s">
        <v>16</v>
      </c>
      <c r="E597">
        <v>3</v>
      </c>
      <c r="F597" t="s">
        <v>295</v>
      </c>
      <c r="G597" t="b">
        <v>1</v>
      </c>
      <c r="I597" t="s">
        <v>204</v>
      </c>
      <c r="J597" t="s">
        <v>203</v>
      </c>
    </row>
    <row r="598" spans="1:10" hidden="1" x14ac:dyDescent="0.25">
      <c r="A598" t="s">
        <v>203</v>
      </c>
      <c r="B598" t="s">
        <v>222</v>
      </c>
      <c r="C598" t="s">
        <v>294</v>
      </c>
      <c r="D598" t="s">
        <v>16</v>
      </c>
      <c r="E598">
        <v>2</v>
      </c>
      <c r="F598" t="s">
        <v>295</v>
      </c>
      <c r="G598" t="b">
        <v>1</v>
      </c>
      <c r="I598" t="s">
        <v>222</v>
      </c>
      <c r="J598" t="s">
        <v>203</v>
      </c>
    </row>
    <row r="599" spans="1:10" x14ac:dyDescent="0.25">
      <c r="A599" t="s">
        <v>203</v>
      </c>
      <c r="B599" t="s">
        <v>223</v>
      </c>
      <c r="C599" t="s">
        <v>294</v>
      </c>
      <c r="D599" s="64" t="s">
        <v>96</v>
      </c>
      <c r="E599">
        <v>0</v>
      </c>
      <c r="F599" t="s">
        <v>296</v>
      </c>
      <c r="G599" t="b">
        <v>1</v>
      </c>
      <c r="I599" t="s">
        <v>223</v>
      </c>
      <c r="J599" t="s">
        <v>203</v>
      </c>
    </row>
    <row r="600" spans="1:10" hidden="1" x14ac:dyDescent="0.25">
      <c r="A600" t="s">
        <v>203</v>
      </c>
      <c r="B600" t="s">
        <v>224</v>
      </c>
      <c r="C600" t="s">
        <v>294</v>
      </c>
      <c r="D600" t="s">
        <v>16</v>
      </c>
      <c r="E600">
        <v>2</v>
      </c>
      <c r="F600" t="s">
        <v>295</v>
      </c>
      <c r="G600" t="b">
        <v>1</v>
      </c>
      <c r="I600" t="s">
        <v>224</v>
      </c>
      <c r="J600" t="s">
        <v>203</v>
      </c>
    </row>
    <row r="601" spans="1:10" hidden="1" x14ac:dyDescent="0.25">
      <c r="A601" t="s">
        <v>203</v>
      </c>
      <c r="B601" t="s">
        <v>225</v>
      </c>
      <c r="C601" t="s">
        <v>294</v>
      </c>
      <c r="D601" t="s">
        <v>16</v>
      </c>
      <c r="E601">
        <v>3</v>
      </c>
      <c r="F601" t="s">
        <v>295</v>
      </c>
      <c r="G601" t="b">
        <v>1</v>
      </c>
      <c r="I601" t="s">
        <v>225</v>
      </c>
      <c r="J601" t="s">
        <v>203</v>
      </c>
    </row>
    <row r="602" spans="1:10" hidden="1" x14ac:dyDescent="0.25">
      <c r="A602" t="s">
        <v>203</v>
      </c>
      <c r="B602" t="s">
        <v>208</v>
      </c>
      <c r="C602" t="s">
        <v>297</v>
      </c>
      <c r="D602" t="s">
        <v>15</v>
      </c>
      <c r="E602">
        <v>0</v>
      </c>
      <c r="F602" t="s">
        <v>298</v>
      </c>
      <c r="G602" t="b">
        <v>1</v>
      </c>
      <c r="I602" t="s">
        <v>208</v>
      </c>
      <c r="J602" t="s">
        <v>203</v>
      </c>
    </row>
    <row r="603" spans="1:10" hidden="1" x14ac:dyDescent="0.25">
      <c r="A603" t="s">
        <v>203</v>
      </c>
      <c r="B603" t="s">
        <v>204</v>
      </c>
      <c r="C603" t="s">
        <v>297</v>
      </c>
      <c r="D603" t="s">
        <v>15</v>
      </c>
      <c r="E603">
        <v>0</v>
      </c>
      <c r="F603" t="s">
        <v>298</v>
      </c>
      <c r="G603" t="b">
        <v>1</v>
      </c>
      <c r="I603" t="s">
        <v>204</v>
      </c>
      <c r="J603" t="s">
        <v>203</v>
      </c>
    </row>
    <row r="604" spans="1:10" hidden="1" x14ac:dyDescent="0.25">
      <c r="A604" t="s">
        <v>203</v>
      </c>
      <c r="B604" t="s">
        <v>222</v>
      </c>
      <c r="C604" t="s">
        <v>297</v>
      </c>
      <c r="D604" t="s">
        <v>15</v>
      </c>
      <c r="E604">
        <v>2</v>
      </c>
      <c r="F604" t="s">
        <v>299</v>
      </c>
      <c r="G604" t="b">
        <v>1</v>
      </c>
      <c r="I604" t="s">
        <v>222</v>
      </c>
      <c r="J604" t="s">
        <v>203</v>
      </c>
    </row>
    <row r="605" spans="1:10" hidden="1" x14ac:dyDescent="0.25">
      <c r="A605" t="s">
        <v>203</v>
      </c>
      <c r="B605" t="s">
        <v>223</v>
      </c>
      <c r="C605" t="s">
        <v>297</v>
      </c>
      <c r="D605" t="s">
        <v>15</v>
      </c>
      <c r="E605">
        <v>3</v>
      </c>
      <c r="F605" t="s">
        <v>299</v>
      </c>
      <c r="G605" t="b">
        <v>1</v>
      </c>
      <c r="I605" t="s">
        <v>223</v>
      </c>
      <c r="J605" t="s">
        <v>203</v>
      </c>
    </row>
    <row r="606" spans="1:10" hidden="1" x14ac:dyDescent="0.25">
      <c r="A606" t="s">
        <v>203</v>
      </c>
      <c r="B606" t="s">
        <v>224</v>
      </c>
      <c r="C606" t="s">
        <v>297</v>
      </c>
      <c r="D606" t="s">
        <v>15</v>
      </c>
      <c r="E606">
        <v>0</v>
      </c>
      <c r="F606" t="s">
        <v>298</v>
      </c>
      <c r="G606" t="b">
        <v>1</v>
      </c>
      <c r="I606" t="s">
        <v>224</v>
      </c>
      <c r="J606" t="s">
        <v>203</v>
      </c>
    </row>
    <row r="607" spans="1:10" hidden="1" x14ac:dyDescent="0.25">
      <c r="A607" t="s">
        <v>203</v>
      </c>
      <c r="B607" t="s">
        <v>225</v>
      </c>
      <c r="C607" t="s">
        <v>297</v>
      </c>
      <c r="D607" t="s">
        <v>15</v>
      </c>
      <c r="E607">
        <v>0</v>
      </c>
      <c r="F607" t="s">
        <v>298</v>
      </c>
      <c r="G607" t="b">
        <v>1</v>
      </c>
      <c r="I607" t="s">
        <v>225</v>
      </c>
      <c r="J607" t="s">
        <v>203</v>
      </c>
    </row>
    <row r="608" spans="1:10" hidden="1" x14ac:dyDescent="0.25">
      <c r="A608" t="s">
        <v>203</v>
      </c>
      <c r="B608" t="s">
        <v>208</v>
      </c>
      <c r="C608" t="s">
        <v>300</v>
      </c>
      <c r="D608" t="s">
        <v>16</v>
      </c>
      <c r="E608">
        <v>70</v>
      </c>
      <c r="F608" t="s">
        <v>301</v>
      </c>
      <c r="G608" t="b">
        <v>1</v>
      </c>
      <c r="I608" t="s">
        <v>208</v>
      </c>
      <c r="J608" t="s">
        <v>203</v>
      </c>
    </row>
    <row r="609" spans="1:10" hidden="1" x14ac:dyDescent="0.25">
      <c r="A609" t="s">
        <v>203</v>
      </c>
      <c r="B609" t="s">
        <v>204</v>
      </c>
      <c r="C609" t="s">
        <v>300</v>
      </c>
      <c r="D609" t="s">
        <v>16</v>
      </c>
      <c r="E609">
        <v>70</v>
      </c>
      <c r="F609" t="s">
        <v>301</v>
      </c>
      <c r="G609" t="b">
        <v>1</v>
      </c>
      <c r="I609" t="s">
        <v>204</v>
      </c>
      <c r="J609" t="s">
        <v>203</v>
      </c>
    </row>
    <row r="610" spans="1:10" hidden="1" x14ac:dyDescent="0.25">
      <c r="A610" t="s">
        <v>203</v>
      </c>
      <c r="B610" t="s">
        <v>222</v>
      </c>
      <c r="C610" t="s">
        <v>300</v>
      </c>
      <c r="D610" t="s">
        <v>16</v>
      </c>
      <c r="E610">
        <v>10</v>
      </c>
      <c r="F610" t="s">
        <v>301</v>
      </c>
      <c r="G610" t="b">
        <v>1</v>
      </c>
      <c r="I610" t="s">
        <v>222</v>
      </c>
      <c r="J610" t="s">
        <v>203</v>
      </c>
    </row>
    <row r="611" spans="1:10" x14ac:dyDescent="0.25">
      <c r="A611" t="s">
        <v>203</v>
      </c>
      <c r="B611" t="s">
        <v>223</v>
      </c>
      <c r="C611" t="s">
        <v>300</v>
      </c>
      <c r="D611" s="64" t="s">
        <v>96</v>
      </c>
      <c r="E611">
        <v>0</v>
      </c>
      <c r="F611" t="s">
        <v>302</v>
      </c>
      <c r="G611" t="b">
        <v>1</v>
      </c>
      <c r="I611" t="s">
        <v>223</v>
      </c>
      <c r="J611" t="s">
        <v>203</v>
      </c>
    </row>
    <row r="612" spans="1:10" hidden="1" x14ac:dyDescent="0.25">
      <c r="A612" t="s">
        <v>203</v>
      </c>
      <c r="B612" t="s">
        <v>224</v>
      </c>
      <c r="C612" t="s">
        <v>300</v>
      </c>
      <c r="D612" t="s">
        <v>16</v>
      </c>
      <c r="E612">
        <v>40</v>
      </c>
      <c r="F612" t="s">
        <v>301</v>
      </c>
      <c r="G612" t="b">
        <v>1</v>
      </c>
      <c r="I612" t="s">
        <v>224</v>
      </c>
      <c r="J612" t="s">
        <v>203</v>
      </c>
    </row>
    <row r="613" spans="1:10" hidden="1" x14ac:dyDescent="0.25">
      <c r="A613" t="s">
        <v>203</v>
      </c>
      <c r="B613" t="s">
        <v>225</v>
      </c>
      <c r="C613" t="s">
        <v>300</v>
      </c>
      <c r="D613" t="s">
        <v>16</v>
      </c>
      <c r="E613">
        <v>40</v>
      </c>
      <c r="F613" t="s">
        <v>301</v>
      </c>
      <c r="G613" t="b">
        <v>1</v>
      </c>
      <c r="I613" t="s">
        <v>225</v>
      </c>
      <c r="J613" t="s">
        <v>203</v>
      </c>
    </row>
    <row r="614" spans="1:10" hidden="1" x14ac:dyDescent="0.25">
      <c r="A614" t="s">
        <v>203</v>
      </c>
      <c r="B614" t="s">
        <v>208</v>
      </c>
      <c r="C614" t="s">
        <v>303</v>
      </c>
      <c r="D614" t="s">
        <v>16</v>
      </c>
      <c r="E614">
        <v>4</v>
      </c>
      <c r="F614" t="s">
        <v>304</v>
      </c>
      <c r="G614" t="b">
        <v>1</v>
      </c>
      <c r="I614" t="s">
        <v>208</v>
      </c>
      <c r="J614" t="s">
        <v>203</v>
      </c>
    </row>
    <row r="615" spans="1:10" hidden="1" x14ac:dyDescent="0.25">
      <c r="A615" t="s">
        <v>203</v>
      </c>
      <c r="B615" t="s">
        <v>204</v>
      </c>
      <c r="C615" t="s">
        <v>303</v>
      </c>
      <c r="D615" t="s">
        <v>16</v>
      </c>
      <c r="E615">
        <v>4</v>
      </c>
      <c r="F615" t="s">
        <v>304</v>
      </c>
      <c r="G615" t="b">
        <v>1</v>
      </c>
      <c r="I615" t="s">
        <v>204</v>
      </c>
      <c r="J615" t="s">
        <v>203</v>
      </c>
    </row>
    <row r="616" spans="1:10" hidden="1" x14ac:dyDescent="0.25">
      <c r="A616" t="s">
        <v>203</v>
      </c>
      <c r="B616" t="s">
        <v>222</v>
      </c>
      <c r="C616" t="s">
        <v>303</v>
      </c>
      <c r="D616" t="s">
        <v>16</v>
      </c>
      <c r="E616">
        <v>5</v>
      </c>
      <c r="F616" t="s">
        <v>304</v>
      </c>
      <c r="G616" t="b">
        <v>1</v>
      </c>
      <c r="I616" t="s">
        <v>222</v>
      </c>
      <c r="J616" t="s">
        <v>203</v>
      </c>
    </row>
    <row r="617" spans="1:10" hidden="1" x14ac:dyDescent="0.25">
      <c r="A617" t="s">
        <v>203</v>
      </c>
      <c r="B617" t="s">
        <v>223</v>
      </c>
      <c r="C617" t="s">
        <v>303</v>
      </c>
      <c r="D617" t="s">
        <v>16</v>
      </c>
      <c r="E617">
        <v>2</v>
      </c>
      <c r="F617" t="s">
        <v>304</v>
      </c>
      <c r="G617" t="b">
        <v>1</v>
      </c>
      <c r="I617" t="s">
        <v>223</v>
      </c>
      <c r="J617" t="s">
        <v>203</v>
      </c>
    </row>
    <row r="618" spans="1:10" hidden="1" x14ac:dyDescent="0.25">
      <c r="A618" t="s">
        <v>203</v>
      </c>
      <c r="B618" t="s">
        <v>224</v>
      </c>
      <c r="C618" t="s">
        <v>303</v>
      </c>
      <c r="D618" t="s">
        <v>16</v>
      </c>
      <c r="E618">
        <v>5</v>
      </c>
      <c r="F618" t="s">
        <v>304</v>
      </c>
      <c r="G618" t="b">
        <v>1</v>
      </c>
      <c r="I618" t="s">
        <v>224</v>
      </c>
      <c r="J618" t="s">
        <v>203</v>
      </c>
    </row>
    <row r="619" spans="1:10" hidden="1" x14ac:dyDescent="0.25">
      <c r="A619" t="s">
        <v>203</v>
      </c>
      <c r="B619" t="s">
        <v>225</v>
      </c>
      <c r="C619" t="s">
        <v>303</v>
      </c>
      <c r="D619" t="s">
        <v>16</v>
      </c>
      <c r="E619">
        <v>5</v>
      </c>
      <c r="F619" t="s">
        <v>304</v>
      </c>
      <c r="G619" t="b">
        <v>1</v>
      </c>
      <c r="I619" t="s">
        <v>225</v>
      </c>
      <c r="J619" t="s">
        <v>203</v>
      </c>
    </row>
  </sheetData>
  <autoFilter ref="A1:J619" xr:uid="{00000000-0001-0000-0200-000000000000}">
    <filterColumn colId="0">
      <filters>
        <filter val="LBR_Fish_BCG_v1"/>
      </filters>
    </filterColumn>
    <filterColumn colId="3">
      <filters>
        <filter val="="/>
      </filters>
    </filterColumn>
  </autoFilter>
  <conditionalFormatting sqref="C2:C66 C162:C186 C248:C272">
    <cfRule type="expression" dxfId="7" priority="18">
      <formula>$G2=FALSE</formula>
    </cfRule>
  </conditionalFormatting>
  <conditionalFormatting sqref="C128">
    <cfRule type="expression" dxfId="6" priority="14">
      <formula>$G128=FALSE</formula>
    </cfRule>
  </conditionalFormatting>
  <conditionalFormatting sqref="G2:G219 G220:H228 H229:H249 G229:G305 G306:H333">
    <cfRule type="cellIs" dxfId="5" priority="10" operator="equal">
      <formula>FALSE</formula>
    </cfRule>
  </conditionalFormatting>
  <conditionalFormatting sqref="G334:G363">
    <cfRule type="cellIs" dxfId="4" priority="4" operator="equal">
      <formula>FALSE</formula>
    </cfRule>
  </conditionalFormatting>
  <conditionalFormatting sqref="H54">
    <cfRule type="cellIs" dxfId="3" priority="17" operator="equal">
      <formula>FALSE</formula>
    </cfRule>
  </conditionalFormatting>
  <conditionalFormatting sqref="H100:H127">
    <cfRule type="cellIs" dxfId="2" priority="16" operator="equal">
      <formula>FALSE</formula>
    </cfRule>
  </conditionalFormatting>
  <conditionalFormatting sqref="H174">
    <cfRule type="cellIs" dxfId="1" priority="8" operator="equal">
      <formula>FALSE</formula>
    </cfRule>
  </conditionalFormatting>
  <conditionalFormatting sqref="H260">
    <cfRule type="cellIs" dxfId="0" priority="5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2026-08-07T18:46:22Z</dcterms:modified>
</cp:coreProperties>
</file>