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k.Leppo\Documents\GitHub\BCGcalc\inst\extdata\"/>
    </mc:Choice>
  </mc:AlternateContent>
  <xr:revisionPtr revIDLastSave="0" documentId="13_ncr:1_{51C59034-4403-4FE3-B451-CCD686EA4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ES" sheetId="1" r:id="rId1"/>
    <sheet name="meta" sheetId="4" r:id="rId2"/>
    <sheet name="Flags" sheetId="2" r:id="rId3"/>
  </sheets>
  <definedNames>
    <definedName name="_xlnm._FilterDatabase" localSheetId="2" hidden="1">Flags!$A$1:$J$333</definedName>
    <definedName name="FileName">NOTES!$B$8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3" i="2" l="1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07" i="2"/>
  <c r="I307" i="2"/>
  <c r="J306" i="2"/>
  <c r="I306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78" i="2"/>
  <c r="I278" i="2"/>
  <c r="J277" i="2"/>
  <c r="I27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49" i="2"/>
  <c r="I249" i="2"/>
  <c r="J248" i="2"/>
  <c r="I248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1" i="2"/>
  <c r="I221" i="2"/>
  <c r="J220" i="2"/>
  <c r="I220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192" i="2"/>
  <c r="I192" i="2"/>
  <c r="J191" i="2"/>
  <c r="I19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63" i="2"/>
  <c r="I163" i="2"/>
  <c r="J162" i="2"/>
  <c r="I162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I136" i="2" l="1"/>
  <c r="J136" i="2"/>
  <c r="I137" i="2"/>
  <c r="J137" i="2"/>
  <c r="J135" i="2"/>
  <c r="J134" i="2"/>
  <c r="J133" i="2"/>
  <c r="I135" i="2"/>
  <c r="I134" i="2"/>
  <c r="I133" i="2"/>
  <c r="J129" i="2"/>
  <c r="J130" i="2"/>
  <c r="J131" i="2"/>
  <c r="J132" i="2"/>
  <c r="I129" i="2"/>
  <c r="I130" i="2"/>
  <c r="I131" i="2"/>
  <c r="I132" i="2"/>
  <c r="I3" i="2" l="1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J2" i="2"/>
  <c r="I2" i="2"/>
  <c r="E25" i="2" l="1"/>
  <c r="E35" i="2" s="1"/>
  <c r="E24" i="2"/>
  <c r="E34" i="2" s="1"/>
  <c r="E2" i="2"/>
  <c r="E23" i="2"/>
  <c r="E33" i="2" s="1"/>
  <c r="E22" i="2"/>
  <c r="E32" i="2" s="1"/>
  <c r="B9" i="1" l="1"/>
  <c r="B8" i="1"/>
  <c r="B7" i="1"/>
  <c r="C16" i="1" l="1"/>
  <c r="C17" i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Leppo, Erik</author>
  </authors>
  <commentList>
    <comment ref="D1" authorId="0" shapeId="0" xr:uid="{4127065B-6ED5-425C-AB9E-317FFF9AFDE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 format so == not =</t>
        </r>
      </text>
    </comment>
    <comment ref="I1" authorId="0" shapeId="0" xr:uid="{E7DDAF64-5B62-44F5-9B5C-1C7373610DFE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Deprecated in v2 (2022-11-16)</t>
        </r>
      </text>
    </comment>
    <comment ref="J1" authorId="0" shapeId="0" xr:uid="{E0F94F55-4C33-4724-B493-FACB17D922C7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Deprecated in v2 (2022-11-16)</t>
        </r>
      </text>
    </comment>
  </commentList>
</comments>
</file>

<file path=xl/sharedStrings.xml><?xml version="1.0" encoding="utf-8"?>
<sst xmlns="http://schemas.openxmlformats.org/spreadsheetml/2006/main" count="1883" uniqueCount="181">
  <si>
    <t>Erik.Leppo@tetratech.com</t>
  </si>
  <si>
    <t>Path &amp; FileName</t>
  </si>
  <si>
    <t>FileName:</t>
  </si>
  <si>
    <t>TabName:</t>
  </si>
  <si>
    <t>Descriptions</t>
  </si>
  <si>
    <t>NOTES</t>
  </si>
  <si>
    <t>Description of Work</t>
  </si>
  <si>
    <t>Worksheet</t>
  </si>
  <si>
    <t>Link</t>
  </si>
  <si>
    <t>Description of work and other worksheets.</t>
  </si>
  <si>
    <t>Index</t>
  </si>
  <si>
    <t>Metric</t>
  </si>
  <si>
    <t>Value</t>
  </si>
  <si>
    <t>Comment</t>
  </si>
  <si>
    <t>ni_total</t>
  </si>
  <si>
    <t>&gt;</t>
  </si>
  <si>
    <t>&lt;</t>
  </si>
  <si>
    <t>&gt;=</t>
  </si>
  <si>
    <t>ni_brackish</t>
  </si>
  <si>
    <t>Symbol</t>
  </si>
  <si>
    <t>BCG Calculation</t>
  </si>
  <si>
    <t>Metric Flags</t>
  </si>
  <si>
    <t>Flags</t>
  </si>
  <si>
    <t>QC checks on metrics.</t>
  </si>
  <si>
    <t>Field</t>
  </si>
  <si>
    <t>Description</t>
  </si>
  <si>
    <t>Index ID</t>
  </si>
  <si>
    <t>metric ID</t>
  </si>
  <si>
    <t>number to use in comparison</t>
  </si>
  <si>
    <t>Any special language.</t>
  </si>
  <si>
    <t>meta</t>
  </si>
  <si>
    <t>Metadata (column names) for data table worksheets.</t>
  </si>
  <si>
    <t>Index_Name</t>
  </si>
  <si>
    <t>ni_Ramello</t>
  </si>
  <si>
    <t>Hi</t>
  </si>
  <si>
    <t>Lo</t>
  </si>
  <si>
    <t>CheckName</t>
  </si>
  <si>
    <t>individuals, Large</t>
  </si>
  <si>
    <t>individuals, small</t>
  </si>
  <si>
    <t>Low density (m2)</t>
  </si>
  <si>
    <t>Low density (ft2)</t>
  </si>
  <si>
    <t>catchment, small</t>
  </si>
  <si>
    <t>catchment, Large</t>
  </si>
  <si>
    <t>surface area, small</t>
  </si>
  <si>
    <t>Ramellogammarus</t>
  </si>
  <si>
    <t>SurfaceArea</t>
  </si>
  <si>
    <t>Area_mi2</t>
  </si>
  <si>
    <t>Density_ft2</t>
  </si>
  <si>
    <t>Density_m2</t>
  </si>
  <si>
    <t>brackish organisms present</t>
  </si>
  <si>
    <t>Metric_Name</t>
  </si>
  <si>
    <t>pi_dom02</t>
  </si>
  <si>
    <t>individuals, dominant 02, Large</t>
  </si>
  <si>
    <t>BCG_MariNW_Bugs500ct</t>
  </si>
  <si>
    <t>HiGrad-LoElev</t>
  </si>
  <si>
    <t>percent flowline slope, high</t>
  </si>
  <si>
    <t>CollMonth</t>
  </si>
  <si>
    <t>index period, early</t>
  </si>
  <si>
    <t>index period, late</t>
  </si>
  <si>
    <t>SfcArea_ft2</t>
  </si>
  <si>
    <t>surface area, small (ft2)</t>
  </si>
  <si>
    <t>individuals, large</t>
  </si>
  <si>
    <t>Subsample_percent</t>
  </si>
  <si>
    <t>proxy for density, high proportion picked</t>
  </si>
  <si>
    <t>low density (organisms/m2)</t>
  </si>
  <si>
    <t>high proportion dominant 02 individs</t>
  </si>
  <si>
    <t>pi_SimBtri</t>
  </si>
  <si>
    <t>disturbance signal, high percent Baetis tricaudatus complex + Simuliidae individs</t>
  </si>
  <si>
    <t>pi_Tromb</t>
  </si>
  <si>
    <t>high percent mite individs</t>
  </si>
  <si>
    <t>pi_JugaFlumi</t>
  </si>
  <si>
    <t>high number of Juga or Fluminicola individs</t>
  </si>
  <si>
    <t>nt_Ephem</t>
  </si>
  <si>
    <t>EPT, missing mayfly taxa</t>
  </si>
  <si>
    <t>nt_Pleco</t>
  </si>
  <si>
    <t>EPT, missing stonefly taxa</t>
  </si>
  <si>
    <t>nt_Trich</t>
  </si>
  <si>
    <t>EPT, missing caddisfly taxa</t>
  </si>
  <si>
    <t>nt_Coleo</t>
  </si>
  <si>
    <t>missing beetle taxa</t>
  </si>
  <si>
    <t>pt_volt_multi</t>
  </si>
  <si>
    <t>disturbance signal, high proportion multivoltine taxa</t>
  </si>
  <si>
    <t>nutrient signal, high proportion collector gatherer and filterer individs</t>
  </si>
  <si>
    <t>pi_Chiro</t>
  </si>
  <si>
    <t>high proportion Chironomidae individs</t>
  </si>
  <si>
    <t>pi_Oligo</t>
  </si>
  <si>
    <t>high proportion Oligochaeta individs</t>
  </si>
  <si>
    <t>pi_CraCaeGam</t>
  </si>
  <si>
    <t>urban signal, high proportion Crangonyx+Caecidotea+Gammarus individs</t>
  </si>
  <si>
    <t>nt_habitat_brac</t>
  </si>
  <si>
    <t>Added BCG_MariNW_Bugs500ct</t>
  </si>
  <si>
    <t>pi_ffg_col_filt</t>
  </si>
  <si>
    <t>Updated metric names to match BioMonTools</t>
  </si>
  <si>
    <t>BioMonTools_MetNam</t>
  </si>
  <si>
    <t>Add BioMonTools_MetNam column</t>
  </si>
  <si>
    <t>Add reminder that Symbol must be in R format</t>
  </si>
  <si>
    <t>==</t>
  </si>
  <si>
    <t>Update new flags from = to ==</t>
  </si>
  <si>
    <t>Update BCG_MariNW_Bugs500ct models</t>
  </si>
  <si>
    <t>QC flags for Biological Condition Gradient models.</t>
  </si>
  <si>
    <r>
      <t xml:space="preserve">math symbols; &gt;, &lt;, &gt;=, &lt;=, ==, or !=
</t>
    </r>
    <r>
      <rPr>
        <b/>
        <sz val="11"/>
        <color theme="1"/>
        <rFont val="Calibri"/>
        <family val="2"/>
        <scheme val="minor"/>
      </rPr>
      <t>Must be in R format</t>
    </r>
  </si>
  <si>
    <t>nt_BCG_attNA</t>
  </si>
  <si>
    <t>missing BCG_Attr assignment</t>
  </si>
  <si>
    <t>HiGrad-HiElev</t>
  </si>
  <si>
    <t>Precip8110Cat</t>
  </si>
  <si>
    <t>low precipitation</t>
  </si>
  <si>
    <t>pi_Odon</t>
  </si>
  <si>
    <t>soft bottom substrate signal, high proportion Odonate individs</t>
  </si>
  <si>
    <t>soft bottom substrate signal, high proportion Corbiculidae + Sphaeriidae individs</t>
  </si>
  <si>
    <t>added 2022-02-11</t>
  </si>
  <si>
    <t>modified 2022-02-11</t>
  </si>
  <si>
    <t>percent flowline slope, very high</t>
  </si>
  <si>
    <t>percent flowline slope, transitional</t>
  </si>
  <si>
    <t>pi_SphaerCorb</t>
  </si>
  <si>
    <t>Updates to MariNW flags.</t>
  </si>
  <si>
    <t>added 2022-03-31</t>
  </si>
  <si>
    <t>percent flowline slope, transitional low</t>
  </si>
  <si>
    <t>added 2022-02-11, region modified 2022-03-31</t>
  </si>
  <si>
    <t>2022-03-31, update region</t>
  </si>
  <si>
    <t>LoGrad-LoElev</t>
  </si>
  <si>
    <t>2022-03-31, update region and value, 2022-09-28 update symbol</t>
  </si>
  <si>
    <t>Update MariNW flag, LowGrad-LoElev, pcSLOPE transitional should be &gt; 0.7 (not less than).</t>
  </si>
  <si>
    <t>Add Therm_ORWA_Bugs500ct</t>
  </si>
  <si>
    <t>Therm_ORWA_Bugs500ct</t>
  </si>
  <si>
    <t>ORWA</t>
  </si>
  <si>
    <t>BCG_PugLowWilVal_500ct</t>
  </si>
  <si>
    <t>BCG_PugLowWilVal_300ct</t>
  </si>
  <si>
    <t>Issue #61, change name of "BCG_PacNW_v1_*" to "BCG_PugLowWilVal_*".</t>
  </si>
  <si>
    <t>INDEX_CLASS</t>
  </si>
  <si>
    <t>Issue #63, Site_Type and Index_Region to INDEX_CLASS</t>
  </si>
  <si>
    <t>Keep old fields so file works with older versions.  Mark as deprecated.</t>
  </si>
  <si>
    <t>SITE_TYPE</t>
  </si>
  <si>
    <t>INDEX_REGION</t>
  </si>
  <si>
    <t>New thermal flags</t>
  </si>
  <si>
    <t>nt_ti_stenocold_cold</t>
  </si>
  <si>
    <t>pt_ti_stenocold_cold</t>
  </si>
  <si>
    <t>nt_ti_warm_stenowarm</t>
  </si>
  <si>
    <t>pt_ti_warm_stenowarm</t>
  </si>
  <si>
    <t>WSAREASQKM</t>
  </si>
  <si>
    <t>watershed size, small (km2)</t>
  </si>
  <si>
    <t>watershed size, large (km2)</t>
  </si>
  <si>
    <t>pcSLOPE to pctSLOPE</t>
  </si>
  <si>
    <t>DrArea_mi2 (2 and 100) to WSAREASQKM (5 and 260)</t>
  </si>
  <si>
    <t>VCold, HiNumColdstenoCold</t>
  </si>
  <si>
    <t>VCold, HiPcTaxaColdstenoCold</t>
  </si>
  <si>
    <t>VWarm, HiNumWarmstenoWarm</t>
  </si>
  <si>
    <t>VWarm, HiPcTaxaWarmstenoWarm</t>
  </si>
  <si>
    <t>Update overlapping CheckNames for Fuzzy Thermal, Issue #72</t>
  </si>
  <si>
    <t>https://github.com/leppott/BCGcalc/issues/72</t>
  </si>
  <si>
    <t>pctSLOPE to pslope_nhd</t>
  </si>
  <si>
    <t>pslope_nhd</t>
  </si>
  <si>
    <t xml:space="preserve">PRECIP8110CAT </t>
  </si>
  <si>
    <t>precip, low</t>
  </si>
  <si>
    <t>Add PRECIP8110CAT for BCG_MariNW_Bugs500ct (all classes)</t>
  </si>
  <si>
    <t>FL_Coral_BCG</t>
  </si>
  <si>
    <t>CREMP_Keys</t>
  </si>
  <si>
    <t>NOT_CREMP_Keys</t>
  </si>
  <si>
    <t>pcol_Acropora</t>
  </si>
  <si>
    <t>Dominant Acroporid stands may indicate good conditions</t>
  </si>
  <si>
    <t>2024-04-11, Used in BCG Level 3</t>
  </si>
  <si>
    <t>Add flags for FL BCG</t>
  </si>
  <si>
    <t>Added flags for GP BCG</t>
  </si>
  <si>
    <t>GP_Fish_BCG</t>
  </si>
  <si>
    <t>Small_47c</t>
  </si>
  <si>
    <t>Large_47c</t>
  </si>
  <si>
    <t>Small_Not_47c</t>
  </si>
  <si>
    <t>Large_Not_47c</t>
  </si>
  <si>
    <t>WsAreaSqKm</t>
  </si>
  <si>
    <t>DrArea_mi2</t>
  </si>
  <si>
    <t>pi_dom01</t>
  </si>
  <si>
    <t>individuals, dominant 01, Large</t>
  </si>
  <si>
    <t>pi_SCC</t>
  </si>
  <si>
    <t>species of conservation concern, present</t>
  </si>
  <si>
    <t>pi_salt</t>
  </si>
  <si>
    <t>salt indicator taxa, present</t>
  </si>
  <si>
    <t>pi_NPL</t>
  </si>
  <si>
    <t>non-parasitic lampreys, present</t>
  </si>
  <si>
    <t>Add "BCG_MariNW_v2_Bugs500ct" and "BCG_ORWA_v1_Bugs500ct"</t>
  </si>
  <si>
    <t>BCG_MariNW_v2_Bugs500ct</t>
  </si>
  <si>
    <t>BCG_ORWA_v1_Bugs500ct</t>
  </si>
  <si>
    <t>Move ni_total flags to top of each index_class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</si>
</sst>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Lucida Console"/>
      <family val="3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1" xfId="2"/>
    <xf numFmtId="0" fontId="3" fillId="0" borderId="2" xfId="3"/>
    <xf numFmtId="0" fontId="1" fillId="0" borderId="0" xfId="1"/>
    <xf numFmtId="0" fontId="4" fillId="0" borderId="0" xfId="4" applyAlignment="1" applyProtection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center"/>
    </xf>
    <xf numFmtId="0" fontId="4" fillId="2" borderId="0" xfId="4" applyFill="1" applyAlignment="1" applyProtection="1">
      <alignment horizontal="center"/>
    </xf>
    <xf numFmtId="0" fontId="9" fillId="0" borderId="0" xfId="0" applyFont="1"/>
    <xf numFmtId="0" fontId="4" fillId="3" borderId="0" xfId="4" applyFill="1" applyAlignment="1" applyProtection="1">
      <alignment horizontal="center"/>
    </xf>
    <xf numFmtId="0" fontId="0" fillId="5" borderId="0" xfId="0" applyFill="1"/>
    <xf numFmtId="0" fontId="0" fillId="6" borderId="0" xfId="0" applyFill="1"/>
    <xf numFmtId="0" fontId="4" fillId="4" borderId="0" xfId="4" applyFill="1" applyAlignment="1" applyProtection="1">
      <alignment horizontal="center"/>
    </xf>
    <xf numFmtId="14" fontId="9" fillId="0" borderId="0" xfId="0" applyNumberFormat="1" applyFont="1"/>
    <xf numFmtId="0" fontId="0" fillId="0" borderId="0" xfId="0" applyAlignment="1">
      <alignment wrapText="1"/>
    </xf>
    <xf numFmtId="0" fontId="0" fillId="7" borderId="0" xfId="0" applyFill="1"/>
    <xf numFmtId="0" fontId="9" fillId="4" borderId="0" xfId="0" applyFont="1" applyFill="1"/>
    <xf numFmtId="0" fontId="0" fillId="4" borderId="0" xfId="0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4" fillId="5" borderId="0" xfId="0" applyFont="1" applyFill="1"/>
    <xf numFmtId="0" fontId="0" fillId="8" borderId="0" xfId="0" applyFill="1"/>
  </cellXfs>
  <cellStyles count="5">
    <cellStyle name="Heading 1" xfId="2" builtinId="16"/>
    <cellStyle name="Heading 2" xfId="3" builtinId="17"/>
    <cellStyle name="Hyperlink" xfId="4" builtinId="8"/>
    <cellStyle name="Normal" xfId="0" builtinId="0"/>
    <cellStyle name="Title" xfId="1" builtinId="1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5:C18" totalsRowShown="0">
  <autoFilter ref="A15:C18" xr:uid="{00000000-0009-0000-0100-000001000000}"/>
  <tableColumns count="3">
    <tableColumn id="1" xr3:uid="{00000000-0010-0000-0000-000001000000}" name="Worksheet"/>
    <tableColumn id="2" xr3:uid="{00000000-0010-0000-0000-000002000000}" name="Descriptions"/>
    <tableColumn id="3" xr3:uid="{00000000-0010-0000-0000-000003000000}" name="Link" dataDxfId="7">
      <calculatedColumnFormula>HYPERLINK(FileName&amp;A16&amp;"!A1",A16)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leppott/BCGcalc/issues/72" TargetMode="External"/><Relationship Id="rId1" Type="http://schemas.openxmlformats.org/officeDocument/2006/relationships/hyperlink" Target="mailto:Erik.Leppo@tetratech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Notes">
    <tabColor theme="1" tint="0.499984740745262"/>
  </sheetPr>
  <dimension ref="A1:C44"/>
  <sheetViews>
    <sheetView tabSelected="1" topLeftCell="A35" zoomScaleNormal="100" workbookViewId="0">
      <selection activeCell="B45" sqref="B45"/>
    </sheetView>
  </sheetViews>
  <sheetFormatPr defaultRowHeight="15" x14ac:dyDescent="0.25"/>
  <cols>
    <col min="1" max="1" width="15.28515625" customWidth="1"/>
    <col min="2" max="2" width="71.140625" customWidth="1"/>
    <col min="3" max="3" width="12.7109375" customWidth="1"/>
  </cols>
  <sheetData>
    <row r="1" spans="1:3" ht="22.5" x14ac:dyDescent="0.3">
      <c r="A1" s="3" t="s">
        <v>20</v>
      </c>
    </row>
    <row r="2" spans="1:3" ht="20.25" thickBot="1" x14ac:dyDescent="0.35">
      <c r="A2" s="1" t="s">
        <v>21</v>
      </c>
    </row>
    <row r="3" spans="1:3" ht="15.75" thickTop="1" x14ac:dyDescent="0.25"/>
    <row r="4" spans="1:3" x14ac:dyDescent="0.25">
      <c r="A4" s="4" t="s">
        <v>0</v>
      </c>
    </row>
    <row r="5" spans="1:3" x14ac:dyDescent="0.25">
      <c r="A5" s="15">
        <v>45695</v>
      </c>
    </row>
    <row r="7" spans="1:3" x14ac:dyDescent="0.25">
      <c r="A7" s="5" t="s">
        <v>1</v>
      </c>
      <c r="B7" s="6" t="str">
        <f ca="1">LEFT(CELL("filename",B7),FIND("]",CELL("filename",B7)))</f>
        <v>C:\Users\Erik.Leppo\Documents\GitHub\BCGcalc\inst\extdata\[MetricFlags.xlsx]</v>
      </c>
    </row>
    <row r="8" spans="1:3" x14ac:dyDescent="0.25">
      <c r="A8" s="5" t="s">
        <v>2</v>
      </c>
      <c r="B8" s="6" t="str">
        <f ca="1">MID(CELL("filename",B8),FIND("[",CELL("filename",B8)),(FIND("]",CELL("filename",B8))-FIND("[",CELL("filename",B8)))+1)</f>
        <v>[MetricFlags.xlsx]</v>
      </c>
    </row>
    <row r="9" spans="1:3" x14ac:dyDescent="0.25">
      <c r="A9" s="5" t="s">
        <v>3</v>
      </c>
      <c r="B9" s="7" t="str">
        <f ca="1">MID(CELL("filename",B9),FIND("]",CELL("filename",B9))+1,LEN(CELL("filename",B9))-FIND("]",CELL("filename",B9)))</f>
        <v>NOTES</v>
      </c>
    </row>
    <row r="11" spans="1:3" ht="18" thickBot="1" x14ac:dyDescent="0.35">
      <c r="A11" s="2" t="s">
        <v>6</v>
      </c>
    </row>
    <row r="12" spans="1:3" ht="15.75" thickTop="1" x14ac:dyDescent="0.25">
      <c r="A12" t="s">
        <v>99</v>
      </c>
    </row>
    <row r="15" spans="1:3" x14ac:dyDescent="0.25">
      <c r="A15" t="s">
        <v>7</v>
      </c>
      <c r="B15" t="s">
        <v>4</v>
      </c>
      <c r="C15" s="8" t="s">
        <v>8</v>
      </c>
    </row>
    <row r="16" spans="1:3" x14ac:dyDescent="0.25">
      <c r="A16" t="s">
        <v>5</v>
      </c>
      <c r="B16" t="s">
        <v>9</v>
      </c>
      <c r="C16" s="9" t="str">
        <f ca="1">HYPERLINK(FileName&amp;A16&amp;"!A1",A16)</f>
        <v>NOTES</v>
      </c>
    </row>
    <row r="17" spans="1:3" x14ac:dyDescent="0.25">
      <c r="A17" t="s">
        <v>30</v>
      </c>
      <c r="B17" t="s">
        <v>31</v>
      </c>
      <c r="C17" s="14" t="str">
        <f ca="1">HYPERLINK(FileName&amp;A17&amp;"!A1",A17)</f>
        <v>meta</v>
      </c>
    </row>
    <row r="18" spans="1:3" x14ac:dyDescent="0.25">
      <c r="A18" t="s">
        <v>22</v>
      </c>
      <c r="B18" t="s">
        <v>23</v>
      </c>
      <c r="C18" s="11" t="str">
        <f ca="1">HYPERLINK(FileName&amp;A18&amp;"!A1",A18)</f>
        <v>Flags</v>
      </c>
    </row>
    <row r="22" spans="1:3" x14ac:dyDescent="0.25">
      <c r="A22" s="15">
        <v>44531</v>
      </c>
      <c r="B22" t="s">
        <v>90</v>
      </c>
    </row>
    <row r="23" spans="1:3" x14ac:dyDescent="0.25">
      <c r="A23" s="15">
        <v>44532</v>
      </c>
      <c r="B23" t="s">
        <v>92</v>
      </c>
    </row>
    <row r="24" spans="1:3" x14ac:dyDescent="0.25">
      <c r="B24" t="s">
        <v>94</v>
      </c>
    </row>
    <row r="25" spans="1:3" x14ac:dyDescent="0.25">
      <c r="B25" t="s">
        <v>95</v>
      </c>
    </row>
    <row r="26" spans="1:3" x14ac:dyDescent="0.25">
      <c r="B26" t="s">
        <v>97</v>
      </c>
    </row>
    <row r="27" spans="1:3" x14ac:dyDescent="0.25">
      <c r="A27" s="15">
        <v>44603</v>
      </c>
      <c r="B27" t="s">
        <v>98</v>
      </c>
    </row>
    <row r="28" spans="1:3" x14ac:dyDescent="0.25">
      <c r="A28" s="15">
        <v>44651</v>
      </c>
      <c r="B28" t="s">
        <v>114</v>
      </c>
    </row>
    <row r="29" spans="1:3" x14ac:dyDescent="0.25">
      <c r="A29" s="15">
        <v>44832</v>
      </c>
      <c r="B29" t="s">
        <v>121</v>
      </c>
    </row>
    <row r="30" spans="1:3" x14ac:dyDescent="0.25">
      <c r="A30" s="15">
        <v>44845</v>
      </c>
      <c r="B30" t="s">
        <v>122</v>
      </c>
    </row>
    <row r="31" spans="1:3" x14ac:dyDescent="0.25">
      <c r="A31" s="15">
        <v>44866</v>
      </c>
      <c r="B31" t="s">
        <v>127</v>
      </c>
    </row>
    <row r="32" spans="1:3" x14ac:dyDescent="0.25">
      <c r="A32" s="15">
        <v>44881</v>
      </c>
      <c r="B32" t="s">
        <v>129</v>
      </c>
    </row>
    <row r="33" spans="1:2" x14ac:dyDescent="0.25">
      <c r="A33" s="15">
        <v>44882</v>
      </c>
      <c r="B33" t="s">
        <v>130</v>
      </c>
    </row>
    <row r="34" spans="1:2" x14ac:dyDescent="0.25">
      <c r="A34" s="15">
        <v>45082</v>
      </c>
      <c r="B34" t="s">
        <v>133</v>
      </c>
    </row>
    <row r="35" spans="1:2" x14ac:dyDescent="0.25">
      <c r="A35" s="15">
        <v>45082</v>
      </c>
      <c r="B35" t="s">
        <v>141</v>
      </c>
    </row>
    <row r="36" spans="1:2" x14ac:dyDescent="0.25">
      <c r="B36" t="s">
        <v>142</v>
      </c>
    </row>
    <row r="37" spans="1:2" x14ac:dyDescent="0.25">
      <c r="B37" t="s">
        <v>147</v>
      </c>
    </row>
    <row r="38" spans="1:2" x14ac:dyDescent="0.25">
      <c r="B38" s="4" t="s">
        <v>148</v>
      </c>
    </row>
    <row r="39" spans="1:2" x14ac:dyDescent="0.25">
      <c r="A39" s="15">
        <v>45083</v>
      </c>
      <c r="B39" t="s">
        <v>149</v>
      </c>
    </row>
    <row r="40" spans="1:2" x14ac:dyDescent="0.25">
      <c r="B40" t="s">
        <v>153</v>
      </c>
    </row>
    <row r="41" spans="1:2" x14ac:dyDescent="0.25">
      <c r="A41" s="15">
        <v>45393</v>
      </c>
      <c r="B41" t="s">
        <v>160</v>
      </c>
    </row>
    <row r="42" spans="1:2" x14ac:dyDescent="0.25">
      <c r="A42" s="15">
        <v>45510</v>
      </c>
      <c r="B42" t="s">
        <v>161</v>
      </c>
    </row>
    <row r="43" spans="1:2" x14ac:dyDescent="0.25">
      <c r="A43" s="15">
        <v>45695</v>
      </c>
      <c r="B43" t="s">
        <v>177</v>
      </c>
    </row>
    <row r="44" spans="1:2" x14ac:dyDescent="0.25">
      <c r="B44" t="s">
        <v>180</v>
      </c>
    </row>
  </sheetData>
  <dataValidations count="1">
    <dataValidation type="custom" allowBlank="1" showInputMessage="1" showErrorMessage="1" sqref="B7:B8" xr:uid="{00000000-0002-0000-0000-000000000000}">
      <formula1>""</formula1>
    </dataValidation>
  </dataValidations>
  <hyperlinks>
    <hyperlink ref="A4" r:id="rId1" xr:uid="{00000000-0004-0000-0000-000000000000}"/>
    <hyperlink ref="B38" r:id="rId2" xr:uid="{CDCB8A51-17BD-4C70-BB6F-633542E37113}"/>
  </hyperlinks>
  <pageMargins left="0.7" right="0.7" top="0.75" bottom="0.75" header="0.3" footer="0.3"/>
  <pageSetup scale="91" orientation="portrait" r:id="rId3"/>
  <headerFooter>
    <oddHeader>&amp;C&amp;A</oddHeader>
    <oddFooter>&amp;L&amp;D&amp;CPage &amp;P of &amp;N&amp;R&amp;F</oddFooter>
  </headerFooter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C6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0.85546875" bestFit="1" customWidth="1"/>
    <col min="2" max="2" width="13.7109375" customWidth="1"/>
    <col min="3" max="3" width="32.5703125" bestFit="1" customWidth="1"/>
  </cols>
  <sheetData>
    <row r="1" spans="1:3" x14ac:dyDescent="0.25">
      <c r="A1" s="10" t="s">
        <v>7</v>
      </c>
      <c r="B1" s="10" t="s">
        <v>24</v>
      </c>
      <c r="C1" s="10" t="s">
        <v>25</v>
      </c>
    </row>
    <row r="2" spans="1:3" x14ac:dyDescent="0.25">
      <c r="A2" t="s">
        <v>22</v>
      </c>
      <c r="B2" t="s">
        <v>10</v>
      </c>
      <c r="C2" t="s">
        <v>26</v>
      </c>
    </row>
    <row r="3" spans="1:3" x14ac:dyDescent="0.25">
      <c r="A3" t="s">
        <v>22</v>
      </c>
      <c r="B3" t="s">
        <v>11</v>
      </c>
      <c r="C3" t="s">
        <v>27</v>
      </c>
    </row>
    <row r="4" spans="1:3" ht="30" x14ac:dyDescent="0.25">
      <c r="A4" t="s">
        <v>22</v>
      </c>
      <c r="B4" t="s">
        <v>19</v>
      </c>
      <c r="C4" s="16" t="s">
        <v>100</v>
      </c>
    </row>
    <row r="5" spans="1:3" x14ac:dyDescent="0.25">
      <c r="A5" t="s">
        <v>22</v>
      </c>
      <c r="B5" t="s">
        <v>12</v>
      </c>
      <c r="C5" t="s">
        <v>28</v>
      </c>
    </row>
    <row r="6" spans="1:3" x14ac:dyDescent="0.25">
      <c r="A6" t="s">
        <v>22</v>
      </c>
      <c r="B6" t="s">
        <v>13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1:J333"/>
  <sheetViews>
    <sheetView workbookViewId="0">
      <pane ySplit="1" topLeftCell="A260" activePane="bottomLeft" state="frozen"/>
      <selection pane="bottomLeft" activeCell="A315" sqref="A315:XFD316"/>
    </sheetView>
  </sheetViews>
  <sheetFormatPr defaultRowHeight="15" x14ac:dyDescent="0.25"/>
  <cols>
    <col min="1" max="1" width="25.42578125" customWidth="1"/>
    <col min="2" max="2" width="16.140625" customWidth="1"/>
    <col min="3" max="3" width="22.140625" bestFit="1" customWidth="1"/>
    <col min="6" max="6" width="41.28515625" bestFit="1" customWidth="1"/>
    <col min="7" max="7" width="24.28515625" bestFit="1" customWidth="1"/>
    <col min="8" max="8" width="58.42578125" bestFit="1" customWidth="1"/>
    <col min="9" max="10" width="17.42578125" bestFit="1" customWidth="1"/>
  </cols>
  <sheetData>
    <row r="1" spans="1:10" x14ac:dyDescent="0.25">
      <c r="A1" s="10" t="s">
        <v>32</v>
      </c>
      <c r="B1" s="10" t="s">
        <v>128</v>
      </c>
      <c r="C1" s="10" t="s">
        <v>50</v>
      </c>
      <c r="D1" s="10" t="s">
        <v>19</v>
      </c>
      <c r="E1" s="10" t="s">
        <v>12</v>
      </c>
      <c r="F1" s="10" t="s">
        <v>36</v>
      </c>
      <c r="G1" s="10" t="s">
        <v>93</v>
      </c>
      <c r="H1" s="10" t="s">
        <v>13</v>
      </c>
      <c r="I1" s="18" t="s">
        <v>131</v>
      </c>
      <c r="J1" s="18" t="s">
        <v>132</v>
      </c>
    </row>
    <row r="2" spans="1:10" x14ac:dyDescent="0.25">
      <c r="A2" t="s">
        <v>125</v>
      </c>
      <c r="B2" s="12" t="s">
        <v>34</v>
      </c>
      <c r="C2" t="s">
        <v>14</v>
      </c>
      <c r="D2" s="8" t="s">
        <v>15</v>
      </c>
      <c r="E2">
        <f>500*1.2</f>
        <v>600</v>
      </c>
      <c r="F2" t="s">
        <v>37</v>
      </c>
      <c r="G2" t="b">
        <v>1</v>
      </c>
      <c r="I2" s="19" t="str">
        <f>B2</f>
        <v>Hi</v>
      </c>
      <c r="J2" s="19" t="str">
        <f>B2</f>
        <v>Hi</v>
      </c>
    </row>
    <row r="3" spans="1:10" x14ac:dyDescent="0.25">
      <c r="A3" t="s">
        <v>125</v>
      </c>
      <c r="B3" s="12" t="s">
        <v>34</v>
      </c>
      <c r="C3" t="s">
        <v>14</v>
      </c>
      <c r="D3" s="8" t="s">
        <v>16</v>
      </c>
      <c r="E3">
        <v>450</v>
      </c>
      <c r="F3" t="s">
        <v>38</v>
      </c>
      <c r="G3" t="b">
        <v>1</v>
      </c>
      <c r="I3" s="19" t="str">
        <f t="shared" ref="I3:I66" si="0">B3</f>
        <v>Hi</v>
      </c>
      <c r="J3" s="19" t="str">
        <f t="shared" ref="J3:J66" si="1">B3</f>
        <v>Hi</v>
      </c>
    </row>
    <row r="4" spans="1:10" x14ac:dyDescent="0.25">
      <c r="A4" t="s">
        <v>125</v>
      </c>
      <c r="B4" s="12" t="s">
        <v>34</v>
      </c>
      <c r="C4" t="s">
        <v>48</v>
      </c>
      <c r="D4" s="8" t="s">
        <v>16</v>
      </c>
      <c r="E4">
        <v>500</v>
      </c>
      <c r="F4" t="s">
        <v>39</v>
      </c>
      <c r="G4" t="b">
        <v>0</v>
      </c>
      <c r="I4" s="19" t="str">
        <f t="shared" si="0"/>
        <v>Hi</v>
      </c>
      <c r="J4" s="19" t="str">
        <f t="shared" si="1"/>
        <v>Hi</v>
      </c>
    </row>
    <row r="5" spans="1:10" x14ac:dyDescent="0.25">
      <c r="A5" t="s">
        <v>125</v>
      </c>
      <c r="B5" s="12" t="s">
        <v>34</v>
      </c>
      <c r="C5" t="s">
        <v>47</v>
      </c>
      <c r="D5" s="8" t="s">
        <v>16</v>
      </c>
      <c r="E5">
        <v>47</v>
      </c>
      <c r="F5" t="s">
        <v>40</v>
      </c>
      <c r="G5" t="b">
        <v>0</v>
      </c>
      <c r="I5" s="19" t="str">
        <f t="shared" si="0"/>
        <v>Hi</v>
      </c>
      <c r="J5" s="19" t="str">
        <f t="shared" si="1"/>
        <v>Hi</v>
      </c>
    </row>
    <row r="6" spans="1:10" x14ac:dyDescent="0.25">
      <c r="A6" t="s">
        <v>125</v>
      </c>
      <c r="B6" s="12" t="s">
        <v>34</v>
      </c>
      <c r="C6" t="s">
        <v>46</v>
      </c>
      <c r="D6" s="8" t="s">
        <v>16</v>
      </c>
      <c r="E6">
        <v>2</v>
      </c>
      <c r="F6" t="s">
        <v>41</v>
      </c>
      <c r="G6" t="b">
        <v>0</v>
      </c>
      <c r="I6" s="19" t="str">
        <f t="shared" si="0"/>
        <v>Hi</v>
      </c>
      <c r="J6" s="19" t="str">
        <f t="shared" si="1"/>
        <v>Hi</v>
      </c>
    </row>
    <row r="7" spans="1:10" x14ac:dyDescent="0.25">
      <c r="A7" t="s">
        <v>125</v>
      </c>
      <c r="B7" s="12" t="s">
        <v>34</v>
      </c>
      <c r="C7" t="s">
        <v>46</v>
      </c>
      <c r="D7" s="8" t="s">
        <v>15</v>
      </c>
      <c r="E7">
        <v>100</v>
      </c>
      <c r="F7" t="s">
        <v>42</v>
      </c>
      <c r="G7" t="b">
        <v>0</v>
      </c>
      <c r="I7" s="19" t="str">
        <f t="shared" si="0"/>
        <v>Hi</v>
      </c>
      <c r="J7" s="19" t="str">
        <f t="shared" si="1"/>
        <v>Hi</v>
      </c>
    </row>
    <row r="8" spans="1:10" x14ac:dyDescent="0.25">
      <c r="A8" t="s">
        <v>125</v>
      </c>
      <c r="B8" s="12" t="s">
        <v>34</v>
      </c>
      <c r="C8" t="s">
        <v>45</v>
      </c>
      <c r="D8" s="8" t="s">
        <v>16</v>
      </c>
      <c r="E8">
        <v>8</v>
      </c>
      <c r="F8" t="s">
        <v>43</v>
      </c>
      <c r="G8" t="b">
        <v>0</v>
      </c>
      <c r="I8" s="19" t="str">
        <f t="shared" si="0"/>
        <v>Hi</v>
      </c>
      <c r="J8" s="19" t="str">
        <f t="shared" si="1"/>
        <v>Hi</v>
      </c>
    </row>
    <row r="9" spans="1:10" x14ac:dyDescent="0.25">
      <c r="A9" t="s">
        <v>125</v>
      </c>
      <c r="B9" s="12" t="s">
        <v>34</v>
      </c>
      <c r="C9" t="s">
        <v>18</v>
      </c>
      <c r="D9" s="8" t="s">
        <v>15</v>
      </c>
      <c r="E9">
        <v>0</v>
      </c>
      <c r="F9" t="s">
        <v>49</v>
      </c>
      <c r="G9" t="b">
        <v>1</v>
      </c>
      <c r="I9" s="19" t="str">
        <f t="shared" si="0"/>
        <v>Hi</v>
      </c>
      <c r="J9" s="19" t="str">
        <f t="shared" si="1"/>
        <v>Hi</v>
      </c>
    </row>
    <row r="10" spans="1:10" x14ac:dyDescent="0.25">
      <c r="A10" t="s">
        <v>125</v>
      </c>
      <c r="B10" s="12" t="s">
        <v>34</v>
      </c>
      <c r="C10" t="s">
        <v>33</v>
      </c>
      <c r="D10" s="8" t="s">
        <v>17</v>
      </c>
      <c r="E10">
        <v>10</v>
      </c>
      <c r="F10" t="s">
        <v>44</v>
      </c>
      <c r="G10" t="b">
        <v>1</v>
      </c>
      <c r="I10" s="19" t="str">
        <f t="shared" si="0"/>
        <v>Hi</v>
      </c>
      <c r="J10" s="19" t="str">
        <f t="shared" si="1"/>
        <v>Hi</v>
      </c>
    </row>
    <row r="11" spans="1:10" x14ac:dyDescent="0.25">
      <c r="A11" t="s">
        <v>125</v>
      </c>
      <c r="B11" s="12" t="s">
        <v>34</v>
      </c>
      <c r="C11" t="s">
        <v>51</v>
      </c>
      <c r="D11" s="8" t="s">
        <v>17</v>
      </c>
      <c r="E11">
        <v>50</v>
      </c>
      <c r="F11" t="s">
        <v>52</v>
      </c>
      <c r="G11" t="b">
        <v>1</v>
      </c>
      <c r="I11" s="19" t="str">
        <f t="shared" si="0"/>
        <v>Hi</v>
      </c>
      <c r="J11" s="19" t="str">
        <f t="shared" si="1"/>
        <v>Hi</v>
      </c>
    </row>
    <row r="12" spans="1:10" x14ac:dyDescent="0.25">
      <c r="A12" t="s">
        <v>125</v>
      </c>
      <c r="B12" t="s">
        <v>35</v>
      </c>
      <c r="C12" t="s">
        <v>14</v>
      </c>
      <c r="D12" s="8" t="s">
        <v>15</v>
      </c>
      <c r="E12">
        <v>600</v>
      </c>
      <c r="F12" t="s">
        <v>37</v>
      </c>
      <c r="G12" t="b">
        <v>1</v>
      </c>
      <c r="I12" s="19" t="str">
        <f t="shared" si="0"/>
        <v>Lo</v>
      </c>
      <c r="J12" s="19" t="str">
        <f t="shared" si="1"/>
        <v>Lo</v>
      </c>
    </row>
    <row r="13" spans="1:10" x14ac:dyDescent="0.25">
      <c r="A13" t="s">
        <v>125</v>
      </c>
      <c r="B13" t="s">
        <v>35</v>
      </c>
      <c r="C13" t="s">
        <v>14</v>
      </c>
      <c r="D13" s="8" t="s">
        <v>16</v>
      </c>
      <c r="E13">
        <v>450</v>
      </c>
      <c r="F13" t="s">
        <v>38</v>
      </c>
      <c r="G13" t="b">
        <v>1</v>
      </c>
      <c r="I13" s="19" t="str">
        <f t="shared" si="0"/>
        <v>Lo</v>
      </c>
      <c r="J13" s="19" t="str">
        <f t="shared" si="1"/>
        <v>Lo</v>
      </c>
    </row>
    <row r="14" spans="1:10" x14ac:dyDescent="0.25">
      <c r="A14" t="s">
        <v>125</v>
      </c>
      <c r="B14" t="s">
        <v>35</v>
      </c>
      <c r="C14" t="s">
        <v>48</v>
      </c>
      <c r="D14" s="8" t="s">
        <v>16</v>
      </c>
      <c r="E14">
        <v>500</v>
      </c>
      <c r="F14" t="s">
        <v>39</v>
      </c>
      <c r="G14" t="b">
        <v>0</v>
      </c>
      <c r="I14" s="19" t="str">
        <f t="shared" si="0"/>
        <v>Lo</v>
      </c>
      <c r="J14" s="19" t="str">
        <f t="shared" si="1"/>
        <v>Lo</v>
      </c>
    </row>
    <row r="15" spans="1:10" x14ac:dyDescent="0.25">
      <c r="A15" t="s">
        <v>125</v>
      </c>
      <c r="B15" t="s">
        <v>35</v>
      </c>
      <c r="C15" t="s">
        <v>47</v>
      </c>
      <c r="D15" s="8" t="s">
        <v>16</v>
      </c>
      <c r="E15">
        <v>47</v>
      </c>
      <c r="F15" t="s">
        <v>40</v>
      </c>
      <c r="G15" t="b">
        <v>0</v>
      </c>
      <c r="I15" s="19" t="str">
        <f t="shared" si="0"/>
        <v>Lo</v>
      </c>
      <c r="J15" s="19" t="str">
        <f t="shared" si="1"/>
        <v>Lo</v>
      </c>
    </row>
    <row r="16" spans="1:10" x14ac:dyDescent="0.25">
      <c r="A16" t="s">
        <v>125</v>
      </c>
      <c r="B16" t="s">
        <v>35</v>
      </c>
      <c r="C16" t="s">
        <v>46</v>
      </c>
      <c r="D16" s="8" t="s">
        <v>16</v>
      </c>
      <c r="E16">
        <v>2</v>
      </c>
      <c r="F16" t="s">
        <v>41</v>
      </c>
      <c r="G16" t="b">
        <v>0</v>
      </c>
      <c r="I16" s="19" t="str">
        <f t="shared" si="0"/>
        <v>Lo</v>
      </c>
      <c r="J16" s="19" t="str">
        <f t="shared" si="1"/>
        <v>Lo</v>
      </c>
    </row>
    <row r="17" spans="1:10" x14ac:dyDescent="0.25">
      <c r="A17" t="s">
        <v>125</v>
      </c>
      <c r="B17" t="s">
        <v>35</v>
      </c>
      <c r="C17" t="s">
        <v>46</v>
      </c>
      <c r="D17" s="8" t="s">
        <v>15</v>
      </c>
      <c r="E17">
        <v>100</v>
      </c>
      <c r="F17" t="s">
        <v>42</v>
      </c>
      <c r="G17" t="b">
        <v>0</v>
      </c>
      <c r="I17" s="19" t="str">
        <f t="shared" si="0"/>
        <v>Lo</v>
      </c>
      <c r="J17" s="19" t="str">
        <f t="shared" si="1"/>
        <v>Lo</v>
      </c>
    </row>
    <row r="18" spans="1:10" x14ac:dyDescent="0.25">
      <c r="A18" t="s">
        <v>125</v>
      </c>
      <c r="B18" t="s">
        <v>35</v>
      </c>
      <c r="C18" t="s">
        <v>45</v>
      </c>
      <c r="D18" s="8" t="s">
        <v>16</v>
      </c>
      <c r="E18">
        <v>8</v>
      </c>
      <c r="F18" t="s">
        <v>43</v>
      </c>
      <c r="G18" t="b">
        <v>0</v>
      </c>
      <c r="I18" s="19" t="str">
        <f t="shared" si="0"/>
        <v>Lo</v>
      </c>
      <c r="J18" s="19" t="str">
        <f t="shared" si="1"/>
        <v>Lo</v>
      </c>
    </row>
    <row r="19" spans="1:10" x14ac:dyDescent="0.25">
      <c r="A19" t="s">
        <v>125</v>
      </c>
      <c r="B19" t="s">
        <v>35</v>
      </c>
      <c r="C19" t="s">
        <v>18</v>
      </c>
      <c r="D19" s="8" t="s">
        <v>15</v>
      </c>
      <c r="E19">
        <v>0</v>
      </c>
      <c r="F19" t="s">
        <v>49</v>
      </c>
      <c r="G19" t="b">
        <v>1</v>
      </c>
      <c r="I19" s="19" t="str">
        <f t="shared" si="0"/>
        <v>Lo</v>
      </c>
      <c r="J19" s="19" t="str">
        <f t="shared" si="1"/>
        <v>Lo</v>
      </c>
    </row>
    <row r="20" spans="1:10" x14ac:dyDescent="0.25">
      <c r="A20" t="s">
        <v>125</v>
      </c>
      <c r="B20" t="s">
        <v>35</v>
      </c>
      <c r="C20" t="s">
        <v>33</v>
      </c>
      <c r="D20" s="8" t="s">
        <v>17</v>
      </c>
      <c r="E20">
        <v>10</v>
      </c>
      <c r="F20" t="s">
        <v>44</v>
      </c>
      <c r="G20" t="b">
        <v>1</v>
      </c>
      <c r="I20" s="19" t="str">
        <f t="shared" si="0"/>
        <v>Lo</v>
      </c>
      <c r="J20" s="19" t="str">
        <f t="shared" si="1"/>
        <v>Lo</v>
      </c>
    </row>
    <row r="21" spans="1:10" x14ac:dyDescent="0.25">
      <c r="A21" t="s">
        <v>125</v>
      </c>
      <c r="B21" t="s">
        <v>35</v>
      </c>
      <c r="C21" t="s">
        <v>51</v>
      </c>
      <c r="D21" s="8" t="s">
        <v>17</v>
      </c>
      <c r="E21">
        <v>50</v>
      </c>
      <c r="F21" t="s">
        <v>52</v>
      </c>
      <c r="G21" t="b">
        <v>1</v>
      </c>
      <c r="I21" s="19" t="str">
        <f t="shared" si="0"/>
        <v>Lo</v>
      </c>
      <c r="J21" s="19" t="str">
        <f t="shared" si="1"/>
        <v>Lo</v>
      </c>
    </row>
    <row r="22" spans="1:10" x14ac:dyDescent="0.25">
      <c r="A22" s="13" t="s">
        <v>126</v>
      </c>
      <c r="B22" s="12" t="s">
        <v>34</v>
      </c>
      <c r="C22" t="s">
        <v>14</v>
      </c>
      <c r="D22" s="8" t="s">
        <v>15</v>
      </c>
      <c r="E22">
        <f>300*1.2</f>
        <v>360</v>
      </c>
      <c r="F22" t="s">
        <v>37</v>
      </c>
      <c r="G22" t="b">
        <v>1</v>
      </c>
      <c r="I22" s="19" t="str">
        <f t="shared" si="0"/>
        <v>Hi</v>
      </c>
      <c r="J22" s="19" t="str">
        <f t="shared" si="1"/>
        <v>Hi</v>
      </c>
    </row>
    <row r="23" spans="1:10" x14ac:dyDescent="0.25">
      <c r="A23" s="13" t="s">
        <v>126</v>
      </c>
      <c r="B23" s="12" t="s">
        <v>34</v>
      </c>
      <c r="C23" t="s">
        <v>14</v>
      </c>
      <c r="D23" s="8" t="s">
        <v>16</v>
      </c>
      <c r="E23">
        <f>300*0.8</f>
        <v>240</v>
      </c>
      <c r="F23" t="s">
        <v>38</v>
      </c>
      <c r="G23" t="b">
        <v>1</v>
      </c>
      <c r="I23" s="19" t="str">
        <f t="shared" si="0"/>
        <v>Hi</v>
      </c>
      <c r="J23" s="19" t="str">
        <f t="shared" si="1"/>
        <v>Hi</v>
      </c>
    </row>
    <row r="24" spans="1:10" x14ac:dyDescent="0.25">
      <c r="A24" s="13" t="s">
        <v>126</v>
      </c>
      <c r="B24" s="12" t="s">
        <v>34</v>
      </c>
      <c r="C24" t="s">
        <v>48</v>
      </c>
      <c r="D24" s="8" t="s">
        <v>16</v>
      </c>
      <c r="E24">
        <f>500*300/500</f>
        <v>300</v>
      </c>
      <c r="F24" t="s">
        <v>39</v>
      </c>
      <c r="G24" t="b">
        <v>0</v>
      </c>
      <c r="I24" s="19" t="str">
        <f t="shared" si="0"/>
        <v>Hi</v>
      </c>
      <c r="J24" s="19" t="str">
        <f t="shared" si="1"/>
        <v>Hi</v>
      </c>
    </row>
    <row r="25" spans="1:10" x14ac:dyDescent="0.25">
      <c r="A25" s="13" t="s">
        <v>126</v>
      </c>
      <c r="B25" s="12" t="s">
        <v>34</v>
      </c>
      <c r="C25" t="s">
        <v>47</v>
      </c>
      <c r="D25" s="8" t="s">
        <v>16</v>
      </c>
      <c r="E25">
        <f>47*300/500</f>
        <v>28.2</v>
      </c>
      <c r="F25" t="s">
        <v>40</v>
      </c>
      <c r="G25" t="b">
        <v>0</v>
      </c>
      <c r="I25" s="19" t="str">
        <f t="shared" si="0"/>
        <v>Hi</v>
      </c>
      <c r="J25" s="19" t="str">
        <f t="shared" si="1"/>
        <v>Hi</v>
      </c>
    </row>
    <row r="26" spans="1:10" x14ac:dyDescent="0.25">
      <c r="A26" s="13" t="s">
        <v>126</v>
      </c>
      <c r="B26" s="12" t="s">
        <v>34</v>
      </c>
      <c r="C26" t="s">
        <v>46</v>
      </c>
      <c r="D26" s="8" t="s">
        <v>16</v>
      </c>
      <c r="E26">
        <v>2</v>
      </c>
      <c r="F26" t="s">
        <v>41</v>
      </c>
      <c r="G26" t="b">
        <v>0</v>
      </c>
      <c r="I26" s="19" t="str">
        <f t="shared" si="0"/>
        <v>Hi</v>
      </c>
      <c r="J26" s="19" t="str">
        <f t="shared" si="1"/>
        <v>Hi</v>
      </c>
    </row>
    <row r="27" spans="1:10" x14ac:dyDescent="0.25">
      <c r="A27" s="13" t="s">
        <v>126</v>
      </c>
      <c r="B27" s="12" t="s">
        <v>34</v>
      </c>
      <c r="C27" t="s">
        <v>46</v>
      </c>
      <c r="D27" s="8" t="s">
        <v>15</v>
      </c>
      <c r="E27">
        <v>100</v>
      </c>
      <c r="F27" t="s">
        <v>42</v>
      </c>
      <c r="G27" t="b">
        <v>0</v>
      </c>
      <c r="I27" s="19" t="str">
        <f t="shared" si="0"/>
        <v>Hi</v>
      </c>
      <c r="J27" s="19" t="str">
        <f t="shared" si="1"/>
        <v>Hi</v>
      </c>
    </row>
    <row r="28" spans="1:10" x14ac:dyDescent="0.25">
      <c r="A28" s="13" t="s">
        <v>126</v>
      </c>
      <c r="B28" s="12" t="s">
        <v>34</v>
      </c>
      <c r="C28" t="s">
        <v>45</v>
      </c>
      <c r="D28" s="8" t="s">
        <v>16</v>
      </c>
      <c r="E28">
        <v>8</v>
      </c>
      <c r="F28" t="s">
        <v>43</v>
      </c>
      <c r="G28" t="b">
        <v>0</v>
      </c>
      <c r="I28" s="19" t="str">
        <f t="shared" si="0"/>
        <v>Hi</v>
      </c>
      <c r="J28" s="19" t="str">
        <f t="shared" si="1"/>
        <v>Hi</v>
      </c>
    </row>
    <row r="29" spans="1:10" x14ac:dyDescent="0.25">
      <c r="A29" s="13" t="s">
        <v>126</v>
      </c>
      <c r="B29" s="12" t="s">
        <v>34</v>
      </c>
      <c r="C29" t="s">
        <v>18</v>
      </c>
      <c r="D29" s="8" t="s">
        <v>15</v>
      </c>
      <c r="E29">
        <v>0</v>
      </c>
      <c r="F29" t="s">
        <v>49</v>
      </c>
      <c r="G29" t="b">
        <v>1</v>
      </c>
      <c r="I29" s="19" t="str">
        <f t="shared" si="0"/>
        <v>Hi</v>
      </c>
      <c r="J29" s="19" t="str">
        <f t="shared" si="1"/>
        <v>Hi</v>
      </c>
    </row>
    <row r="30" spans="1:10" x14ac:dyDescent="0.25">
      <c r="A30" s="13" t="s">
        <v>126</v>
      </c>
      <c r="B30" s="12" t="s">
        <v>34</v>
      </c>
      <c r="C30" t="s">
        <v>33</v>
      </c>
      <c r="D30" s="8" t="s">
        <v>17</v>
      </c>
      <c r="E30">
        <v>10</v>
      </c>
      <c r="F30" t="s">
        <v>44</v>
      </c>
      <c r="G30" t="b">
        <v>1</v>
      </c>
      <c r="I30" s="19" t="str">
        <f t="shared" si="0"/>
        <v>Hi</v>
      </c>
      <c r="J30" s="19" t="str">
        <f t="shared" si="1"/>
        <v>Hi</v>
      </c>
    </row>
    <row r="31" spans="1:10" x14ac:dyDescent="0.25">
      <c r="A31" s="13" t="s">
        <v>126</v>
      </c>
      <c r="B31" s="12" t="s">
        <v>34</v>
      </c>
      <c r="C31" t="s">
        <v>51</v>
      </c>
      <c r="D31" s="8" t="s">
        <v>17</v>
      </c>
      <c r="E31">
        <v>50</v>
      </c>
      <c r="F31" t="s">
        <v>52</v>
      </c>
      <c r="G31" t="b">
        <v>1</v>
      </c>
      <c r="I31" s="19" t="str">
        <f t="shared" si="0"/>
        <v>Hi</v>
      </c>
      <c r="J31" s="19" t="str">
        <f t="shared" si="1"/>
        <v>Hi</v>
      </c>
    </row>
    <row r="32" spans="1:10" x14ac:dyDescent="0.25">
      <c r="A32" s="13" t="s">
        <v>126</v>
      </c>
      <c r="B32" t="s">
        <v>35</v>
      </c>
      <c r="C32" t="s">
        <v>14</v>
      </c>
      <c r="D32" s="8" t="s">
        <v>15</v>
      </c>
      <c r="E32">
        <f>E22</f>
        <v>360</v>
      </c>
      <c r="F32" t="s">
        <v>37</v>
      </c>
      <c r="G32" t="b">
        <v>1</v>
      </c>
      <c r="I32" s="19" t="str">
        <f t="shared" si="0"/>
        <v>Lo</v>
      </c>
      <c r="J32" s="19" t="str">
        <f t="shared" si="1"/>
        <v>Lo</v>
      </c>
    </row>
    <row r="33" spans="1:10" x14ac:dyDescent="0.25">
      <c r="A33" s="13" t="s">
        <v>126</v>
      </c>
      <c r="B33" t="s">
        <v>35</v>
      </c>
      <c r="C33" t="s">
        <v>14</v>
      </c>
      <c r="D33" s="8" t="s">
        <v>16</v>
      </c>
      <c r="E33">
        <f t="shared" ref="E33:E35" si="2">E23</f>
        <v>240</v>
      </c>
      <c r="F33" t="s">
        <v>38</v>
      </c>
      <c r="G33" t="b">
        <v>1</v>
      </c>
      <c r="I33" s="19" t="str">
        <f t="shared" si="0"/>
        <v>Lo</v>
      </c>
      <c r="J33" s="19" t="str">
        <f t="shared" si="1"/>
        <v>Lo</v>
      </c>
    </row>
    <row r="34" spans="1:10" x14ac:dyDescent="0.25">
      <c r="A34" s="13" t="s">
        <v>126</v>
      </c>
      <c r="B34" t="s">
        <v>35</v>
      </c>
      <c r="C34" t="s">
        <v>48</v>
      </c>
      <c r="D34" s="8" t="s">
        <v>16</v>
      </c>
      <c r="E34">
        <f t="shared" si="2"/>
        <v>300</v>
      </c>
      <c r="F34" t="s">
        <v>39</v>
      </c>
      <c r="G34" t="b">
        <v>0</v>
      </c>
      <c r="I34" s="19" t="str">
        <f t="shared" si="0"/>
        <v>Lo</v>
      </c>
      <c r="J34" s="19" t="str">
        <f t="shared" si="1"/>
        <v>Lo</v>
      </c>
    </row>
    <row r="35" spans="1:10" x14ac:dyDescent="0.25">
      <c r="A35" s="13" t="s">
        <v>126</v>
      </c>
      <c r="B35" t="s">
        <v>35</v>
      </c>
      <c r="C35" t="s">
        <v>47</v>
      </c>
      <c r="D35" s="8" t="s">
        <v>16</v>
      </c>
      <c r="E35">
        <f t="shared" si="2"/>
        <v>28.2</v>
      </c>
      <c r="F35" t="s">
        <v>40</v>
      </c>
      <c r="G35" t="b">
        <v>0</v>
      </c>
      <c r="I35" s="19" t="str">
        <f t="shared" si="0"/>
        <v>Lo</v>
      </c>
      <c r="J35" s="19" t="str">
        <f t="shared" si="1"/>
        <v>Lo</v>
      </c>
    </row>
    <row r="36" spans="1:10" x14ac:dyDescent="0.25">
      <c r="A36" s="13" t="s">
        <v>126</v>
      </c>
      <c r="B36" t="s">
        <v>35</v>
      </c>
      <c r="C36" t="s">
        <v>46</v>
      </c>
      <c r="D36" s="8" t="s">
        <v>16</v>
      </c>
      <c r="E36">
        <v>2</v>
      </c>
      <c r="F36" t="s">
        <v>41</v>
      </c>
      <c r="G36" t="b">
        <v>0</v>
      </c>
      <c r="I36" s="19" t="str">
        <f t="shared" si="0"/>
        <v>Lo</v>
      </c>
      <c r="J36" s="19" t="str">
        <f t="shared" si="1"/>
        <v>Lo</v>
      </c>
    </row>
    <row r="37" spans="1:10" x14ac:dyDescent="0.25">
      <c r="A37" s="13" t="s">
        <v>126</v>
      </c>
      <c r="B37" t="s">
        <v>35</v>
      </c>
      <c r="C37" t="s">
        <v>46</v>
      </c>
      <c r="D37" s="8" t="s">
        <v>15</v>
      </c>
      <c r="E37">
        <v>100</v>
      </c>
      <c r="F37" t="s">
        <v>42</v>
      </c>
      <c r="G37" t="b">
        <v>0</v>
      </c>
      <c r="I37" s="19" t="str">
        <f t="shared" si="0"/>
        <v>Lo</v>
      </c>
      <c r="J37" s="19" t="str">
        <f t="shared" si="1"/>
        <v>Lo</v>
      </c>
    </row>
    <row r="38" spans="1:10" x14ac:dyDescent="0.25">
      <c r="A38" s="13" t="s">
        <v>126</v>
      </c>
      <c r="B38" t="s">
        <v>35</v>
      </c>
      <c r="C38" t="s">
        <v>45</v>
      </c>
      <c r="D38" s="8" t="s">
        <v>16</v>
      </c>
      <c r="E38">
        <v>8</v>
      </c>
      <c r="F38" t="s">
        <v>43</v>
      </c>
      <c r="G38" t="b">
        <v>0</v>
      </c>
      <c r="I38" s="19" t="str">
        <f t="shared" si="0"/>
        <v>Lo</v>
      </c>
      <c r="J38" s="19" t="str">
        <f t="shared" si="1"/>
        <v>Lo</v>
      </c>
    </row>
    <row r="39" spans="1:10" x14ac:dyDescent="0.25">
      <c r="A39" s="13" t="s">
        <v>126</v>
      </c>
      <c r="B39" t="s">
        <v>35</v>
      </c>
      <c r="C39" t="s">
        <v>18</v>
      </c>
      <c r="D39" s="8" t="s">
        <v>15</v>
      </c>
      <c r="E39">
        <v>0</v>
      </c>
      <c r="F39" t="s">
        <v>49</v>
      </c>
      <c r="G39" t="b">
        <v>1</v>
      </c>
      <c r="I39" s="19" t="str">
        <f t="shared" si="0"/>
        <v>Lo</v>
      </c>
      <c r="J39" s="19" t="str">
        <f t="shared" si="1"/>
        <v>Lo</v>
      </c>
    </row>
    <row r="40" spans="1:10" x14ac:dyDescent="0.25">
      <c r="A40" s="13" t="s">
        <v>126</v>
      </c>
      <c r="B40" t="s">
        <v>35</v>
      </c>
      <c r="C40" t="s">
        <v>33</v>
      </c>
      <c r="D40" s="8" t="s">
        <v>17</v>
      </c>
      <c r="E40">
        <v>10</v>
      </c>
      <c r="F40" t="s">
        <v>44</v>
      </c>
      <c r="G40" t="b">
        <v>1</v>
      </c>
      <c r="I40" s="19" t="str">
        <f t="shared" si="0"/>
        <v>Lo</v>
      </c>
      <c r="J40" s="19" t="str">
        <f t="shared" si="1"/>
        <v>Lo</v>
      </c>
    </row>
    <row r="41" spans="1:10" x14ac:dyDescent="0.25">
      <c r="A41" s="13" t="s">
        <v>126</v>
      </c>
      <c r="B41" t="s">
        <v>35</v>
      </c>
      <c r="C41" t="s">
        <v>51</v>
      </c>
      <c r="D41" s="8" t="s">
        <v>17</v>
      </c>
      <c r="E41">
        <v>50</v>
      </c>
      <c r="F41" t="s">
        <v>52</v>
      </c>
      <c r="G41" t="b">
        <v>1</v>
      </c>
      <c r="I41" s="19" t="str">
        <f t="shared" si="0"/>
        <v>Lo</v>
      </c>
      <c r="J41" s="19" t="str">
        <f t="shared" si="1"/>
        <v>Lo</v>
      </c>
    </row>
    <row r="42" spans="1:10" x14ac:dyDescent="0.25">
      <c r="A42" t="s">
        <v>53</v>
      </c>
      <c r="B42" t="s">
        <v>54</v>
      </c>
      <c r="C42" t="s">
        <v>150</v>
      </c>
      <c r="D42" s="8" t="s">
        <v>17</v>
      </c>
      <c r="E42">
        <v>5</v>
      </c>
      <c r="F42" t="s">
        <v>55</v>
      </c>
      <c r="G42" t="b">
        <v>0</v>
      </c>
      <c r="I42" s="19" t="str">
        <f t="shared" si="0"/>
        <v>HiGrad-LoElev</v>
      </c>
      <c r="J42" s="19" t="str">
        <f t="shared" si="1"/>
        <v>HiGrad-LoElev</v>
      </c>
    </row>
    <row r="43" spans="1:10" x14ac:dyDescent="0.25">
      <c r="A43" t="s">
        <v>53</v>
      </c>
      <c r="B43" t="s">
        <v>54</v>
      </c>
      <c r="C43" t="s">
        <v>150</v>
      </c>
      <c r="D43" s="8" t="s">
        <v>16</v>
      </c>
      <c r="E43">
        <v>1.2</v>
      </c>
      <c r="F43" t="s">
        <v>116</v>
      </c>
      <c r="G43" t="b">
        <v>0</v>
      </c>
      <c r="H43" t="s">
        <v>115</v>
      </c>
      <c r="I43" s="19" t="str">
        <f t="shared" si="0"/>
        <v>HiGrad-LoElev</v>
      </c>
      <c r="J43" s="19" t="str">
        <f t="shared" si="1"/>
        <v>HiGrad-LoElev</v>
      </c>
    </row>
    <row r="44" spans="1:10" x14ac:dyDescent="0.25">
      <c r="A44" t="s">
        <v>53</v>
      </c>
      <c r="B44" t="s">
        <v>54</v>
      </c>
      <c r="C44" t="s">
        <v>138</v>
      </c>
      <c r="D44" s="8" t="s">
        <v>16</v>
      </c>
      <c r="E44">
        <v>5</v>
      </c>
      <c r="F44" t="s">
        <v>139</v>
      </c>
      <c r="G44" t="b">
        <v>0</v>
      </c>
      <c r="I44" s="19" t="str">
        <f t="shared" si="0"/>
        <v>HiGrad-LoElev</v>
      </c>
      <c r="J44" s="19" t="str">
        <f t="shared" si="1"/>
        <v>HiGrad-LoElev</v>
      </c>
    </row>
    <row r="45" spans="1:10" x14ac:dyDescent="0.25">
      <c r="A45" t="s">
        <v>53</v>
      </c>
      <c r="B45" t="s">
        <v>54</v>
      </c>
      <c r="C45" t="s">
        <v>138</v>
      </c>
      <c r="D45" s="8" t="s">
        <v>15</v>
      </c>
      <c r="E45">
        <v>260</v>
      </c>
      <c r="F45" t="s">
        <v>140</v>
      </c>
      <c r="G45" t="b">
        <v>0</v>
      </c>
      <c r="I45" s="19" t="str">
        <f t="shared" si="0"/>
        <v>HiGrad-LoElev</v>
      </c>
      <c r="J45" s="19" t="str">
        <f t="shared" si="1"/>
        <v>HiGrad-LoElev</v>
      </c>
    </row>
    <row r="46" spans="1:10" x14ac:dyDescent="0.25">
      <c r="A46" t="s">
        <v>53</v>
      </c>
      <c r="B46" t="s">
        <v>54</v>
      </c>
      <c r="C46" t="s">
        <v>56</v>
      </c>
      <c r="D46" s="8" t="s">
        <v>16</v>
      </c>
      <c r="E46">
        <v>6</v>
      </c>
      <c r="F46" t="s">
        <v>57</v>
      </c>
      <c r="G46" t="b">
        <v>0</v>
      </c>
      <c r="I46" s="19" t="str">
        <f t="shared" si="0"/>
        <v>HiGrad-LoElev</v>
      </c>
      <c r="J46" s="19" t="str">
        <f t="shared" si="1"/>
        <v>HiGrad-LoElev</v>
      </c>
    </row>
    <row r="47" spans="1:10" x14ac:dyDescent="0.25">
      <c r="A47" t="s">
        <v>53</v>
      </c>
      <c r="B47" t="s">
        <v>54</v>
      </c>
      <c r="C47" t="s">
        <v>56</v>
      </c>
      <c r="D47" s="8" t="s">
        <v>15</v>
      </c>
      <c r="E47">
        <v>10</v>
      </c>
      <c r="F47" t="s">
        <v>58</v>
      </c>
      <c r="G47" t="b">
        <v>0</v>
      </c>
      <c r="I47" s="19" t="str">
        <f t="shared" si="0"/>
        <v>HiGrad-LoElev</v>
      </c>
      <c r="J47" s="19" t="str">
        <f t="shared" si="1"/>
        <v>HiGrad-LoElev</v>
      </c>
    </row>
    <row r="48" spans="1:10" x14ac:dyDescent="0.25">
      <c r="A48" t="s">
        <v>53</v>
      </c>
      <c r="B48" t="s">
        <v>54</v>
      </c>
      <c r="C48" t="s">
        <v>59</v>
      </c>
      <c r="D48" s="8" t="s">
        <v>16</v>
      </c>
      <c r="E48">
        <v>8</v>
      </c>
      <c r="F48" t="s">
        <v>60</v>
      </c>
      <c r="G48" t="b">
        <v>0</v>
      </c>
      <c r="I48" s="19" t="str">
        <f t="shared" si="0"/>
        <v>HiGrad-LoElev</v>
      </c>
      <c r="J48" s="19" t="str">
        <f t="shared" si="1"/>
        <v>HiGrad-LoElev</v>
      </c>
    </row>
    <row r="49" spans="1:10" x14ac:dyDescent="0.25">
      <c r="A49" t="s">
        <v>53</v>
      </c>
      <c r="B49" t="s">
        <v>54</v>
      </c>
      <c r="C49" t="s">
        <v>14</v>
      </c>
      <c r="D49" s="8" t="s">
        <v>15</v>
      </c>
      <c r="E49">
        <v>600</v>
      </c>
      <c r="F49" t="s">
        <v>61</v>
      </c>
      <c r="G49" t="b">
        <v>1</v>
      </c>
      <c r="I49" s="19" t="str">
        <f t="shared" si="0"/>
        <v>HiGrad-LoElev</v>
      </c>
      <c r="J49" s="19" t="str">
        <f t="shared" si="1"/>
        <v>HiGrad-LoElev</v>
      </c>
    </row>
    <row r="50" spans="1:10" x14ac:dyDescent="0.25">
      <c r="A50" t="s">
        <v>53</v>
      </c>
      <c r="B50" t="s">
        <v>54</v>
      </c>
      <c r="C50" t="s">
        <v>14</v>
      </c>
      <c r="D50" s="8" t="s">
        <v>16</v>
      </c>
      <c r="E50">
        <v>450</v>
      </c>
      <c r="F50" t="s">
        <v>38</v>
      </c>
      <c r="G50" t="b">
        <v>1</v>
      </c>
      <c r="I50" s="19" t="str">
        <f t="shared" si="0"/>
        <v>HiGrad-LoElev</v>
      </c>
      <c r="J50" s="19" t="str">
        <f t="shared" si="1"/>
        <v>HiGrad-LoElev</v>
      </c>
    </row>
    <row r="51" spans="1:10" x14ac:dyDescent="0.25">
      <c r="A51" t="s">
        <v>53</v>
      </c>
      <c r="B51" t="s">
        <v>54</v>
      </c>
      <c r="C51" t="s">
        <v>62</v>
      </c>
      <c r="D51" s="8" t="s">
        <v>17</v>
      </c>
      <c r="E51">
        <v>75</v>
      </c>
      <c r="F51" t="s">
        <v>63</v>
      </c>
      <c r="G51" t="b">
        <v>0</v>
      </c>
      <c r="I51" s="19" t="str">
        <f t="shared" si="0"/>
        <v>HiGrad-LoElev</v>
      </c>
      <c r="J51" s="19" t="str">
        <f t="shared" si="1"/>
        <v>HiGrad-LoElev</v>
      </c>
    </row>
    <row r="52" spans="1:10" x14ac:dyDescent="0.25">
      <c r="A52" t="s">
        <v>53</v>
      </c>
      <c r="B52" t="s">
        <v>54</v>
      </c>
      <c r="C52" t="s">
        <v>48</v>
      </c>
      <c r="D52" s="8" t="s">
        <v>16</v>
      </c>
      <c r="E52">
        <v>1000</v>
      </c>
      <c r="F52" t="s">
        <v>64</v>
      </c>
      <c r="G52" t="b">
        <v>0</v>
      </c>
      <c r="I52" s="19" t="str">
        <f t="shared" si="0"/>
        <v>HiGrad-LoElev</v>
      </c>
      <c r="J52" s="19" t="str">
        <f t="shared" si="1"/>
        <v>HiGrad-LoElev</v>
      </c>
    </row>
    <row r="53" spans="1:10" x14ac:dyDescent="0.25">
      <c r="A53" t="s">
        <v>53</v>
      </c>
      <c r="B53" t="s">
        <v>54</v>
      </c>
      <c r="C53" t="s">
        <v>51</v>
      </c>
      <c r="D53" s="8" t="s">
        <v>17</v>
      </c>
      <c r="E53">
        <v>50</v>
      </c>
      <c r="F53" t="s">
        <v>65</v>
      </c>
      <c r="G53" t="b">
        <v>1</v>
      </c>
      <c r="I53" s="19" t="str">
        <f t="shared" si="0"/>
        <v>HiGrad-LoElev</v>
      </c>
      <c r="J53" s="19" t="str">
        <f t="shared" si="1"/>
        <v>HiGrad-LoElev</v>
      </c>
    </row>
    <row r="54" spans="1:10" x14ac:dyDescent="0.25">
      <c r="A54" t="s">
        <v>53</v>
      </c>
      <c r="B54" t="s">
        <v>54</v>
      </c>
      <c r="C54" t="s">
        <v>66</v>
      </c>
      <c r="D54" s="8" t="s">
        <v>17</v>
      </c>
      <c r="E54" s="17">
        <v>35</v>
      </c>
      <c r="F54" t="s">
        <v>67</v>
      </c>
      <c r="G54" t="b">
        <v>1</v>
      </c>
      <c r="H54" t="s">
        <v>110</v>
      </c>
      <c r="I54" s="19" t="str">
        <f t="shared" si="0"/>
        <v>HiGrad-LoElev</v>
      </c>
      <c r="J54" s="19" t="str">
        <f t="shared" si="1"/>
        <v>HiGrad-LoElev</v>
      </c>
    </row>
    <row r="55" spans="1:10" x14ac:dyDescent="0.25">
      <c r="A55" t="s">
        <v>53</v>
      </c>
      <c r="B55" t="s">
        <v>54</v>
      </c>
      <c r="C55" t="s">
        <v>68</v>
      </c>
      <c r="D55" s="8" t="s">
        <v>17</v>
      </c>
      <c r="E55">
        <v>10</v>
      </c>
      <c r="F55" t="s">
        <v>69</v>
      </c>
      <c r="G55" t="b">
        <v>1</v>
      </c>
      <c r="I55" s="19" t="str">
        <f t="shared" si="0"/>
        <v>HiGrad-LoElev</v>
      </c>
      <c r="J55" s="19" t="str">
        <f t="shared" si="1"/>
        <v>HiGrad-LoElev</v>
      </c>
    </row>
    <row r="56" spans="1:10" x14ac:dyDescent="0.25">
      <c r="A56" t="s">
        <v>53</v>
      </c>
      <c r="B56" t="s">
        <v>54</v>
      </c>
      <c r="C56" t="s">
        <v>70</v>
      </c>
      <c r="D56" s="8" t="s">
        <v>17</v>
      </c>
      <c r="E56">
        <v>25</v>
      </c>
      <c r="F56" t="s">
        <v>71</v>
      </c>
      <c r="G56" t="b">
        <v>1</v>
      </c>
      <c r="I56" s="19" t="str">
        <f t="shared" si="0"/>
        <v>HiGrad-LoElev</v>
      </c>
      <c r="J56" s="19" t="str">
        <f t="shared" si="1"/>
        <v>HiGrad-LoElev</v>
      </c>
    </row>
    <row r="57" spans="1:10" x14ac:dyDescent="0.25">
      <c r="A57" t="s">
        <v>53</v>
      </c>
      <c r="B57" t="s">
        <v>54</v>
      </c>
      <c r="C57" t="s">
        <v>72</v>
      </c>
      <c r="D57" s="20" t="s">
        <v>96</v>
      </c>
      <c r="E57">
        <v>0</v>
      </c>
      <c r="F57" t="s">
        <v>73</v>
      </c>
      <c r="G57" t="b">
        <v>1</v>
      </c>
      <c r="I57" s="19" t="str">
        <f t="shared" si="0"/>
        <v>HiGrad-LoElev</v>
      </c>
      <c r="J57" s="19" t="str">
        <f t="shared" si="1"/>
        <v>HiGrad-LoElev</v>
      </c>
    </row>
    <row r="58" spans="1:10" x14ac:dyDescent="0.25">
      <c r="A58" t="s">
        <v>53</v>
      </c>
      <c r="B58" t="s">
        <v>54</v>
      </c>
      <c r="C58" t="s">
        <v>74</v>
      </c>
      <c r="D58" s="20" t="s">
        <v>96</v>
      </c>
      <c r="E58">
        <v>0</v>
      </c>
      <c r="F58" t="s">
        <v>75</v>
      </c>
      <c r="G58" t="b">
        <v>1</v>
      </c>
      <c r="I58" s="19" t="str">
        <f t="shared" si="0"/>
        <v>HiGrad-LoElev</v>
      </c>
      <c r="J58" s="19" t="str">
        <f t="shared" si="1"/>
        <v>HiGrad-LoElev</v>
      </c>
    </row>
    <row r="59" spans="1:10" x14ac:dyDescent="0.25">
      <c r="A59" t="s">
        <v>53</v>
      </c>
      <c r="B59" t="s">
        <v>54</v>
      </c>
      <c r="C59" t="s">
        <v>76</v>
      </c>
      <c r="D59" s="20" t="s">
        <v>96</v>
      </c>
      <c r="E59">
        <v>0</v>
      </c>
      <c r="F59" t="s">
        <v>77</v>
      </c>
      <c r="G59" t="b">
        <v>1</v>
      </c>
      <c r="I59" s="19" t="str">
        <f t="shared" si="0"/>
        <v>HiGrad-LoElev</v>
      </c>
      <c r="J59" s="19" t="str">
        <f t="shared" si="1"/>
        <v>HiGrad-LoElev</v>
      </c>
    </row>
    <row r="60" spans="1:10" x14ac:dyDescent="0.25">
      <c r="A60" t="s">
        <v>53</v>
      </c>
      <c r="B60" t="s">
        <v>54</v>
      </c>
      <c r="C60" t="s">
        <v>78</v>
      </c>
      <c r="D60" s="20" t="s">
        <v>96</v>
      </c>
      <c r="E60">
        <v>0</v>
      </c>
      <c r="F60" t="s">
        <v>79</v>
      </c>
      <c r="G60" t="b">
        <v>1</v>
      </c>
      <c r="I60" s="19" t="str">
        <f t="shared" si="0"/>
        <v>HiGrad-LoElev</v>
      </c>
      <c r="J60" s="19" t="str">
        <f t="shared" si="1"/>
        <v>HiGrad-LoElev</v>
      </c>
    </row>
    <row r="61" spans="1:10" x14ac:dyDescent="0.25">
      <c r="A61" t="s">
        <v>53</v>
      </c>
      <c r="B61" t="s">
        <v>54</v>
      </c>
      <c r="C61" t="s">
        <v>80</v>
      </c>
      <c r="D61" s="8" t="s">
        <v>17</v>
      </c>
      <c r="E61">
        <v>50</v>
      </c>
      <c r="F61" t="s">
        <v>81</v>
      </c>
      <c r="G61" t="b">
        <v>1</v>
      </c>
      <c r="I61" s="19" t="str">
        <f t="shared" si="0"/>
        <v>HiGrad-LoElev</v>
      </c>
      <c r="J61" s="19" t="str">
        <f t="shared" si="1"/>
        <v>HiGrad-LoElev</v>
      </c>
    </row>
    <row r="62" spans="1:10" x14ac:dyDescent="0.25">
      <c r="A62" t="s">
        <v>53</v>
      </c>
      <c r="B62" t="s">
        <v>54</v>
      </c>
      <c r="C62" t="s">
        <v>91</v>
      </c>
      <c r="D62" s="8" t="s">
        <v>17</v>
      </c>
      <c r="E62" s="17">
        <v>50</v>
      </c>
      <c r="F62" t="s">
        <v>82</v>
      </c>
      <c r="G62" t="b">
        <v>1</v>
      </c>
      <c r="H62" t="s">
        <v>110</v>
      </c>
      <c r="I62" s="19" t="str">
        <f t="shared" si="0"/>
        <v>HiGrad-LoElev</v>
      </c>
      <c r="J62" s="19" t="str">
        <f t="shared" si="1"/>
        <v>HiGrad-LoElev</v>
      </c>
    </row>
    <row r="63" spans="1:10" x14ac:dyDescent="0.25">
      <c r="A63" t="s">
        <v>53</v>
      </c>
      <c r="B63" t="s">
        <v>54</v>
      </c>
      <c r="C63" t="s">
        <v>83</v>
      </c>
      <c r="D63" s="8" t="s">
        <v>17</v>
      </c>
      <c r="E63">
        <v>30</v>
      </c>
      <c r="F63" t="s">
        <v>84</v>
      </c>
      <c r="G63" t="b">
        <v>1</v>
      </c>
      <c r="I63" s="19" t="str">
        <f t="shared" si="0"/>
        <v>HiGrad-LoElev</v>
      </c>
      <c r="J63" s="19" t="str">
        <f t="shared" si="1"/>
        <v>HiGrad-LoElev</v>
      </c>
    </row>
    <row r="64" spans="1:10" x14ac:dyDescent="0.25">
      <c r="A64" t="s">
        <v>53</v>
      </c>
      <c r="B64" t="s">
        <v>54</v>
      </c>
      <c r="C64" t="s">
        <v>85</v>
      </c>
      <c r="D64" s="8" t="s">
        <v>17</v>
      </c>
      <c r="E64">
        <v>10</v>
      </c>
      <c r="F64" t="s">
        <v>86</v>
      </c>
      <c r="G64" t="b">
        <v>1</v>
      </c>
      <c r="I64" s="19" t="str">
        <f t="shared" si="0"/>
        <v>HiGrad-LoElev</v>
      </c>
      <c r="J64" s="19" t="str">
        <f t="shared" si="1"/>
        <v>HiGrad-LoElev</v>
      </c>
    </row>
    <row r="65" spans="1:10" x14ac:dyDescent="0.25">
      <c r="A65" t="s">
        <v>53</v>
      </c>
      <c r="B65" t="s">
        <v>54</v>
      </c>
      <c r="C65" t="s">
        <v>87</v>
      </c>
      <c r="D65" s="8" t="s">
        <v>17</v>
      </c>
      <c r="E65">
        <v>10</v>
      </c>
      <c r="F65" t="s">
        <v>88</v>
      </c>
      <c r="G65" t="b">
        <v>1</v>
      </c>
      <c r="I65" s="19" t="str">
        <f t="shared" si="0"/>
        <v>HiGrad-LoElev</v>
      </c>
      <c r="J65" s="19" t="str">
        <f t="shared" si="1"/>
        <v>HiGrad-LoElev</v>
      </c>
    </row>
    <row r="66" spans="1:10" x14ac:dyDescent="0.25">
      <c r="A66" t="s">
        <v>53</v>
      </c>
      <c r="B66" t="s">
        <v>54</v>
      </c>
      <c r="C66" t="s">
        <v>89</v>
      </c>
      <c r="D66" s="8" t="s">
        <v>15</v>
      </c>
      <c r="E66">
        <v>0</v>
      </c>
      <c r="F66" t="s">
        <v>49</v>
      </c>
      <c r="G66" t="b">
        <v>1</v>
      </c>
      <c r="I66" s="19" t="str">
        <f t="shared" si="0"/>
        <v>HiGrad-LoElev</v>
      </c>
      <c r="J66" s="19" t="str">
        <f t="shared" si="1"/>
        <v>HiGrad-LoElev</v>
      </c>
    </row>
    <row r="67" spans="1:10" x14ac:dyDescent="0.25">
      <c r="A67" t="s">
        <v>53</v>
      </c>
      <c r="B67" t="s">
        <v>54</v>
      </c>
      <c r="C67" t="s">
        <v>101</v>
      </c>
      <c r="D67" s="8" t="s">
        <v>15</v>
      </c>
      <c r="E67">
        <v>0</v>
      </c>
      <c r="F67" t="s">
        <v>102</v>
      </c>
      <c r="G67" t="b">
        <v>1</v>
      </c>
      <c r="H67" t="s">
        <v>109</v>
      </c>
      <c r="I67" s="19" t="str">
        <f t="shared" ref="I67:I130" si="3">B67</f>
        <v>HiGrad-LoElev</v>
      </c>
      <c r="J67" s="19" t="str">
        <f t="shared" ref="J67:J130" si="4">B67</f>
        <v>HiGrad-LoElev</v>
      </c>
    </row>
    <row r="68" spans="1:10" x14ac:dyDescent="0.25">
      <c r="A68" t="s">
        <v>53</v>
      </c>
      <c r="B68" t="s">
        <v>54</v>
      </c>
      <c r="C68" t="s">
        <v>104</v>
      </c>
      <c r="D68" s="8" t="s">
        <v>16</v>
      </c>
      <c r="E68">
        <v>1000</v>
      </c>
      <c r="F68" t="s">
        <v>105</v>
      </c>
      <c r="G68" t="b">
        <v>0</v>
      </c>
      <c r="H68" t="s">
        <v>117</v>
      </c>
      <c r="I68" s="19" t="str">
        <f t="shared" si="3"/>
        <v>HiGrad-LoElev</v>
      </c>
      <c r="J68" s="19" t="str">
        <f t="shared" si="4"/>
        <v>HiGrad-LoElev</v>
      </c>
    </row>
    <row r="69" spans="1:10" x14ac:dyDescent="0.25">
      <c r="A69" t="s">
        <v>53</v>
      </c>
      <c r="B69" t="s">
        <v>54</v>
      </c>
      <c r="C69" t="s">
        <v>106</v>
      </c>
      <c r="D69" s="8" t="s">
        <v>17</v>
      </c>
      <c r="E69" s="8">
        <v>10</v>
      </c>
      <c r="F69" t="s">
        <v>107</v>
      </c>
      <c r="G69" t="b">
        <v>1</v>
      </c>
      <c r="H69" t="s">
        <v>117</v>
      </c>
      <c r="I69" s="19" t="str">
        <f t="shared" si="3"/>
        <v>HiGrad-LoElev</v>
      </c>
      <c r="J69" s="19" t="str">
        <f t="shared" si="4"/>
        <v>HiGrad-LoElev</v>
      </c>
    </row>
    <row r="70" spans="1:10" x14ac:dyDescent="0.25">
      <c r="A70" t="s">
        <v>53</v>
      </c>
      <c r="B70" t="s">
        <v>54</v>
      </c>
      <c r="C70" t="s">
        <v>113</v>
      </c>
      <c r="D70" s="8" t="s">
        <v>17</v>
      </c>
      <c r="E70" s="8">
        <v>10</v>
      </c>
      <c r="F70" t="s">
        <v>108</v>
      </c>
      <c r="G70" t="b">
        <v>1</v>
      </c>
      <c r="H70" t="s">
        <v>117</v>
      </c>
      <c r="I70" s="19" t="str">
        <f t="shared" si="3"/>
        <v>HiGrad-LoElev</v>
      </c>
      <c r="J70" s="19" t="str">
        <f t="shared" si="4"/>
        <v>HiGrad-LoElev</v>
      </c>
    </row>
    <row r="71" spans="1:10" x14ac:dyDescent="0.25">
      <c r="A71" t="s">
        <v>53</v>
      </c>
      <c r="B71" t="s">
        <v>103</v>
      </c>
      <c r="C71" t="s">
        <v>150</v>
      </c>
      <c r="D71" s="8" t="s">
        <v>17</v>
      </c>
      <c r="E71" s="21">
        <v>8</v>
      </c>
      <c r="F71" t="s">
        <v>111</v>
      </c>
      <c r="G71" t="b">
        <v>0</v>
      </c>
      <c r="I71" s="19" t="str">
        <f t="shared" si="3"/>
        <v>HiGrad-HiElev</v>
      </c>
      <c r="J71" s="19" t="str">
        <f t="shared" si="4"/>
        <v>HiGrad-HiElev</v>
      </c>
    </row>
    <row r="72" spans="1:10" x14ac:dyDescent="0.25">
      <c r="A72" t="s">
        <v>53</v>
      </c>
      <c r="B72" t="s">
        <v>103</v>
      </c>
      <c r="C72" t="s">
        <v>150</v>
      </c>
      <c r="D72" s="8" t="s">
        <v>16</v>
      </c>
      <c r="E72">
        <v>3</v>
      </c>
      <c r="F72" t="s">
        <v>112</v>
      </c>
      <c r="G72" t="b">
        <v>0</v>
      </c>
      <c r="I72" s="19" t="str">
        <f t="shared" si="3"/>
        <v>HiGrad-HiElev</v>
      </c>
      <c r="J72" s="19" t="str">
        <f t="shared" si="4"/>
        <v>HiGrad-HiElev</v>
      </c>
    </row>
    <row r="73" spans="1:10" x14ac:dyDescent="0.25">
      <c r="A73" t="s">
        <v>53</v>
      </c>
      <c r="B73" t="s">
        <v>103</v>
      </c>
      <c r="C73" t="s">
        <v>138</v>
      </c>
      <c r="D73" s="8" t="s">
        <v>16</v>
      </c>
      <c r="E73">
        <v>5</v>
      </c>
      <c r="F73" t="s">
        <v>139</v>
      </c>
      <c r="G73" t="b">
        <v>0</v>
      </c>
      <c r="I73" s="19" t="str">
        <f t="shared" si="3"/>
        <v>HiGrad-HiElev</v>
      </c>
      <c r="J73" s="19" t="str">
        <f t="shared" si="4"/>
        <v>HiGrad-HiElev</v>
      </c>
    </row>
    <row r="74" spans="1:10" x14ac:dyDescent="0.25">
      <c r="A74" t="s">
        <v>53</v>
      </c>
      <c r="B74" t="s">
        <v>103</v>
      </c>
      <c r="C74" t="s">
        <v>138</v>
      </c>
      <c r="D74" s="8" t="s">
        <v>15</v>
      </c>
      <c r="E74">
        <v>260</v>
      </c>
      <c r="F74" t="s">
        <v>140</v>
      </c>
      <c r="G74" t="b">
        <v>0</v>
      </c>
      <c r="I74" s="19" t="str">
        <f t="shared" si="3"/>
        <v>HiGrad-HiElev</v>
      </c>
      <c r="J74" s="19" t="str">
        <f t="shared" si="4"/>
        <v>HiGrad-HiElev</v>
      </c>
    </row>
    <row r="75" spans="1:10" x14ac:dyDescent="0.25">
      <c r="A75" t="s">
        <v>53</v>
      </c>
      <c r="B75" t="s">
        <v>103</v>
      </c>
      <c r="C75" t="s">
        <v>104</v>
      </c>
      <c r="D75" s="8" t="s">
        <v>16</v>
      </c>
      <c r="E75">
        <v>1000</v>
      </c>
      <c r="F75" t="s">
        <v>105</v>
      </c>
      <c r="G75" t="b">
        <v>0</v>
      </c>
      <c r="I75" s="19" t="str">
        <f t="shared" si="3"/>
        <v>HiGrad-HiElev</v>
      </c>
      <c r="J75" s="19" t="str">
        <f t="shared" si="4"/>
        <v>HiGrad-HiElev</v>
      </c>
    </row>
    <row r="76" spans="1:10" x14ac:dyDescent="0.25">
      <c r="A76" t="s">
        <v>53</v>
      </c>
      <c r="B76" t="s">
        <v>103</v>
      </c>
      <c r="C76" t="s">
        <v>56</v>
      </c>
      <c r="D76" s="8" t="s">
        <v>16</v>
      </c>
      <c r="E76">
        <v>6</v>
      </c>
      <c r="F76" t="s">
        <v>57</v>
      </c>
      <c r="G76" t="b">
        <v>0</v>
      </c>
      <c r="I76" s="19" t="str">
        <f t="shared" si="3"/>
        <v>HiGrad-HiElev</v>
      </c>
      <c r="J76" s="19" t="str">
        <f t="shared" si="4"/>
        <v>HiGrad-HiElev</v>
      </c>
    </row>
    <row r="77" spans="1:10" x14ac:dyDescent="0.25">
      <c r="A77" t="s">
        <v>53</v>
      </c>
      <c r="B77" t="s">
        <v>103</v>
      </c>
      <c r="C77" t="s">
        <v>56</v>
      </c>
      <c r="D77" s="8" t="s">
        <v>15</v>
      </c>
      <c r="E77">
        <v>10</v>
      </c>
      <c r="F77" t="s">
        <v>58</v>
      </c>
      <c r="G77" t="b">
        <v>0</v>
      </c>
      <c r="I77" s="19" t="str">
        <f t="shared" si="3"/>
        <v>HiGrad-HiElev</v>
      </c>
      <c r="J77" s="19" t="str">
        <f t="shared" si="4"/>
        <v>HiGrad-HiElev</v>
      </c>
    </row>
    <row r="78" spans="1:10" x14ac:dyDescent="0.25">
      <c r="A78" t="s">
        <v>53</v>
      </c>
      <c r="B78" t="s">
        <v>103</v>
      </c>
      <c r="C78" t="s">
        <v>59</v>
      </c>
      <c r="D78" s="8" t="s">
        <v>16</v>
      </c>
      <c r="E78">
        <v>8</v>
      </c>
      <c r="F78" t="s">
        <v>60</v>
      </c>
      <c r="G78" t="b">
        <v>0</v>
      </c>
      <c r="I78" s="19" t="str">
        <f t="shared" si="3"/>
        <v>HiGrad-HiElev</v>
      </c>
      <c r="J78" s="19" t="str">
        <f t="shared" si="4"/>
        <v>HiGrad-HiElev</v>
      </c>
    </row>
    <row r="79" spans="1:10" x14ac:dyDescent="0.25">
      <c r="A79" t="s">
        <v>53</v>
      </c>
      <c r="B79" t="s">
        <v>103</v>
      </c>
      <c r="C79" t="s">
        <v>14</v>
      </c>
      <c r="D79" s="8" t="s">
        <v>15</v>
      </c>
      <c r="E79">
        <v>600</v>
      </c>
      <c r="F79" t="s">
        <v>61</v>
      </c>
      <c r="G79" t="b">
        <v>1</v>
      </c>
      <c r="I79" s="19" t="str">
        <f t="shared" si="3"/>
        <v>HiGrad-HiElev</v>
      </c>
      <c r="J79" s="19" t="str">
        <f t="shared" si="4"/>
        <v>HiGrad-HiElev</v>
      </c>
    </row>
    <row r="80" spans="1:10" x14ac:dyDescent="0.25">
      <c r="A80" t="s">
        <v>53</v>
      </c>
      <c r="B80" t="s">
        <v>103</v>
      </c>
      <c r="C80" t="s">
        <v>14</v>
      </c>
      <c r="D80" s="8" t="s">
        <v>16</v>
      </c>
      <c r="E80">
        <v>450</v>
      </c>
      <c r="F80" t="s">
        <v>38</v>
      </c>
      <c r="G80" t="b">
        <v>1</v>
      </c>
      <c r="I80" s="19" t="str">
        <f t="shared" si="3"/>
        <v>HiGrad-HiElev</v>
      </c>
      <c r="J80" s="19" t="str">
        <f t="shared" si="4"/>
        <v>HiGrad-HiElev</v>
      </c>
    </row>
    <row r="81" spans="1:10" x14ac:dyDescent="0.25">
      <c r="A81" t="s">
        <v>53</v>
      </c>
      <c r="B81" t="s">
        <v>103</v>
      </c>
      <c r="C81" t="s">
        <v>62</v>
      </c>
      <c r="D81" s="8" t="s">
        <v>17</v>
      </c>
      <c r="E81">
        <v>75</v>
      </c>
      <c r="F81" t="s">
        <v>63</v>
      </c>
      <c r="G81" t="b">
        <v>0</v>
      </c>
      <c r="I81" s="19" t="str">
        <f t="shared" si="3"/>
        <v>HiGrad-HiElev</v>
      </c>
      <c r="J81" s="19" t="str">
        <f t="shared" si="4"/>
        <v>HiGrad-HiElev</v>
      </c>
    </row>
    <row r="82" spans="1:10" x14ac:dyDescent="0.25">
      <c r="A82" t="s">
        <v>53</v>
      </c>
      <c r="B82" t="s">
        <v>103</v>
      </c>
      <c r="C82" t="s">
        <v>48</v>
      </c>
      <c r="D82" s="8" t="s">
        <v>16</v>
      </c>
      <c r="E82">
        <v>1000</v>
      </c>
      <c r="F82" t="s">
        <v>64</v>
      </c>
      <c r="G82" t="b">
        <v>0</v>
      </c>
      <c r="I82" s="19" t="str">
        <f t="shared" si="3"/>
        <v>HiGrad-HiElev</v>
      </c>
      <c r="J82" s="19" t="str">
        <f t="shared" si="4"/>
        <v>HiGrad-HiElev</v>
      </c>
    </row>
    <row r="83" spans="1:10" x14ac:dyDescent="0.25">
      <c r="A83" t="s">
        <v>53</v>
      </c>
      <c r="B83" t="s">
        <v>103</v>
      </c>
      <c r="C83" t="s">
        <v>51</v>
      </c>
      <c r="D83" s="8" t="s">
        <v>17</v>
      </c>
      <c r="E83">
        <v>50</v>
      </c>
      <c r="F83" t="s">
        <v>65</v>
      </c>
      <c r="G83" t="b">
        <v>1</v>
      </c>
      <c r="I83" s="19" t="str">
        <f t="shared" si="3"/>
        <v>HiGrad-HiElev</v>
      </c>
      <c r="J83" s="19" t="str">
        <f t="shared" si="4"/>
        <v>HiGrad-HiElev</v>
      </c>
    </row>
    <row r="84" spans="1:10" x14ac:dyDescent="0.25">
      <c r="A84" t="s">
        <v>53</v>
      </c>
      <c r="B84" t="s">
        <v>103</v>
      </c>
      <c r="C84" t="s">
        <v>66</v>
      </c>
      <c r="D84" s="8" t="s">
        <v>17</v>
      </c>
      <c r="E84">
        <v>35</v>
      </c>
      <c r="F84" t="s">
        <v>67</v>
      </c>
      <c r="G84" t="b">
        <v>1</v>
      </c>
      <c r="I84" s="19" t="str">
        <f t="shared" si="3"/>
        <v>HiGrad-HiElev</v>
      </c>
      <c r="J84" s="19" t="str">
        <f t="shared" si="4"/>
        <v>HiGrad-HiElev</v>
      </c>
    </row>
    <row r="85" spans="1:10" x14ac:dyDescent="0.25">
      <c r="A85" t="s">
        <v>53</v>
      </c>
      <c r="B85" t="s">
        <v>103</v>
      </c>
      <c r="C85" t="s">
        <v>68</v>
      </c>
      <c r="D85" s="8" t="s">
        <v>17</v>
      </c>
      <c r="E85">
        <v>10</v>
      </c>
      <c r="F85" t="s">
        <v>69</v>
      </c>
      <c r="G85" t="b">
        <v>1</v>
      </c>
      <c r="I85" s="19" t="str">
        <f t="shared" si="3"/>
        <v>HiGrad-HiElev</v>
      </c>
      <c r="J85" s="19" t="str">
        <f t="shared" si="4"/>
        <v>HiGrad-HiElev</v>
      </c>
    </row>
    <row r="86" spans="1:10" x14ac:dyDescent="0.25">
      <c r="A86" t="s">
        <v>53</v>
      </c>
      <c r="B86" t="s">
        <v>103</v>
      </c>
      <c r="C86" t="s">
        <v>70</v>
      </c>
      <c r="D86" s="8" t="s">
        <v>17</v>
      </c>
      <c r="E86">
        <v>25</v>
      </c>
      <c r="F86" t="s">
        <v>71</v>
      </c>
      <c r="G86" t="b">
        <v>1</v>
      </c>
      <c r="I86" s="19" t="str">
        <f t="shared" si="3"/>
        <v>HiGrad-HiElev</v>
      </c>
      <c r="J86" s="19" t="str">
        <f t="shared" si="4"/>
        <v>HiGrad-HiElev</v>
      </c>
    </row>
    <row r="87" spans="1:10" x14ac:dyDescent="0.25">
      <c r="A87" t="s">
        <v>53</v>
      </c>
      <c r="B87" t="s">
        <v>103</v>
      </c>
      <c r="C87" t="s">
        <v>72</v>
      </c>
      <c r="D87" s="8" t="s">
        <v>96</v>
      </c>
      <c r="E87">
        <v>0</v>
      </c>
      <c r="F87" t="s">
        <v>73</v>
      </c>
      <c r="G87" t="b">
        <v>1</v>
      </c>
      <c r="I87" s="19" t="str">
        <f t="shared" si="3"/>
        <v>HiGrad-HiElev</v>
      </c>
      <c r="J87" s="19" t="str">
        <f t="shared" si="4"/>
        <v>HiGrad-HiElev</v>
      </c>
    </row>
    <row r="88" spans="1:10" x14ac:dyDescent="0.25">
      <c r="A88" t="s">
        <v>53</v>
      </c>
      <c r="B88" t="s">
        <v>103</v>
      </c>
      <c r="C88" t="s">
        <v>74</v>
      </c>
      <c r="D88" s="8" t="s">
        <v>96</v>
      </c>
      <c r="E88">
        <v>0</v>
      </c>
      <c r="F88" t="s">
        <v>75</v>
      </c>
      <c r="G88" t="b">
        <v>1</v>
      </c>
      <c r="I88" s="19" t="str">
        <f t="shared" si="3"/>
        <v>HiGrad-HiElev</v>
      </c>
      <c r="J88" s="19" t="str">
        <f t="shared" si="4"/>
        <v>HiGrad-HiElev</v>
      </c>
    </row>
    <row r="89" spans="1:10" x14ac:dyDescent="0.25">
      <c r="A89" t="s">
        <v>53</v>
      </c>
      <c r="B89" t="s">
        <v>103</v>
      </c>
      <c r="C89" t="s">
        <v>76</v>
      </c>
      <c r="D89" s="8" t="s">
        <v>96</v>
      </c>
      <c r="E89">
        <v>0</v>
      </c>
      <c r="F89" t="s">
        <v>77</v>
      </c>
      <c r="G89" t="b">
        <v>1</v>
      </c>
      <c r="I89" s="19" t="str">
        <f t="shared" si="3"/>
        <v>HiGrad-HiElev</v>
      </c>
      <c r="J89" s="19" t="str">
        <f t="shared" si="4"/>
        <v>HiGrad-HiElev</v>
      </c>
    </row>
    <row r="90" spans="1:10" x14ac:dyDescent="0.25">
      <c r="A90" t="s">
        <v>53</v>
      </c>
      <c r="B90" t="s">
        <v>103</v>
      </c>
      <c r="C90" t="s">
        <v>78</v>
      </c>
      <c r="D90" s="8" t="s">
        <v>96</v>
      </c>
      <c r="E90">
        <v>0</v>
      </c>
      <c r="F90" t="s">
        <v>79</v>
      </c>
      <c r="G90" t="b">
        <v>1</v>
      </c>
      <c r="I90" s="19" t="str">
        <f t="shared" si="3"/>
        <v>HiGrad-HiElev</v>
      </c>
      <c r="J90" s="19" t="str">
        <f t="shared" si="4"/>
        <v>HiGrad-HiElev</v>
      </c>
    </row>
    <row r="91" spans="1:10" x14ac:dyDescent="0.25">
      <c r="A91" t="s">
        <v>53</v>
      </c>
      <c r="B91" t="s">
        <v>103</v>
      </c>
      <c r="C91" t="s">
        <v>80</v>
      </c>
      <c r="D91" s="8" t="s">
        <v>17</v>
      </c>
      <c r="E91">
        <v>50</v>
      </c>
      <c r="F91" t="s">
        <v>81</v>
      </c>
      <c r="G91" t="b">
        <v>1</v>
      </c>
      <c r="I91" s="19" t="str">
        <f t="shared" si="3"/>
        <v>HiGrad-HiElev</v>
      </c>
      <c r="J91" s="19" t="str">
        <f t="shared" si="4"/>
        <v>HiGrad-HiElev</v>
      </c>
    </row>
    <row r="92" spans="1:10" x14ac:dyDescent="0.25">
      <c r="A92" t="s">
        <v>53</v>
      </c>
      <c r="B92" t="s">
        <v>103</v>
      </c>
      <c r="C92" t="s">
        <v>91</v>
      </c>
      <c r="D92" s="8" t="s">
        <v>17</v>
      </c>
      <c r="E92">
        <v>50</v>
      </c>
      <c r="F92" t="s">
        <v>82</v>
      </c>
      <c r="G92" t="b">
        <v>1</v>
      </c>
      <c r="I92" s="19" t="str">
        <f t="shared" si="3"/>
        <v>HiGrad-HiElev</v>
      </c>
      <c r="J92" s="19" t="str">
        <f t="shared" si="4"/>
        <v>HiGrad-HiElev</v>
      </c>
    </row>
    <row r="93" spans="1:10" x14ac:dyDescent="0.25">
      <c r="A93" t="s">
        <v>53</v>
      </c>
      <c r="B93" t="s">
        <v>103</v>
      </c>
      <c r="C93" t="s">
        <v>83</v>
      </c>
      <c r="D93" s="8" t="s">
        <v>17</v>
      </c>
      <c r="E93">
        <v>30</v>
      </c>
      <c r="F93" t="s">
        <v>84</v>
      </c>
      <c r="G93" t="b">
        <v>1</v>
      </c>
      <c r="I93" s="19" t="str">
        <f t="shared" si="3"/>
        <v>HiGrad-HiElev</v>
      </c>
      <c r="J93" s="19" t="str">
        <f t="shared" si="4"/>
        <v>HiGrad-HiElev</v>
      </c>
    </row>
    <row r="94" spans="1:10" x14ac:dyDescent="0.25">
      <c r="A94" t="s">
        <v>53</v>
      </c>
      <c r="B94" t="s">
        <v>103</v>
      </c>
      <c r="C94" t="s">
        <v>85</v>
      </c>
      <c r="D94" s="8" t="s">
        <v>17</v>
      </c>
      <c r="E94">
        <v>10</v>
      </c>
      <c r="F94" t="s">
        <v>86</v>
      </c>
      <c r="G94" t="b">
        <v>1</v>
      </c>
      <c r="I94" s="19" t="str">
        <f t="shared" si="3"/>
        <v>HiGrad-HiElev</v>
      </c>
      <c r="J94" s="19" t="str">
        <f t="shared" si="4"/>
        <v>HiGrad-HiElev</v>
      </c>
    </row>
    <row r="95" spans="1:10" x14ac:dyDescent="0.25">
      <c r="A95" t="s">
        <v>53</v>
      </c>
      <c r="B95" t="s">
        <v>103</v>
      </c>
      <c r="C95" t="s">
        <v>87</v>
      </c>
      <c r="D95" s="8" t="s">
        <v>17</v>
      </c>
      <c r="E95">
        <v>10</v>
      </c>
      <c r="F95" t="s">
        <v>88</v>
      </c>
      <c r="G95" t="b">
        <v>1</v>
      </c>
      <c r="I95" s="19" t="str">
        <f t="shared" si="3"/>
        <v>HiGrad-HiElev</v>
      </c>
      <c r="J95" s="19" t="str">
        <f t="shared" si="4"/>
        <v>HiGrad-HiElev</v>
      </c>
    </row>
    <row r="96" spans="1:10" x14ac:dyDescent="0.25">
      <c r="A96" t="s">
        <v>53</v>
      </c>
      <c r="B96" t="s">
        <v>103</v>
      </c>
      <c r="C96" t="s">
        <v>89</v>
      </c>
      <c r="D96" s="8" t="s">
        <v>15</v>
      </c>
      <c r="E96">
        <v>0</v>
      </c>
      <c r="F96" t="s">
        <v>49</v>
      </c>
      <c r="G96" t="b">
        <v>1</v>
      </c>
      <c r="I96" s="19" t="str">
        <f t="shared" si="3"/>
        <v>HiGrad-HiElev</v>
      </c>
      <c r="J96" s="19" t="str">
        <f t="shared" si="4"/>
        <v>HiGrad-HiElev</v>
      </c>
    </row>
    <row r="97" spans="1:10" x14ac:dyDescent="0.25">
      <c r="A97" t="s">
        <v>53</v>
      </c>
      <c r="B97" t="s">
        <v>103</v>
      </c>
      <c r="C97" t="s">
        <v>101</v>
      </c>
      <c r="D97" s="8" t="s">
        <v>15</v>
      </c>
      <c r="E97">
        <v>0</v>
      </c>
      <c r="F97" t="s">
        <v>102</v>
      </c>
      <c r="G97" t="b">
        <v>1</v>
      </c>
      <c r="I97" s="19" t="str">
        <f t="shared" si="3"/>
        <v>HiGrad-HiElev</v>
      </c>
      <c r="J97" s="19" t="str">
        <f t="shared" si="4"/>
        <v>HiGrad-HiElev</v>
      </c>
    </row>
    <row r="98" spans="1:10" x14ac:dyDescent="0.25">
      <c r="A98" t="s">
        <v>53</v>
      </c>
      <c r="B98" t="s">
        <v>103</v>
      </c>
      <c r="C98" t="s">
        <v>106</v>
      </c>
      <c r="D98" s="8" t="s">
        <v>17</v>
      </c>
      <c r="E98">
        <v>10</v>
      </c>
      <c r="F98" t="s">
        <v>107</v>
      </c>
      <c r="G98" t="b">
        <v>1</v>
      </c>
      <c r="I98" s="19" t="str">
        <f t="shared" si="3"/>
        <v>HiGrad-HiElev</v>
      </c>
      <c r="J98" s="19" t="str">
        <f t="shared" si="4"/>
        <v>HiGrad-HiElev</v>
      </c>
    </row>
    <row r="99" spans="1:10" x14ac:dyDescent="0.25">
      <c r="A99" t="s">
        <v>53</v>
      </c>
      <c r="B99" t="s">
        <v>103</v>
      </c>
      <c r="C99" t="s">
        <v>113</v>
      </c>
      <c r="D99" s="8" t="s">
        <v>17</v>
      </c>
      <c r="E99">
        <v>10</v>
      </c>
      <c r="F99" t="s">
        <v>108</v>
      </c>
      <c r="G99" t="b">
        <v>1</v>
      </c>
      <c r="I99" s="19" t="str">
        <f t="shared" si="3"/>
        <v>HiGrad-HiElev</v>
      </c>
      <c r="J99" s="19" t="str">
        <f t="shared" si="4"/>
        <v>HiGrad-HiElev</v>
      </c>
    </row>
    <row r="100" spans="1:10" x14ac:dyDescent="0.25">
      <c r="A100" t="s">
        <v>53</v>
      </c>
      <c r="B100" t="s">
        <v>119</v>
      </c>
      <c r="C100" t="s">
        <v>150</v>
      </c>
      <c r="D100" s="8" t="s">
        <v>15</v>
      </c>
      <c r="E100">
        <v>0.7</v>
      </c>
      <c r="F100" t="s">
        <v>112</v>
      </c>
      <c r="G100" t="b">
        <v>0</v>
      </c>
      <c r="H100" t="s">
        <v>120</v>
      </c>
      <c r="I100" s="19" t="str">
        <f t="shared" si="3"/>
        <v>LoGrad-LoElev</v>
      </c>
      <c r="J100" s="19" t="str">
        <f t="shared" si="4"/>
        <v>LoGrad-LoElev</v>
      </c>
    </row>
    <row r="101" spans="1:10" x14ac:dyDescent="0.25">
      <c r="A101" t="s">
        <v>53</v>
      </c>
      <c r="B101" t="s">
        <v>119</v>
      </c>
      <c r="C101" t="s">
        <v>138</v>
      </c>
      <c r="D101" s="8" t="s">
        <v>16</v>
      </c>
      <c r="E101">
        <v>5</v>
      </c>
      <c r="F101" t="s">
        <v>139</v>
      </c>
      <c r="G101" t="b">
        <v>0</v>
      </c>
      <c r="H101" t="s">
        <v>118</v>
      </c>
      <c r="I101" s="19" t="str">
        <f t="shared" si="3"/>
        <v>LoGrad-LoElev</v>
      </c>
      <c r="J101" s="19" t="str">
        <f t="shared" si="4"/>
        <v>LoGrad-LoElev</v>
      </c>
    </row>
    <row r="102" spans="1:10" x14ac:dyDescent="0.25">
      <c r="A102" t="s">
        <v>53</v>
      </c>
      <c r="B102" t="s">
        <v>119</v>
      </c>
      <c r="C102" t="s">
        <v>138</v>
      </c>
      <c r="D102" s="8" t="s">
        <v>15</v>
      </c>
      <c r="E102">
        <v>260</v>
      </c>
      <c r="F102" t="s">
        <v>140</v>
      </c>
      <c r="G102" t="b">
        <v>0</v>
      </c>
      <c r="H102" t="s">
        <v>118</v>
      </c>
      <c r="I102" s="19" t="str">
        <f t="shared" si="3"/>
        <v>LoGrad-LoElev</v>
      </c>
      <c r="J102" s="19" t="str">
        <f t="shared" si="4"/>
        <v>LoGrad-LoElev</v>
      </c>
    </row>
    <row r="103" spans="1:10" x14ac:dyDescent="0.25">
      <c r="A103" t="s">
        <v>53</v>
      </c>
      <c r="B103" t="s">
        <v>119</v>
      </c>
      <c r="C103" t="s">
        <v>104</v>
      </c>
      <c r="D103" s="8" t="s">
        <v>16</v>
      </c>
      <c r="E103">
        <v>1000</v>
      </c>
      <c r="F103" t="s">
        <v>105</v>
      </c>
      <c r="G103" t="b">
        <v>0</v>
      </c>
      <c r="H103" t="s">
        <v>118</v>
      </c>
      <c r="I103" s="19" t="str">
        <f t="shared" si="3"/>
        <v>LoGrad-LoElev</v>
      </c>
      <c r="J103" s="19" t="str">
        <f t="shared" si="4"/>
        <v>LoGrad-LoElev</v>
      </c>
    </row>
    <row r="104" spans="1:10" x14ac:dyDescent="0.25">
      <c r="A104" t="s">
        <v>53</v>
      </c>
      <c r="B104" t="s">
        <v>119</v>
      </c>
      <c r="C104" t="s">
        <v>56</v>
      </c>
      <c r="D104" s="8" t="s">
        <v>16</v>
      </c>
      <c r="E104">
        <v>6</v>
      </c>
      <c r="F104" t="s">
        <v>57</v>
      </c>
      <c r="G104" t="b">
        <v>0</v>
      </c>
      <c r="H104" t="s">
        <v>118</v>
      </c>
      <c r="I104" s="19" t="str">
        <f t="shared" si="3"/>
        <v>LoGrad-LoElev</v>
      </c>
      <c r="J104" s="19" t="str">
        <f t="shared" si="4"/>
        <v>LoGrad-LoElev</v>
      </c>
    </row>
    <row r="105" spans="1:10" x14ac:dyDescent="0.25">
      <c r="A105" t="s">
        <v>53</v>
      </c>
      <c r="B105" t="s">
        <v>119</v>
      </c>
      <c r="C105" t="s">
        <v>56</v>
      </c>
      <c r="D105" s="8" t="s">
        <v>15</v>
      </c>
      <c r="E105">
        <v>10</v>
      </c>
      <c r="F105" t="s">
        <v>58</v>
      </c>
      <c r="G105" t="b">
        <v>0</v>
      </c>
      <c r="H105" t="s">
        <v>118</v>
      </c>
      <c r="I105" s="19" t="str">
        <f t="shared" si="3"/>
        <v>LoGrad-LoElev</v>
      </c>
      <c r="J105" s="19" t="str">
        <f t="shared" si="4"/>
        <v>LoGrad-LoElev</v>
      </c>
    </row>
    <row r="106" spans="1:10" x14ac:dyDescent="0.25">
      <c r="A106" t="s">
        <v>53</v>
      </c>
      <c r="B106" t="s">
        <v>119</v>
      </c>
      <c r="C106" t="s">
        <v>59</v>
      </c>
      <c r="D106" s="8" t="s">
        <v>16</v>
      </c>
      <c r="E106">
        <v>8</v>
      </c>
      <c r="F106" t="s">
        <v>60</v>
      </c>
      <c r="G106" t="b">
        <v>0</v>
      </c>
      <c r="H106" t="s">
        <v>118</v>
      </c>
      <c r="I106" s="19" t="str">
        <f t="shared" si="3"/>
        <v>LoGrad-LoElev</v>
      </c>
      <c r="J106" s="19" t="str">
        <f t="shared" si="4"/>
        <v>LoGrad-LoElev</v>
      </c>
    </row>
    <row r="107" spans="1:10" x14ac:dyDescent="0.25">
      <c r="A107" t="s">
        <v>53</v>
      </c>
      <c r="B107" t="s">
        <v>119</v>
      </c>
      <c r="C107" t="s">
        <v>14</v>
      </c>
      <c r="D107" s="8" t="s">
        <v>15</v>
      </c>
      <c r="E107">
        <v>600</v>
      </c>
      <c r="F107" t="s">
        <v>61</v>
      </c>
      <c r="G107" t="b">
        <v>1</v>
      </c>
      <c r="H107" t="s">
        <v>118</v>
      </c>
      <c r="I107" s="19" t="str">
        <f t="shared" si="3"/>
        <v>LoGrad-LoElev</v>
      </c>
      <c r="J107" s="19" t="str">
        <f t="shared" si="4"/>
        <v>LoGrad-LoElev</v>
      </c>
    </row>
    <row r="108" spans="1:10" x14ac:dyDescent="0.25">
      <c r="A108" t="s">
        <v>53</v>
      </c>
      <c r="B108" t="s">
        <v>119</v>
      </c>
      <c r="C108" t="s">
        <v>14</v>
      </c>
      <c r="D108" s="8" t="s">
        <v>16</v>
      </c>
      <c r="E108">
        <v>450</v>
      </c>
      <c r="F108" t="s">
        <v>38</v>
      </c>
      <c r="G108" t="b">
        <v>1</v>
      </c>
      <c r="H108" t="s">
        <v>118</v>
      </c>
      <c r="I108" s="19" t="str">
        <f t="shared" si="3"/>
        <v>LoGrad-LoElev</v>
      </c>
      <c r="J108" s="19" t="str">
        <f t="shared" si="4"/>
        <v>LoGrad-LoElev</v>
      </c>
    </row>
    <row r="109" spans="1:10" x14ac:dyDescent="0.25">
      <c r="A109" t="s">
        <v>53</v>
      </c>
      <c r="B109" t="s">
        <v>119</v>
      </c>
      <c r="C109" t="s">
        <v>62</v>
      </c>
      <c r="D109" s="8" t="s">
        <v>17</v>
      </c>
      <c r="E109">
        <v>75</v>
      </c>
      <c r="F109" t="s">
        <v>63</v>
      </c>
      <c r="G109" t="b">
        <v>0</v>
      </c>
      <c r="H109" t="s">
        <v>118</v>
      </c>
      <c r="I109" s="19" t="str">
        <f t="shared" si="3"/>
        <v>LoGrad-LoElev</v>
      </c>
      <c r="J109" s="19" t="str">
        <f t="shared" si="4"/>
        <v>LoGrad-LoElev</v>
      </c>
    </row>
    <row r="110" spans="1:10" x14ac:dyDescent="0.25">
      <c r="A110" t="s">
        <v>53</v>
      </c>
      <c r="B110" t="s">
        <v>119</v>
      </c>
      <c r="C110" t="s">
        <v>48</v>
      </c>
      <c r="D110" s="8" t="s">
        <v>16</v>
      </c>
      <c r="E110">
        <v>1000</v>
      </c>
      <c r="F110" t="s">
        <v>64</v>
      </c>
      <c r="G110" t="b">
        <v>0</v>
      </c>
      <c r="H110" t="s">
        <v>118</v>
      </c>
      <c r="I110" s="19" t="str">
        <f t="shared" si="3"/>
        <v>LoGrad-LoElev</v>
      </c>
      <c r="J110" s="19" t="str">
        <f t="shared" si="4"/>
        <v>LoGrad-LoElev</v>
      </c>
    </row>
    <row r="111" spans="1:10" x14ac:dyDescent="0.25">
      <c r="A111" t="s">
        <v>53</v>
      </c>
      <c r="B111" t="s">
        <v>119</v>
      </c>
      <c r="C111" t="s">
        <v>51</v>
      </c>
      <c r="D111" s="8" t="s">
        <v>17</v>
      </c>
      <c r="E111">
        <v>50</v>
      </c>
      <c r="F111" t="s">
        <v>65</v>
      </c>
      <c r="G111" t="b">
        <v>1</v>
      </c>
      <c r="H111" t="s">
        <v>118</v>
      </c>
      <c r="I111" s="19" t="str">
        <f t="shared" si="3"/>
        <v>LoGrad-LoElev</v>
      </c>
      <c r="J111" s="19" t="str">
        <f t="shared" si="4"/>
        <v>LoGrad-LoElev</v>
      </c>
    </row>
    <row r="112" spans="1:10" x14ac:dyDescent="0.25">
      <c r="A112" t="s">
        <v>53</v>
      </c>
      <c r="B112" t="s">
        <v>119</v>
      </c>
      <c r="C112" t="s">
        <v>66</v>
      </c>
      <c r="D112" s="8" t="s">
        <v>17</v>
      </c>
      <c r="E112">
        <v>35</v>
      </c>
      <c r="F112" t="s">
        <v>67</v>
      </c>
      <c r="G112" t="b">
        <v>1</v>
      </c>
      <c r="H112" t="s">
        <v>118</v>
      </c>
      <c r="I112" s="19" t="str">
        <f t="shared" si="3"/>
        <v>LoGrad-LoElev</v>
      </c>
      <c r="J112" s="19" t="str">
        <f t="shared" si="4"/>
        <v>LoGrad-LoElev</v>
      </c>
    </row>
    <row r="113" spans="1:10" x14ac:dyDescent="0.25">
      <c r="A113" t="s">
        <v>53</v>
      </c>
      <c r="B113" t="s">
        <v>119</v>
      </c>
      <c r="C113" t="s">
        <v>68</v>
      </c>
      <c r="D113" s="8" t="s">
        <v>17</v>
      </c>
      <c r="E113">
        <v>10</v>
      </c>
      <c r="F113" t="s">
        <v>69</v>
      </c>
      <c r="G113" t="b">
        <v>1</v>
      </c>
      <c r="H113" t="s">
        <v>118</v>
      </c>
      <c r="I113" s="19" t="str">
        <f t="shared" si="3"/>
        <v>LoGrad-LoElev</v>
      </c>
      <c r="J113" s="19" t="str">
        <f t="shared" si="4"/>
        <v>LoGrad-LoElev</v>
      </c>
    </row>
    <row r="114" spans="1:10" x14ac:dyDescent="0.25">
      <c r="A114" t="s">
        <v>53</v>
      </c>
      <c r="B114" t="s">
        <v>119</v>
      </c>
      <c r="C114" t="s">
        <v>70</v>
      </c>
      <c r="D114" s="8" t="s">
        <v>17</v>
      </c>
      <c r="E114">
        <v>25</v>
      </c>
      <c r="F114" t="s">
        <v>71</v>
      </c>
      <c r="G114" t="b">
        <v>1</v>
      </c>
      <c r="H114" t="s">
        <v>118</v>
      </c>
      <c r="I114" s="19" t="str">
        <f t="shared" si="3"/>
        <v>LoGrad-LoElev</v>
      </c>
      <c r="J114" s="19" t="str">
        <f t="shared" si="4"/>
        <v>LoGrad-LoElev</v>
      </c>
    </row>
    <row r="115" spans="1:10" x14ac:dyDescent="0.25">
      <c r="A115" t="s">
        <v>53</v>
      </c>
      <c r="B115" t="s">
        <v>119</v>
      </c>
      <c r="C115" t="s">
        <v>72</v>
      </c>
      <c r="D115" s="8" t="s">
        <v>96</v>
      </c>
      <c r="E115">
        <v>0</v>
      </c>
      <c r="F115" t="s">
        <v>73</v>
      </c>
      <c r="G115" t="b">
        <v>1</v>
      </c>
      <c r="H115" t="s">
        <v>118</v>
      </c>
      <c r="I115" s="19" t="str">
        <f t="shared" si="3"/>
        <v>LoGrad-LoElev</v>
      </c>
      <c r="J115" s="19" t="str">
        <f t="shared" si="4"/>
        <v>LoGrad-LoElev</v>
      </c>
    </row>
    <row r="116" spans="1:10" x14ac:dyDescent="0.25">
      <c r="A116" t="s">
        <v>53</v>
      </c>
      <c r="B116" t="s">
        <v>119</v>
      </c>
      <c r="C116" t="s">
        <v>74</v>
      </c>
      <c r="D116" s="8" t="s">
        <v>96</v>
      </c>
      <c r="E116">
        <v>0</v>
      </c>
      <c r="F116" t="s">
        <v>75</v>
      </c>
      <c r="G116" t="b">
        <v>1</v>
      </c>
      <c r="H116" t="s">
        <v>118</v>
      </c>
      <c r="I116" s="19" t="str">
        <f t="shared" si="3"/>
        <v>LoGrad-LoElev</v>
      </c>
      <c r="J116" s="19" t="str">
        <f t="shared" si="4"/>
        <v>LoGrad-LoElev</v>
      </c>
    </row>
    <row r="117" spans="1:10" x14ac:dyDescent="0.25">
      <c r="A117" t="s">
        <v>53</v>
      </c>
      <c r="B117" t="s">
        <v>119</v>
      </c>
      <c r="C117" t="s">
        <v>76</v>
      </c>
      <c r="D117" s="8" t="s">
        <v>96</v>
      </c>
      <c r="E117">
        <v>0</v>
      </c>
      <c r="F117" t="s">
        <v>77</v>
      </c>
      <c r="G117" t="b">
        <v>1</v>
      </c>
      <c r="H117" t="s">
        <v>118</v>
      </c>
      <c r="I117" s="19" t="str">
        <f t="shared" si="3"/>
        <v>LoGrad-LoElev</v>
      </c>
      <c r="J117" s="19" t="str">
        <f t="shared" si="4"/>
        <v>LoGrad-LoElev</v>
      </c>
    </row>
    <row r="118" spans="1:10" x14ac:dyDescent="0.25">
      <c r="A118" t="s">
        <v>53</v>
      </c>
      <c r="B118" t="s">
        <v>119</v>
      </c>
      <c r="C118" t="s">
        <v>78</v>
      </c>
      <c r="D118" s="8" t="s">
        <v>96</v>
      </c>
      <c r="E118">
        <v>0</v>
      </c>
      <c r="F118" t="s">
        <v>79</v>
      </c>
      <c r="G118" t="b">
        <v>1</v>
      </c>
      <c r="H118" t="s">
        <v>118</v>
      </c>
      <c r="I118" s="19" t="str">
        <f t="shared" si="3"/>
        <v>LoGrad-LoElev</v>
      </c>
      <c r="J118" s="19" t="str">
        <f t="shared" si="4"/>
        <v>LoGrad-LoElev</v>
      </c>
    </row>
    <row r="119" spans="1:10" x14ac:dyDescent="0.25">
      <c r="A119" t="s">
        <v>53</v>
      </c>
      <c r="B119" t="s">
        <v>119</v>
      </c>
      <c r="C119" t="s">
        <v>80</v>
      </c>
      <c r="D119" s="8" t="s">
        <v>17</v>
      </c>
      <c r="E119">
        <v>50</v>
      </c>
      <c r="F119" t="s">
        <v>81</v>
      </c>
      <c r="G119" t="b">
        <v>1</v>
      </c>
      <c r="H119" t="s">
        <v>118</v>
      </c>
      <c r="I119" s="19" t="str">
        <f t="shared" si="3"/>
        <v>LoGrad-LoElev</v>
      </c>
      <c r="J119" s="19" t="str">
        <f t="shared" si="4"/>
        <v>LoGrad-LoElev</v>
      </c>
    </row>
    <row r="120" spans="1:10" x14ac:dyDescent="0.25">
      <c r="A120" t="s">
        <v>53</v>
      </c>
      <c r="B120" t="s">
        <v>119</v>
      </c>
      <c r="C120" t="s">
        <v>91</v>
      </c>
      <c r="D120" s="8" t="s">
        <v>17</v>
      </c>
      <c r="E120">
        <v>50</v>
      </c>
      <c r="F120" t="s">
        <v>82</v>
      </c>
      <c r="G120" t="b">
        <v>1</v>
      </c>
      <c r="H120" t="s">
        <v>118</v>
      </c>
      <c r="I120" s="19" t="str">
        <f t="shared" si="3"/>
        <v>LoGrad-LoElev</v>
      </c>
      <c r="J120" s="19" t="str">
        <f t="shared" si="4"/>
        <v>LoGrad-LoElev</v>
      </c>
    </row>
    <row r="121" spans="1:10" x14ac:dyDescent="0.25">
      <c r="A121" t="s">
        <v>53</v>
      </c>
      <c r="B121" t="s">
        <v>119</v>
      </c>
      <c r="C121" t="s">
        <v>83</v>
      </c>
      <c r="D121" s="8" t="s">
        <v>17</v>
      </c>
      <c r="E121">
        <v>30</v>
      </c>
      <c r="F121" t="s">
        <v>84</v>
      </c>
      <c r="G121" t="b">
        <v>1</v>
      </c>
      <c r="H121" t="s">
        <v>118</v>
      </c>
      <c r="I121" s="19" t="str">
        <f t="shared" si="3"/>
        <v>LoGrad-LoElev</v>
      </c>
      <c r="J121" s="19" t="str">
        <f t="shared" si="4"/>
        <v>LoGrad-LoElev</v>
      </c>
    </row>
    <row r="122" spans="1:10" x14ac:dyDescent="0.25">
      <c r="A122" t="s">
        <v>53</v>
      </c>
      <c r="B122" t="s">
        <v>119</v>
      </c>
      <c r="C122" t="s">
        <v>85</v>
      </c>
      <c r="D122" s="8" t="s">
        <v>17</v>
      </c>
      <c r="E122">
        <v>10</v>
      </c>
      <c r="F122" t="s">
        <v>86</v>
      </c>
      <c r="G122" t="b">
        <v>1</v>
      </c>
      <c r="H122" t="s">
        <v>118</v>
      </c>
      <c r="I122" s="19" t="str">
        <f t="shared" si="3"/>
        <v>LoGrad-LoElev</v>
      </c>
      <c r="J122" s="19" t="str">
        <f t="shared" si="4"/>
        <v>LoGrad-LoElev</v>
      </c>
    </row>
    <row r="123" spans="1:10" x14ac:dyDescent="0.25">
      <c r="A123" t="s">
        <v>53</v>
      </c>
      <c r="B123" t="s">
        <v>119</v>
      </c>
      <c r="C123" t="s">
        <v>87</v>
      </c>
      <c r="D123" s="8" t="s">
        <v>17</v>
      </c>
      <c r="E123">
        <v>10</v>
      </c>
      <c r="F123" t="s">
        <v>88</v>
      </c>
      <c r="G123" t="b">
        <v>1</v>
      </c>
      <c r="H123" t="s">
        <v>118</v>
      </c>
      <c r="I123" s="19" t="str">
        <f t="shared" si="3"/>
        <v>LoGrad-LoElev</v>
      </c>
      <c r="J123" s="19" t="str">
        <f t="shared" si="4"/>
        <v>LoGrad-LoElev</v>
      </c>
    </row>
    <row r="124" spans="1:10" x14ac:dyDescent="0.25">
      <c r="A124" t="s">
        <v>53</v>
      </c>
      <c r="B124" t="s">
        <v>119</v>
      </c>
      <c r="C124" t="s">
        <v>89</v>
      </c>
      <c r="D124" s="8" t="s">
        <v>15</v>
      </c>
      <c r="E124">
        <v>0</v>
      </c>
      <c r="F124" t="s">
        <v>49</v>
      </c>
      <c r="G124" t="b">
        <v>1</v>
      </c>
      <c r="H124" t="s">
        <v>118</v>
      </c>
      <c r="I124" s="19" t="str">
        <f t="shared" si="3"/>
        <v>LoGrad-LoElev</v>
      </c>
      <c r="J124" s="19" t="str">
        <f t="shared" si="4"/>
        <v>LoGrad-LoElev</v>
      </c>
    </row>
    <row r="125" spans="1:10" x14ac:dyDescent="0.25">
      <c r="A125" t="s">
        <v>53</v>
      </c>
      <c r="B125" t="s">
        <v>119</v>
      </c>
      <c r="C125" t="s">
        <v>101</v>
      </c>
      <c r="D125" s="8" t="s">
        <v>15</v>
      </c>
      <c r="E125">
        <v>0</v>
      </c>
      <c r="F125" t="s">
        <v>102</v>
      </c>
      <c r="G125" t="b">
        <v>1</v>
      </c>
      <c r="H125" t="s">
        <v>118</v>
      </c>
      <c r="I125" s="19" t="str">
        <f t="shared" si="3"/>
        <v>LoGrad-LoElev</v>
      </c>
      <c r="J125" s="19" t="str">
        <f t="shared" si="4"/>
        <v>LoGrad-LoElev</v>
      </c>
    </row>
    <row r="126" spans="1:10" x14ac:dyDescent="0.25">
      <c r="A126" t="s">
        <v>53</v>
      </c>
      <c r="B126" t="s">
        <v>119</v>
      </c>
      <c r="C126" t="s">
        <v>106</v>
      </c>
      <c r="D126" s="8" t="s">
        <v>17</v>
      </c>
      <c r="E126">
        <v>10</v>
      </c>
      <c r="F126" t="s">
        <v>107</v>
      </c>
      <c r="G126" t="b">
        <v>1</v>
      </c>
      <c r="H126" t="s">
        <v>118</v>
      </c>
      <c r="I126" s="19" t="str">
        <f t="shared" si="3"/>
        <v>LoGrad-LoElev</v>
      </c>
      <c r="J126" s="19" t="str">
        <f t="shared" si="4"/>
        <v>LoGrad-LoElev</v>
      </c>
    </row>
    <row r="127" spans="1:10" x14ac:dyDescent="0.25">
      <c r="A127" t="s">
        <v>53</v>
      </c>
      <c r="B127" t="s">
        <v>119</v>
      </c>
      <c r="C127" t="s">
        <v>113</v>
      </c>
      <c r="D127" s="8" t="s">
        <v>17</v>
      </c>
      <c r="E127">
        <v>10</v>
      </c>
      <c r="F127" t="s">
        <v>108</v>
      </c>
      <c r="G127" t="b">
        <v>1</v>
      </c>
      <c r="H127" t="s">
        <v>118</v>
      </c>
      <c r="I127" s="19" t="str">
        <f t="shared" si="3"/>
        <v>LoGrad-LoElev</v>
      </c>
      <c r="J127" s="19" t="str">
        <f t="shared" si="4"/>
        <v>LoGrad-LoElev</v>
      </c>
    </row>
    <row r="128" spans="1:10" x14ac:dyDescent="0.25">
      <c r="A128" t="s">
        <v>123</v>
      </c>
      <c r="B128" s="8" t="s">
        <v>124</v>
      </c>
      <c r="C128" t="s">
        <v>14</v>
      </c>
      <c r="D128" s="8" t="s">
        <v>16</v>
      </c>
      <c r="E128" s="21">
        <v>450</v>
      </c>
      <c r="F128" t="s">
        <v>38</v>
      </c>
      <c r="G128" t="b">
        <v>1</v>
      </c>
      <c r="I128" s="19" t="str">
        <f t="shared" si="3"/>
        <v>ORWA</v>
      </c>
      <c r="J128" s="19" t="str">
        <f t="shared" si="4"/>
        <v>ORWA</v>
      </c>
    </row>
    <row r="129" spans="1:10" x14ac:dyDescent="0.25">
      <c r="A129" t="s">
        <v>123</v>
      </c>
      <c r="B129" s="8" t="s">
        <v>124</v>
      </c>
      <c r="C129" t="s">
        <v>134</v>
      </c>
      <c r="D129" s="8" t="s">
        <v>17</v>
      </c>
      <c r="E129">
        <v>10</v>
      </c>
      <c r="F129" t="s">
        <v>143</v>
      </c>
      <c r="G129" t="b">
        <v>1</v>
      </c>
      <c r="H129" s="22">
        <v>45082</v>
      </c>
      <c r="I129" s="19" t="str">
        <f t="shared" si="3"/>
        <v>ORWA</v>
      </c>
      <c r="J129" s="19" t="str">
        <f t="shared" si="4"/>
        <v>ORWA</v>
      </c>
    </row>
    <row r="130" spans="1:10" x14ac:dyDescent="0.25">
      <c r="A130" t="s">
        <v>123</v>
      </c>
      <c r="B130" s="8" t="s">
        <v>124</v>
      </c>
      <c r="C130" t="s">
        <v>135</v>
      </c>
      <c r="D130" s="8" t="s">
        <v>17</v>
      </c>
      <c r="E130">
        <v>25</v>
      </c>
      <c r="F130" t="s">
        <v>144</v>
      </c>
      <c r="G130" t="b">
        <v>1</v>
      </c>
      <c r="H130" s="22">
        <v>45082</v>
      </c>
      <c r="I130" s="19" t="str">
        <f t="shared" si="3"/>
        <v>ORWA</v>
      </c>
      <c r="J130" s="19" t="str">
        <f t="shared" si="4"/>
        <v>ORWA</v>
      </c>
    </row>
    <row r="131" spans="1:10" x14ac:dyDescent="0.25">
      <c r="A131" t="s">
        <v>123</v>
      </c>
      <c r="B131" s="8" t="s">
        <v>124</v>
      </c>
      <c r="C131" t="s">
        <v>136</v>
      </c>
      <c r="D131" s="8" t="s">
        <v>17</v>
      </c>
      <c r="E131">
        <v>15</v>
      </c>
      <c r="F131" t="s">
        <v>145</v>
      </c>
      <c r="G131" t="b">
        <v>1</v>
      </c>
      <c r="H131" s="22">
        <v>45082</v>
      </c>
      <c r="I131" s="19" t="str">
        <f t="shared" ref="I131:I135" si="5">B131</f>
        <v>ORWA</v>
      </c>
      <c r="J131" s="19" t="str">
        <f t="shared" ref="J131:J135" si="6">B131</f>
        <v>ORWA</v>
      </c>
    </row>
    <row r="132" spans="1:10" x14ac:dyDescent="0.25">
      <c r="A132" t="s">
        <v>123</v>
      </c>
      <c r="B132" s="8" t="s">
        <v>124</v>
      </c>
      <c r="C132" t="s">
        <v>137</v>
      </c>
      <c r="D132" s="8" t="s">
        <v>17</v>
      </c>
      <c r="E132">
        <v>30</v>
      </c>
      <c r="F132" t="s">
        <v>146</v>
      </c>
      <c r="G132" t="b">
        <v>1</v>
      </c>
      <c r="H132" s="22">
        <v>45082</v>
      </c>
      <c r="I132" s="19" t="str">
        <f t="shared" si="5"/>
        <v>ORWA</v>
      </c>
      <c r="J132" s="19" t="str">
        <f t="shared" si="6"/>
        <v>ORWA</v>
      </c>
    </row>
    <row r="133" spans="1:10" x14ac:dyDescent="0.25">
      <c r="A133" t="s">
        <v>53</v>
      </c>
      <c r="B133" t="s">
        <v>103</v>
      </c>
      <c r="C133" s="23" t="s">
        <v>151</v>
      </c>
      <c r="D133" s="8" t="s">
        <v>16</v>
      </c>
      <c r="E133">
        <v>650</v>
      </c>
      <c r="F133" t="s">
        <v>152</v>
      </c>
      <c r="G133" t="b">
        <v>0</v>
      </c>
      <c r="H133" s="22">
        <v>45083</v>
      </c>
      <c r="I133" s="19" t="str">
        <f t="shared" si="5"/>
        <v>HiGrad-HiElev</v>
      </c>
      <c r="J133" s="19" t="str">
        <f t="shared" si="6"/>
        <v>HiGrad-HiElev</v>
      </c>
    </row>
    <row r="134" spans="1:10" x14ac:dyDescent="0.25">
      <c r="A134" t="s">
        <v>53</v>
      </c>
      <c r="B134" t="s">
        <v>54</v>
      </c>
      <c r="C134" s="23" t="s">
        <v>151</v>
      </c>
      <c r="D134" s="8" t="s">
        <v>16</v>
      </c>
      <c r="E134">
        <v>650</v>
      </c>
      <c r="F134" t="s">
        <v>152</v>
      </c>
      <c r="G134" t="b">
        <v>0</v>
      </c>
      <c r="H134" s="22">
        <v>45083</v>
      </c>
      <c r="I134" s="19" t="str">
        <f t="shared" si="5"/>
        <v>HiGrad-LoElev</v>
      </c>
      <c r="J134" s="19" t="str">
        <f t="shared" si="6"/>
        <v>HiGrad-LoElev</v>
      </c>
    </row>
    <row r="135" spans="1:10" x14ac:dyDescent="0.25">
      <c r="A135" t="s">
        <v>53</v>
      </c>
      <c r="B135" t="s">
        <v>119</v>
      </c>
      <c r="C135" s="23" t="s">
        <v>151</v>
      </c>
      <c r="D135" s="8" t="s">
        <v>16</v>
      </c>
      <c r="E135">
        <v>650</v>
      </c>
      <c r="F135" t="s">
        <v>152</v>
      </c>
      <c r="G135" t="b">
        <v>0</v>
      </c>
      <c r="H135" s="22">
        <v>45083</v>
      </c>
      <c r="I135" s="19" t="str">
        <f t="shared" si="5"/>
        <v>LoGrad-LoElev</v>
      </c>
      <c r="J135" s="19" t="str">
        <f t="shared" si="6"/>
        <v>LoGrad-LoElev</v>
      </c>
    </row>
    <row r="136" spans="1:10" x14ac:dyDescent="0.25">
      <c r="A136" t="s">
        <v>154</v>
      </c>
      <c r="B136" t="s">
        <v>155</v>
      </c>
      <c r="C136" s="24" t="s">
        <v>157</v>
      </c>
      <c r="D136" s="8" t="s">
        <v>17</v>
      </c>
      <c r="E136">
        <v>15</v>
      </c>
      <c r="F136" t="s">
        <v>158</v>
      </c>
      <c r="G136" t="b">
        <v>1</v>
      </c>
      <c r="H136" s="22" t="s">
        <v>159</v>
      </c>
      <c r="I136" s="19" t="str">
        <f t="shared" ref="I136:I137" si="7">B136</f>
        <v>CREMP_Keys</v>
      </c>
      <c r="J136" s="19" t="str">
        <f t="shared" ref="J136:J137" si="8">B136</f>
        <v>CREMP_Keys</v>
      </c>
    </row>
    <row r="137" spans="1:10" x14ac:dyDescent="0.25">
      <c r="A137" t="s">
        <v>154</v>
      </c>
      <c r="B137" t="s">
        <v>156</v>
      </c>
      <c r="C137" s="24" t="s">
        <v>157</v>
      </c>
      <c r="D137" s="8" t="s">
        <v>17</v>
      </c>
      <c r="E137">
        <v>15</v>
      </c>
      <c r="F137" t="s">
        <v>158</v>
      </c>
      <c r="G137" t="b">
        <v>1</v>
      </c>
      <c r="H137" s="22" t="s">
        <v>159</v>
      </c>
      <c r="I137" s="19" t="str">
        <f t="shared" si="7"/>
        <v>NOT_CREMP_Keys</v>
      </c>
      <c r="J137" s="19" t="str">
        <f t="shared" si="8"/>
        <v>NOT_CREMP_Keys</v>
      </c>
    </row>
    <row r="138" spans="1:10" x14ac:dyDescent="0.25">
      <c r="A138" t="s">
        <v>162</v>
      </c>
      <c r="B138" t="s">
        <v>163</v>
      </c>
      <c r="C138" t="s">
        <v>14</v>
      </c>
      <c r="D138" t="s">
        <v>16</v>
      </c>
      <c r="E138">
        <v>150</v>
      </c>
      <c r="F138" t="s">
        <v>38</v>
      </c>
      <c r="G138" t="b">
        <v>1</v>
      </c>
      <c r="I138" t="s">
        <v>162</v>
      </c>
      <c r="J138" t="s">
        <v>162</v>
      </c>
    </row>
    <row r="139" spans="1:10" x14ac:dyDescent="0.25">
      <c r="A139" t="s">
        <v>162</v>
      </c>
      <c r="B139" t="s">
        <v>164</v>
      </c>
      <c r="C139" t="s">
        <v>14</v>
      </c>
      <c r="D139" t="s">
        <v>16</v>
      </c>
      <c r="E139">
        <v>150</v>
      </c>
      <c r="F139" t="s">
        <v>38</v>
      </c>
      <c r="G139" t="b">
        <v>1</v>
      </c>
      <c r="I139" t="s">
        <v>162</v>
      </c>
      <c r="J139" t="s">
        <v>162</v>
      </c>
    </row>
    <row r="140" spans="1:10" x14ac:dyDescent="0.25">
      <c r="A140" t="s">
        <v>162</v>
      </c>
      <c r="B140" t="s">
        <v>165</v>
      </c>
      <c r="C140" t="s">
        <v>14</v>
      </c>
      <c r="D140" t="s">
        <v>16</v>
      </c>
      <c r="E140">
        <v>150</v>
      </c>
      <c r="F140" t="s">
        <v>38</v>
      </c>
      <c r="G140" t="b">
        <v>1</v>
      </c>
      <c r="I140" t="s">
        <v>162</v>
      </c>
      <c r="J140" t="s">
        <v>162</v>
      </c>
    </row>
    <row r="141" spans="1:10" x14ac:dyDescent="0.25">
      <c r="A141" t="s">
        <v>162</v>
      </c>
      <c r="B141" t="s">
        <v>166</v>
      </c>
      <c r="C141" t="s">
        <v>14</v>
      </c>
      <c r="D141" t="s">
        <v>16</v>
      </c>
      <c r="E141">
        <v>150</v>
      </c>
      <c r="F141" t="s">
        <v>38</v>
      </c>
      <c r="G141" t="b">
        <v>1</v>
      </c>
      <c r="I141" t="s">
        <v>162</v>
      </c>
      <c r="J141" t="s">
        <v>162</v>
      </c>
    </row>
    <row r="142" spans="1:10" x14ac:dyDescent="0.25">
      <c r="A142" t="s">
        <v>162</v>
      </c>
      <c r="B142" t="s">
        <v>163</v>
      </c>
      <c r="C142" t="s">
        <v>167</v>
      </c>
      <c r="D142" t="s">
        <v>16</v>
      </c>
      <c r="E142">
        <v>30</v>
      </c>
      <c r="F142" t="s">
        <v>41</v>
      </c>
      <c r="G142" t="b">
        <v>0</v>
      </c>
      <c r="I142" t="s">
        <v>162</v>
      </c>
      <c r="J142" t="s">
        <v>162</v>
      </c>
    </row>
    <row r="143" spans="1:10" x14ac:dyDescent="0.25">
      <c r="A143" t="s">
        <v>162</v>
      </c>
      <c r="B143" t="s">
        <v>165</v>
      </c>
      <c r="C143" t="s">
        <v>167</v>
      </c>
      <c r="D143" t="s">
        <v>16</v>
      </c>
      <c r="E143">
        <v>30</v>
      </c>
      <c r="F143" t="s">
        <v>41</v>
      </c>
      <c r="G143" t="b">
        <v>0</v>
      </c>
      <c r="I143" t="s">
        <v>162</v>
      </c>
      <c r="J143" t="s">
        <v>162</v>
      </c>
    </row>
    <row r="144" spans="1:10" x14ac:dyDescent="0.25">
      <c r="A144" t="s">
        <v>162</v>
      </c>
      <c r="B144" t="s">
        <v>163</v>
      </c>
      <c r="C144" t="s">
        <v>168</v>
      </c>
      <c r="D144" t="s">
        <v>16</v>
      </c>
      <c r="E144">
        <v>11.6</v>
      </c>
      <c r="F144" t="s">
        <v>41</v>
      </c>
      <c r="G144" t="b">
        <v>0</v>
      </c>
      <c r="I144" t="s">
        <v>162</v>
      </c>
      <c r="J144" t="s">
        <v>162</v>
      </c>
    </row>
    <row r="145" spans="1:10" x14ac:dyDescent="0.25">
      <c r="A145" t="s">
        <v>162</v>
      </c>
      <c r="B145" t="s">
        <v>165</v>
      </c>
      <c r="C145" t="s">
        <v>168</v>
      </c>
      <c r="D145" t="s">
        <v>16</v>
      </c>
      <c r="E145">
        <v>11.6</v>
      </c>
      <c r="F145" t="s">
        <v>41</v>
      </c>
      <c r="G145" t="b">
        <v>0</v>
      </c>
      <c r="I145" t="s">
        <v>162</v>
      </c>
      <c r="J145" t="s">
        <v>162</v>
      </c>
    </row>
    <row r="146" spans="1:10" x14ac:dyDescent="0.25">
      <c r="A146" t="s">
        <v>162</v>
      </c>
      <c r="B146" t="s">
        <v>163</v>
      </c>
      <c r="C146" t="s">
        <v>169</v>
      </c>
      <c r="D146" t="s">
        <v>17</v>
      </c>
      <c r="E146">
        <v>70</v>
      </c>
      <c r="F146" t="s">
        <v>170</v>
      </c>
      <c r="G146" t="b">
        <v>1</v>
      </c>
      <c r="I146" t="s">
        <v>162</v>
      </c>
      <c r="J146" t="s">
        <v>162</v>
      </c>
    </row>
    <row r="147" spans="1:10" x14ac:dyDescent="0.25">
      <c r="A147" t="s">
        <v>162</v>
      </c>
      <c r="B147" t="s">
        <v>164</v>
      </c>
      <c r="C147" t="s">
        <v>169</v>
      </c>
      <c r="D147" t="s">
        <v>17</v>
      </c>
      <c r="E147">
        <v>70</v>
      </c>
      <c r="F147" t="s">
        <v>170</v>
      </c>
      <c r="G147" t="b">
        <v>1</v>
      </c>
      <c r="I147" t="s">
        <v>162</v>
      </c>
      <c r="J147" t="s">
        <v>162</v>
      </c>
    </row>
    <row r="148" spans="1:10" x14ac:dyDescent="0.25">
      <c r="A148" t="s">
        <v>162</v>
      </c>
      <c r="B148" t="s">
        <v>165</v>
      </c>
      <c r="C148" t="s">
        <v>169</v>
      </c>
      <c r="D148" t="s">
        <v>17</v>
      </c>
      <c r="E148">
        <v>70</v>
      </c>
      <c r="F148" t="s">
        <v>170</v>
      </c>
      <c r="G148" t="b">
        <v>1</v>
      </c>
      <c r="I148" t="s">
        <v>162</v>
      </c>
      <c r="J148" t="s">
        <v>162</v>
      </c>
    </row>
    <row r="149" spans="1:10" x14ac:dyDescent="0.25">
      <c r="A149" t="s">
        <v>162</v>
      </c>
      <c r="B149" t="s">
        <v>166</v>
      </c>
      <c r="C149" t="s">
        <v>169</v>
      </c>
      <c r="D149" t="s">
        <v>17</v>
      </c>
      <c r="E149">
        <v>70</v>
      </c>
      <c r="F149" t="s">
        <v>170</v>
      </c>
      <c r="G149" t="b">
        <v>1</v>
      </c>
      <c r="I149" t="s">
        <v>162</v>
      </c>
      <c r="J149" t="s">
        <v>162</v>
      </c>
    </row>
    <row r="150" spans="1:10" x14ac:dyDescent="0.25">
      <c r="A150" t="s">
        <v>162</v>
      </c>
      <c r="B150" t="s">
        <v>163</v>
      </c>
      <c r="C150" t="s">
        <v>171</v>
      </c>
      <c r="D150" t="s">
        <v>15</v>
      </c>
      <c r="E150">
        <v>0</v>
      </c>
      <c r="F150" t="s">
        <v>172</v>
      </c>
      <c r="G150" t="b">
        <v>1</v>
      </c>
      <c r="I150" t="s">
        <v>162</v>
      </c>
      <c r="J150" t="s">
        <v>162</v>
      </c>
    </row>
    <row r="151" spans="1:10" x14ac:dyDescent="0.25">
      <c r="A151" t="s">
        <v>162</v>
      </c>
      <c r="B151" t="s">
        <v>164</v>
      </c>
      <c r="C151" t="s">
        <v>171</v>
      </c>
      <c r="D151" t="s">
        <v>15</v>
      </c>
      <c r="E151">
        <v>0</v>
      </c>
      <c r="F151" t="s">
        <v>172</v>
      </c>
      <c r="G151" t="b">
        <v>1</v>
      </c>
      <c r="I151" t="s">
        <v>162</v>
      </c>
      <c r="J151" t="s">
        <v>162</v>
      </c>
    </row>
    <row r="152" spans="1:10" x14ac:dyDescent="0.25">
      <c r="A152" t="s">
        <v>162</v>
      </c>
      <c r="B152" t="s">
        <v>165</v>
      </c>
      <c r="C152" t="s">
        <v>171</v>
      </c>
      <c r="D152" t="s">
        <v>15</v>
      </c>
      <c r="E152">
        <v>0</v>
      </c>
      <c r="F152" t="s">
        <v>172</v>
      </c>
      <c r="G152" t="b">
        <v>1</v>
      </c>
      <c r="I152" t="s">
        <v>162</v>
      </c>
      <c r="J152" t="s">
        <v>162</v>
      </c>
    </row>
    <row r="153" spans="1:10" x14ac:dyDescent="0.25">
      <c r="A153" t="s">
        <v>162</v>
      </c>
      <c r="B153" t="s">
        <v>166</v>
      </c>
      <c r="C153" t="s">
        <v>171</v>
      </c>
      <c r="D153" t="s">
        <v>15</v>
      </c>
      <c r="E153">
        <v>0</v>
      </c>
      <c r="F153" t="s">
        <v>172</v>
      </c>
      <c r="G153" t="b">
        <v>1</v>
      </c>
      <c r="I153" t="s">
        <v>162</v>
      </c>
      <c r="J153" t="s">
        <v>162</v>
      </c>
    </row>
    <row r="154" spans="1:10" x14ac:dyDescent="0.25">
      <c r="A154" t="s">
        <v>162</v>
      </c>
      <c r="B154" t="s">
        <v>163</v>
      </c>
      <c r="C154" t="s">
        <v>173</v>
      </c>
      <c r="D154" t="s">
        <v>15</v>
      </c>
      <c r="E154">
        <v>0</v>
      </c>
      <c r="F154" t="s">
        <v>174</v>
      </c>
      <c r="G154" t="b">
        <v>1</v>
      </c>
      <c r="I154" t="s">
        <v>162</v>
      </c>
      <c r="J154" t="s">
        <v>162</v>
      </c>
    </row>
    <row r="155" spans="1:10" x14ac:dyDescent="0.25">
      <c r="A155" t="s">
        <v>162</v>
      </c>
      <c r="B155" t="s">
        <v>164</v>
      </c>
      <c r="C155" t="s">
        <v>173</v>
      </c>
      <c r="D155" t="s">
        <v>15</v>
      </c>
      <c r="E155">
        <v>0</v>
      </c>
      <c r="F155" t="s">
        <v>174</v>
      </c>
      <c r="G155" t="b">
        <v>1</v>
      </c>
      <c r="I155" t="s">
        <v>162</v>
      </c>
      <c r="J155" t="s">
        <v>162</v>
      </c>
    </row>
    <row r="156" spans="1:10" x14ac:dyDescent="0.25">
      <c r="A156" t="s">
        <v>162</v>
      </c>
      <c r="B156" t="s">
        <v>165</v>
      </c>
      <c r="C156" t="s">
        <v>173</v>
      </c>
      <c r="D156" t="s">
        <v>15</v>
      </c>
      <c r="E156">
        <v>0</v>
      </c>
      <c r="F156" t="s">
        <v>174</v>
      </c>
      <c r="G156" t="b">
        <v>1</v>
      </c>
      <c r="I156" t="s">
        <v>162</v>
      </c>
      <c r="J156" t="s">
        <v>162</v>
      </c>
    </row>
    <row r="157" spans="1:10" x14ac:dyDescent="0.25">
      <c r="A157" t="s">
        <v>162</v>
      </c>
      <c r="B157" t="s">
        <v>166</v>
      </c>
      <c r="C157" t="s">
        <v>173</v>
      </c>
      <c r="D157" t="s">
        <v>15</v>
      </c>
      <c r="E157">
        <v>0</v>
      </c>
      <c r="F157" t="s">
        <v>174</v>
      </c>
      <c r="G157" t="b">
        <v>1</v>
      </c>
      <c r="I157" t="s">
        <v>162</v>
      </c>
      <c r="J157" t="s">
        <v>162</v>
      </c>
    </row>
    <row r="158" spans="1:10" x14ac:dyDescent="0.25">
      <c r="A158" t="s">
        <v>162</v>
      </c>
      <c r="B158" t="s">
        <v>163</v>
      </c>
      <c r="C158" t="s">
        <v>175</v>
      </c>
      <c r="D158" t="s">
        <v>15</v>
      </c>
      <c r="E158">
        <v>0</v>
      </c>
      <c r="F158" t="s">
        <v>176</v>
      </c>
      <c r="G158" t="b">
        <v>1</v>
      </c>
      <c r="I158" t="s">
        <v>162</v>
      </c>
      <c r="J158" t="s">
        <v>162</v>
      </c>
    </row>
    <row r="159" spans="1:10" x14ac:dyDescent="0.25">
      <c r="A159" t="s">
        <v>162</v>
      </c>
      <c r="B159" t="s">
        <v>164</v>
      </c>
      <c r="C159" t="s">
        <v>175</v>
      </c>
      <c r="D159" t="s">
        <v>15</v>
      </c>
      <c r="E159">
        <v>0</v>
      </c>
      <c r="F159" t="s">
        <v>176</v>
      </c>
      <c r="G159" t="b">
        <v>1</v>
      </c>
      <c r="I159" t="s">
        <v>162</v>
      </c>
      <c r="J159" t="s">
        <v>162</v>
      </c>
    </row>
    <row r="160" spans="1:10" x14ac:dyDescent="0.25">
      <c r="A160" t="s">
        <v>162</v>
      </c>
      <c r="B160" t="s">
        <v>165</v>
      </c>
      <c r="C160" t="s">
        <v>175</v>
      </c>
      <c r="D160" t="s">
        <v>15</v>
      </c>
      <c r="E160">
        <v>0</v>
      </c>
      <c r="F160" t="s">
        <v>176</v>
      </c>
      <c r="G160" t="b">
        <v>1</v>
      </c>
      <c r="I160" t="s">
        <v>162</v>
      </c>
      <c r="J160" t="s">
        <v>162</v>
      </c>
    </row>
    <row r="161" spans="1:10" x14ac:dyDescent="0.25">
      <c r="A161" t="s">
        <v>162</v>
      </c>
      <c r="B161" t="s">
        <v>166</v>
      </c>
      <c r="C161" t="s">
        <v>175</v>
      </c>
      <c r="D161" t="s">
        <v>15</v>
      </c>
      <c r="E161">
        <v>0</v>
      </c>
      <c r="F161" t="s">
        <v>176</v>
      </c>
      <c r="G161" t="b">
        <v>1</v>
      </c>
      <c r="I161" t="s">
        <v>162</v>
      </c>
      <c r="J161" t="s">
        <v>162</v>
      </c>
    </row>
    <row r="162" spans="1:10" x14ac:dyDescent="0.25">
      <c r="A162" s="25" t="s">
        <v>178</v>
      </c>
      <c r="B162" t="s">
        <v>54</v>
      </c>
      <c r="C162" s="27" t="s">
        <v>14</v>
      </c>
      <c r="D162" s="8" t="s">
        <v>15</v>
      </c>
      <c r="E162">
        <v>600</v>
      </c>
      <c r="F162" t="s">
        <v>61</v>
      </c>
      <c r="G162" t="b">
        <v>1</v>
      </c>
      <c r="I162" s="19" t="str">
        <f>B162</f>
        <v>HiGrad-LoElev</v>
      </c>
      <c r="J162" s="19" t="str">
        <f>B162</f>
        <v>HiGrad-LoElev</v>
      </c>
    </row>
    <row r="163" spans="1:10" x14ac:dyDescent="0.25">
      <c r="A163" s="25" t="s">
        <v>178</v>
      </c>
      <c r="B163" t="s">
        <v>54</v>
      </c>
      <c r="C163" s="27" t="s">
        <v>14</v>
      </c>
      <c r="D163" s="8" t="s">
        <v>16</v>
      </c>
      <c r="E163">
        <v>450</v>
      </c>
      <c r="F163" t="s">
        <v>38</v>
      </c>
      <c r="G163" t="b">
        <v>1</v>
      </c>
      <c r="I163" s="19" t="str">
        <f>B163</f>
        <v>HiGrad-LoElev</v>
      </c>
      <c r="J163" s="19" t="str">
        <f>B163</f>
        <v>HiGrad-LoElev</v>
      </c>
    </row>
    <row r="164" spans="1:10" x14ac:dyDescent="0.25">
      <c r="A164" s="25" t="s">
        <v>178</v>
      </c>
      <c r="B164" t="s">
        <v>54</v>
      </c>
      <c r="C164" t="s">
        <v>150</v>
      </c>
      <c r="D164" s="8" t="s">
        <v>17</v>
      </c>
      <c r="E164">
        <v>5</v>
      </c>
      <c r="F164" t="s">
        <v>55</v>
      </c>
      <c r="G164" t="b">
        <v>0</v>
      </c>
      <c r="I164" s="19" t="str">
        <f t="shared" ref="I164:I227" si="9">B164</f>
        <v>HiGrad-LoElev</v>
      </c>
      <c r="J164" s="19" t="str">
        <f t="shared" ref="J164:J227" si="10">B164</f>
        <v>HiGrad-LoElev</v>
      </c>
    </row>
    <row r="165" spans="1:10" x14ac:dyDescent="0.25">
      <c r="A165" s="25" t="s">
        <v>178</v>
      </c>
      <c r="B165" t="s">
        <v>54</v>
      </c>
      <c r="C165" t="s">
        <v>150</v>
      </c>
      <c r="D165" s="8" t="s">
        <v>16</v>
      </c>
      <c r="E165">
        <v>1.2</v>
      </c>
      <c r="F165" t="s">
        <v>116</v>
      </c>
      <c r="G165" t="b">
        <v>0</v>
      </c>
      <c r="H165" t="s">
        <v>115</v>
      </c>
      <c r="I165" s="19" t="str">
        <f t="shared" si="9"/>
        <v>HiGrad-LoElev</v>
      </c>
      <c r="J165" s="19" t="str">
        <f t="shared" si="10"/>
        <v>HiGrad-LoElev</v>
      </c>
    </row>
    <row r="166" spans="1:10" x14ac:dyDescent="0.25">
      <c r="A166" s="25" t="s">
        <v>178</v>
      </c>
      <c r="B166" t="s">
        <v>54</v>
      </c>
      <c r="C166" t="s">
        <v>138</v>
      </c>
      <c r="D166" s="8" t="s">
        <v>16</v>
      </c>
      <c r="E166">
        <v>5</v>
      </c>
      <c r="F166" t="s">
        <v>139</v>
      </c>
      <c r="G166" t="b">
        <v>0</v>
      </c>
      <c r="I166" s="19" t="str">
        <f t="shared" si="9"/>
        <v>HiGrad-LoElev</v>
      </c>
      <c r="J166" s="19" t="str">
        <f t="shared" si="10"/>
        <v>HiGrad-LoElev</v>
      </c>
    </row>
    <row r="167" spans="1:10" x14ac:dyDescent="0.25">
      <c r="A167" s="25" t="s">
        <v>178</v>
      </c>
      <c r="B167" t="s">
        <v>54</v>
      </c>
      <c r="C167" t="s">
        <v>138</v>
      </c>
      <c r="D167" s="8" t="s">
        <v>15</v>
      </c>
      <c r="E167">
        <v>260</v>
      </c>
      <c r="F167" t="s">
        <v>140</v>
      </c>
      <c r="G167" t="b">
        <v>0</v>
      </c>
      <c r="I167" s="19" t="str">
        <f t="shared" si="9"/>
        <v>HiGrad-LoElev</v>
      </c>
      <c r="J167" s="19" t="str">
        <f t="shared" si="10"/>
        <v>HiGrad-LoElev</v>
      </c>
    </row>
    <row r="168" spans="1:10" x14ac:dyDescent="0.25">
      <c r="A168" s="25" t="s">
        <v>178</v>
      </c>
      <c r="B168" t="s">
        <v>54</v>
      </c>
      <c r="C168" t="s">
        <v>56</v>
      </c>
      <c r="D168" s="8" t="s">
        <v>16</v>
      </c>
      <c r="E168">
        <v>6</v>
      </c>
      <c r="F168" t="s">
        <v>57</v>
      </c>
      <c r="G168" t="b">
        <v>0</v>
      </c>
      <c r="I168" s="19" t="str">
        <f t="shared" si="9"/>
        <v>HiGrad-LoElev</v>
      </c>
      <c r="J168" s="19" t="str">
        <f t="shared" si="10"/>
        <v>HiGrad-LoElev</v>
      </c>
    </row>
    <row r="169" spans="1:10" x14ac:dyDescent="0.25">
      <c r="A169" s="25" t="s">
        <v>178</v>
      </c>
      <c r="B169" t="s">
        <v>54</v>
      </c>
      <c r="C169" t="s">
        <v>56</v>
      </c>
      <c r="D169" s="8" t="s">
        <v>15</v>
      </c>
      <c r="E169">
        <v>10</v>
      </c>
      <c r="F169" t="s">
        <v>58</v>
      </c>
      <c r="G169" t="b">
        <v>0</v>
      </c>
      <c r="I169" s="19" t="str">
        <f t="shared" si="9"/>
        <v>HiGrad-LoElev</v>
      </c>
      <c r="J169" s="19" t="str">
        <f t="shared" si="10"/>
        <v>HiGrad-LoElev</v>
      </c>
    </row>
    <row r="170" spans="1:10" x14ac:dyDescent="0.25">
      <c r="A170" s="25" t="s">
        <v>178</v>
      </c>
      <c r="B170" t="s">
        <v>54</v>
      </c>
      <c r="C170" t="s">
        <v>59</v>
      </c>
      <c r="D170" s="8" t="s">
        <v>16</v>
      </c>
      <c r="E170">
        <v>8</v>
      </c>
      <c r="F170" t="s">
        <v>60</v>
      </c>
      <c r="G170" t="b">
        <v>0</v>
      </c>
      <c r="I170" s="19" t="str">
        <f t="shared" si="9"/>
        <v>HiGrad-LoElev</v>
      </c>
      <c r="J170" s="19" t="str">
        <f t="shared" si="10"/>
        <v>HiGrad-LoElev</v>
      </c>
    </row>
    <row r="171" spans="1:10" x14ac:dyDescent="0.25">
      <c r="A171" s="25" t="s">
        <v>178</v>
      </c>
      <c r="B171" t="s">
        <v>54</v>
      </c>
      <c r="C171" t="s">
        <v>62</v>
      </c>
      <c r="D171" s="8" t="s">
        <v>17</v>
      </c>
      <c r="E171">
        <v>75</v>
      </c>
      <c r="F171" t="s">
        <v>63</v>
      </c>
      <c r="G171" t="b">
        <v>0</v>
      </c>
      <c r="I171" s="19" t="str">
        <f t="shared" si="9"/>
        <v>HiGrad-LoElev</v>
      </c>
      <c r="J171" s="19" t="str">
        <f t="shared" si="10"/>
        <v>HiGrad-LoElev</v>
      </c>
    </row>
    <row r="172" spans="1:10" x14ac:dyDescent="0.25">
      <c r="A172" s="25" t="s">
        <v>178</v>
      </c>
      <c r="B172" t="s">
        <v>54</v>
      </c>
      <c r="C172" t="s">
        <v>48</v>
      </c>
      <c r="D172" s="8" t="s">
        <v>16</v>
      </c>
      <c r="E172">
        <v>1000</v>
      </c>
      <c r="F172" t="s">
        <v>64</v>
      </c>
      <c r="G172" t="b">
        <v>0</v>
      </c>
      <c r="I172" s="19" t="str">
        <f t="shared" si="9"/>
        <v>HiGrad-LoElev</v>
      </c>
      <c r="J172" s="19" t="str">
        <f t="shared" si="10"/>
        <v>HiGrad-LoElev</v>
      </c>
    </row>
    <row r="173" spans="1:10" x14ac:dyDescent="0.25">
      <c r="A173" s="25" t="s">
        <v>178</v>
      </c>
      <c r="B173" t="s">
        <v>54</v>
      </c>
      <c r="C173" t="s">
        <v>51</v>
      </c>
      <c r="D173" s="8" t="s">
        <v>17</v>
      </c>
      <c r="E173">
        <v>50</v>
      </c>
      <c r="F173" t="s">
        <v>65</v>
      </c>
      <c r="G173" t="b">
        <v>1</v>
      </c>
      <c r="I173" s="19" t="str">
        <f t="shared" si="9"/>
        <v>HiGrad-LoElev</v>
      </c>
      <c r="J173" s="19" t="str">
        <f t="shared" si="10"/>
        <v>HiGrad-LoElev</v>
      </c>
    </row>
    <row r="174" spans="1:10" x14ac:dyDescent="0.25">
      <c r="A174" s="25" t="s">
        <v>178</v>
      </c>
      <c r="B174" t="s">
        <v>54</v>
      </c>
      <c r="C174" t="s">
        <v>66</v>
      </c>
      <c r="D174" s="8" t="s">
        <v>17</v>
      </c>
      <c r="E174" s="17">
        <v>35</v>
      </c>
      <c r="F174" t="s">
        <v>67</v>
      </c>
      <c r="G174" t="b">
        <v>1</v>
      </c>
      <c r="H174" t="s">
        <v>110</v>
      </c>
      <c r="I174" s="19" t="str">
        <f t="shared" si="9"/>
        <v>HiGrad-LoElev</v>
      </c>
      <c r="J174" s="19" t="str">
        <f t="shared" si="10"/>
        <v>HiGrad-LoElev</v>
      </c>
    </row>
    <row r="175" spans="1:10" x14ac:dyDescent="0.25">
      <c r="A175" s="25" t="s">
        <v>178</v>
      </c>
      <c r="B175" t="s">
        <v>54</v>
      </c>
      <c r="C175" t="s">
        <v>68</v>
      </c>
      <c r="D175" s="8" t="s">
        <v>17</v>
      </c>
      <c r="E175">
        <v>10</v>
      </c>
      <c r="F175" t="s">
        <v>69</v>
      </c>
      <c r="G175" t="b">
        <v>1</v>
      </c>
      <c r="I175" s="19" t="str">
        <f t="shared" si="9"/>
        <v>HiGrad-LoElev</v>
      </c>
      <c r="J175" s="19" t="str">
        <f t="shared" si="10"/>
        <v>HiGrad-LoElev</v>
      </c>
    </row>
    <row r="176" spans="1:10" x14ac:dyDescent="0.25">
      <c r="A176" s="25" t="s">
        <v>178</v>
      </c>
      <c r="B176" t="s">
        <v>54</v>
      </c>
      <c r="C176" t="s">
        <v>70</v>
      </c>
      <c r="D176" s="8" t="s">
        <v>17</v>
      </c>
      <c r="E176">
        <v>25</v>
      </c>
      <c r="F176" t="s">
        <v>71</v>
      </c>
      <c r="G176" t="b">
        <v>1</v>
      </c>
      <c r="I176" s="19" t="str">
        <f t="shared" si="9"/>
        <v>HiGrad-LoElev</v>
      </c>
      <c r="J176" s="19" t="str">
        <f t="shared" si="10"/>
        <v>HiGrad-LoElev</v>
      </c>
    </row>
    <row r="177" spans="1:10" x14ac:dyDescent="0.25">
      <c r="A177" s="25" t="s">
        <v>178</v>
      </c>
      <c r="B177" t="s">
        <v>54</v>
      </c>
      <c r="C177" t="s">
        <v>72</v>
      </c>
      <c r="D177" s="20" t="s">
        <v>96</v>
      </c>
      <c r="E177">
        <v>0</v>
      </c>
      <c r="F177" t="s">
        <v>73</v>
      </c>
      <c r="G177" t="b">
        <v>1</v>
      </c>
      <c r="I177" s="19" t="str">
        <f t="shared" si="9"/>
        <v>HiGrad-LoElev</v>
      </c>
      <c r="J177" s="19" t="str">
        <f t="shared" si="10"/>
        <v>HiGrad-LoElev</v>
      </c>
    </row>
    <row r="178" spans="1:10" x14ac:dyDescent="0.25">
      <c r="A178" s="25" t="s">
        <v>178</v>
      </c>
      <c r="B178" t="s">
        <v>54</v>
      </c>
      <c r="C178" t="s">
        <v>74</v>
      </c>
      <c r="D178" s="20" t="s">
        <v>96</v>
      </c>
      <c r="E178">
        <v>0</v>
      </c>
      <c r="F178" t="s">
        <v>75</v>
      </c>
      <c r="G178" t="b">
        <v>1</v>
      </c>
      <c r="I178" s="19" t="str">
        <f t="shared" si="9"/>
        <v>HiGrad-LoElev</v>
      </c>
      <c r="J178" s="19" t="str">
        <f t="shared" si="10"/>
        <v>HiGrad-LoElev</v>
      </c>
    </row>
    <row r="179" spans="1:10" x14ac:dyDescent="0.25">
      <c r="A179" s="25" t="s">
        <v>178</v>
      </c>
      <c r="B179" t="s">
        <v>54</v>
      </c>
      <c r="C179" t="s">
        <v>76</v>
      </c>
      <c r="D179" s="20" t="s">
        <v>96</v>
      </c>
      <c r="E179">
        <v>0</v>
      </c>
      <c r="F179" t="s">
        <v>77</v>
      </c>
      <c r="G179" t="b">
        <v>1</v>
      </c>
      <c r="I179" s="19" t="str">
        <f t="shared" si="9"/>
        <v>HiGrad-LoElev</v>
      </c>
      <c r="J179" s="19" t="str">
        <f t="shared" si="10"/>
        <v>HiGrad-LoElev</v>
      </c>
    </row>
    <row r="180" spans="1:10" x14ac:dyDescent="0.25">
      <c r="A180" s="25" t="s">
        <v>178</v>
      </c>
      <c r="B180" t="s">
        <v>54</v>
      </c>
      <c r="C180" t="s">
        <v>78</v>
      </c>
      <c r="D180" s="20" t="s">
        <v>96</v>
      </c>
      <c r="E180">
        <v>0</v>
      </c>
      <c r="F180" t="s">
        <v>79</v>
      </c>
      <c r="G180" t="b">
        <v>1</v>
      </c>
      <c r="I180" s="19" t="str">
        <f t="shared" si="9"/>
        <v>HiGrad-LoElev</v>
      </c>
      <c r="J180" s="19" t="str">
        <f t="shared" si="10"/>
        <v>HiGrad-LoElev</v>
      </c>
    </row>
    <row r="181" spans="1:10" x14ac:dyDescent="0.25">
      <c r="A181" s="25" t="s">
        <v>178</v>
      </c>
      <c r="B181" t="s">
        <v>54</v>
      </c>
      <c r="C181" t="s">
        <v>80</v>
      </c>
      <c r="D181" s="8" t="s">
        <v>17</v>
      </c>
      <c r="E181">
        <v>50</v>
      </c>
      <c r="F181" t="s">
        <v>81</v>
      </c>
      <c r="G181" t="b">
        <v>1</v>
      </c>
      <c r="I181" s="19" t="str">
        <f t="shared" si="9"/>
        <v>HiGrad-LoElev</v>
      </c>
      <c r="J181" s="19" t="str">
        <f t="shared" si="10"/>
        <v>HiGrad-LoElev</v>
      </c>
    </row>
    <row r="182" spans="1:10" x14ac:dyDescent="0.25">
      <c r="A182" s="25" t="s">
        <v>178</v>
      </c>
      <c r="B182" t="s">
        <v>54</v>
      </c>
      <c r="C182" t="s">
        <v>91</v>
      </c>
      <c r="D182" s="8" t="s">
        <v>17</v>
      </c>
      <c r="E182" s="17">
        <v>50</v>
      </c>
      <c r="F182" t="s">
        <v>82</v>
      </c>
      <c r="G182" t="b">
        <v>1</v>
      </c>
      <c r="H182" t="s">
        <v>110</v>
      </c>
      <c r="I182" s="19" t="str">
        <f t="shared" si="9"/>
        <v>HiGrad-LoElev</v>
      </c>
      <c r="J182" s="19" t="str">
        <f t="shared" si="10"/>
        <v>HiGrad-LoElev</v>
      </c>
    </row>
    <row r="183" spans="1:10" x14ac:dyDescent="0.25">
      <c r="A183" s="25" t="s">
        <v>178</v>
      </c>
      <c r="B183" t="s">
        <v>54</v>
      </c>
      <c r="C183" t="s">
        <v>83</v>
      </c>
      <c r="D183" s="8" t="s">
        <v>17</v>
      </c>
      <c r="E183">
        <v>30</v>
      </c>
      <c r="F183" t="s">
        <v>84</v>
      </c>
      <c r="G183" t="b">
        <v>1</v>
      </c>
      <c r="I183" s="19" t="str">
        <f t="shared" si="9"/>
        <v>HiGrad-LoElev</v>
      </c>
      <c r="J183" s="19" t="str">
        <f t="shared" si="10"/>
        <v>HiGrad-LoElev</v>
      </c>
    </row>
    <row r="184" spans="1:10" x14ac:dyDescent="0.25">
      <c r="A184" s="25" t="s">
        <v>178</v>
      </c>
      <c r="B184" t="s">
        <v>54</v>
      </c>
      <c r="C184" t="s">
        <v>85</v>
      </c>
      <c r="D184" s="8" t="s">
        <v>17</v>
      </c>
      <c r="E184">
        <v>10</v>
      </c>
      <c r="F184" t="s">
        <v>86</v>
      </c>
      <c r="G184" t="b">
        <v>1</v>
      </c>
      <c r="I184" s="19" t="str">
        <f t="shared" si="9"/>
        <v>HiGrad-LoElev</v>
      </c>
      <c r="J184" s="19" t="str">
        <f t="shared" si="10"/>
        <v>HiGrad-LoElev</v>
      </c>
    </row>
    <row r="185" spans="1:10" x14ac:dyDescent="0.25">
      <c r="A185" s="25" t="s">
        <v>178</v>
      </c>
      <c r="B185" t="s">
        <v>54</v>
      </c>
      <c r="C185" t="s">
        <v>87</v>
      </c>
      <c r="D185" s="8" t="s">
        <v>17</v>
      </c>
      <c r="E185">
        <v>10</v>
      </c>
      <c r="F185" t="s">
        <v>88</v>
      </c>
      <c r="G185" t="b">
        <v>1</v>
      </c>
      <c r="I185" s="19" t="str">
        <f t="shared" si="9"/>
        <v>HiGrad-LoElev</v>
      </c>
      <c r="J185" s="19" t="str">
        <f t="shared" si="10"/>
        <v>HiGrad-LoElev</v>
      </c>
    </row>
    <row r="186" spans="1:10" x14ac:dyDescent="0.25">
      <c r="A186" s="25" t="s">
        <v>178</v>
      </c>
      <c r="B186" t="s">
        <v>54</v>
      </c>
      <c r="C186" t="s">
        <v>89</v>
      </c>
      <c r="D186" s="8" t="s">
        <v>15</v>
      </c>
      <c r="E186">
        <v>0</v>
      </c>
      <c r="F186" t="s">
        <v>49</v>
      </c>
      <c r="G186" t="b">
        <v>1</v>
      </c>
      <c r="I186" s="19" t="str">
        <f t="shared" si="9"/>
        <v>HiGrad-LoElev</v>
      </c>
      <c r="J186" s="19" t="str">
        <f t="shared" si="10"/>
        <v>HiGrad-LoElev</v>
      </c>
    </row>
    <row r="187" spans="1:10" x14ac:dyDescent="0.25">
      <c r="A187" s="25" t="s">
        <v>178</v>
      </c>
      <c r="B187" t="s">
        <v>54</v>
      </c>
      <c r="C187" t="s">
        <v>101</v>
      </c>
      <c r="D187" s="8" t="s">
        <v>15</v>
      </c>
      <c r="E187">
        <v>0</v>
      </c>
      <c r="F187" t="s">
        <v>102</v>
      </c>
      <c r="G187" t="b">
        <v>1</v>
      </c>
      <c r="H187" t="s">
        <v>109</v>
      </c>
      <c r="I187" s="19" t="str">
        <f t="shared" si="9"/>
        <v>HiGrad-LoElev</v>
      </c>
      <c r="J187" s="19" t="str">
        <f t="shared" si="10"/>
        <v>HiGrad-LoElev</v>
      </c>
    </row>
    <row r="188" spans="1:10" x14ac:dyDescent="0.25">
      <c r="A188" s="25" t="s">
        <v>178</v>
      </c>
      <c r="B188" t="s">
        <v>54</v>
      </c>
      <c r="C188" t="s">
        <v>104</v>
      </c>
      <c r="D188" s="8" t="s">
        <v>16</v>
      </c>
      <c r="E188">
        <v>1000</v>
      </c>
      <c r="F188" t="s">
        <v>105</v>
      </c>
      <c r="G188" t="b">
        <v>0</v>
      </c>
      <c r="H188" t="s">
        <v>117</v>
      </c>
      <c r="I188" s="19" t="str">
        <f t="shared" si="9"/>
        <v>HiGrad-LoElev</v>
      </c>
      <c r="J188" s="19" t="str">
        <f t="shared" si="10"/>
        <v>HiGrad-LoElev</v>
      </c>
    </row>
    <row r="189" spans="1:10" x14ac:dyDescent="0.25">
      <c r="A189" s="25" t="s">
        <v>178</v>
      </c>
      <c r="B189" t="s">
        <v>54</v>
      </c>
      <c r="C189" t="s">
        <v>106</v>
      </c>
      <c r="D189" s="8" t="s">
        <v>17</v>
      </c>
      <c r="E189" s="8">
        <v>10</v>
      </c>
      <c r="F189" t="s">
        <v>107</v>
      </c>
      <c r="G189" t="b">
        <v>1</v>
      </c>
      <c r="H189" t="s">
        <v>117</v>
      </c>
      <c r="I189" s="19" t="str">
        <f t="shared" si="9"/>
        <v>HiGrad-LoElev</v>
      </c>
      <c r="J189" s="19" t="str">
        <f t="shared" si="10"/>
        <v>HiGrad-LoElev</v>
      </c>
    </row>
    <row r="190" spans="1:10" x14ac:dyDescent="0.25">
      <c r="A190" s="25" t="s">
        <v>178</v>
      </c>
      <c r="B190" t="s">
        <v>54</v>
      </c>
      <c r="C190" t="s">
        <v>113</v>
      </c>
      <c r="D190" s="8" t="s">
        <v>17</v>
      </c>
      <c r="E190" s="8">
        <v>10</v>
      </c>
      <c r="F190" t="s">
        <v>108</v>
      </c>
      <c r="G190" t="b">
        <v>1</v>
      </c>
      <c r="H190" t="s">
        <v>117</v>
      </c>
      <c r="I190" s="19" t="str">
        <f t="shared" si="9"/>
        <v>HiGrad-LoElev</v>
      </c>
      <c r="J190" s="19" t="str">
        <f t="shared" si="10"/>
        <v>HiGrad-LoElev</v>
      </c>
    </row>
    <row r="191" spans="1:10" x14ac:dyDescent="0.25">
      <c r="A191" s="25" t="s">
        <v>178</v>
      </c>
      <c r="B191" t="s">
        <v>103</v>
      </c>
      <c r="C191" s="27" t="s">
        <v>14</v>
      </c>
      <c r="D191" s="8" t="s">
        <v>15</v>
      </c>
      <c r="E191">
        <v>600</v>
      </c>
      <c r="F191" t="s">
        <v>61</v>
      </c>
      <c r="G191" t="b">
        <v>1</v>
      </c>
      <c r="I191" s="19" t="str">
        <f>B191</f>
        <v>HiGrad-HiElev</v>
      </c>
      <c r="J191" s="19" t="str">
        <f>B191</f>
        <v>HiGrad-HiElev</v>
      </c>
    </row>
    <row r="192" spans="1:10" x14ac:dyDescent="0.25">
      <c r="A192" s="25" t="s">
        <v>178</v>
      </c>
      <c r="B192" t="s">
        <v>103</v>
      </c>
      <c r="C192" s="27" t="s">
        <v>14</v>
      </c>
      <c r="D192" s="8" t="s">
        <v>16</v>
      </c>
      <c r="E192">
        <v>450</v>
      </c>
      <c r="F192" t="s">
        <v>38</v>
      </c>
      <c r="G192" t="b">
        <v>1</v>
      </c>
      <c r="I192" s="19" t="str">
        <f>B192</f>
        <v>HiGrad-HiElev</v>
      </c>
      <c r="J192" s="19" t="str">
        <f>B192</f>
        <v>HiGrad-HiElev</v>
      </c>
    </row>
    <row r="193" spans="1:10" x14ac:dyDescent="0.25">
      <c r="A193" s="25" t="s">
        <v>178</v>
      </c>
      <c r="B193" t="s">
        <v>103</v>
      </c>
      <c r="C193" t="s">
        <v>150</v>
      </c>
      <c r="D193" s="8" t="s">
        <v>17</v>
      </c>
      <c r="E193" s="21">
        <v>8</v>
      </c>
      <c r="F193" t="s">
        <v>111</v>
      </c>
      <c r="G193" t="b">
        <v>0</v>
      </c>
      <c r="I193" s="19" t="str">
        <f t="shared" si="9"/>
        <v>HiGrad-HiElev</v>
      </c>
      <c r="J193" s="19" t="str">
        <f t="shared" si="10"/>
        <v>HiGrad-HiElev</v>
      </c>
    </row>
    <row r="194" spans="1:10" x14ac:dyDescent="0.25">
      <c r="A194" s="25" t="s">
        <v>178</v>
      </c>
      <c r="B194" t="s">
        <v>103</v>
      </c>
      <c r="C194" t="s">
        <v>150</v>
      </c>
      <c r="D194" s="8" t="s">
        <v>16</v>
      </c>
      <c r="E194">
        <v>3</v>
      </c>
      <c r="F194" t="s">
        <v>112</v>
      </c>
      <c r="G194" t="b">
        <v>0</v>
      </c>
      <c r="I194" s="19" t="str">
        <f t="shared" si="9"/>
        <v>HiGrad-HiElev</v>
      </c>
      <c r="J194" s="19" t="str">
        <f t="shared" si="10"/>
        <v>HiGrad-HiElev</v>
      </c>
    </row>
    <row r="195" spans="1:10" x14ac:dyDescent="0.25">
      <c r="A195" s="25" t="s">
        <v>178</v>
      </c>
      <c r="B195" t="s">
        <v>103</v>
      </c>
      <c r="C195" t="s">
        <v>138</v>
      </c>
      <c r="D195" s="8" t="s">
        <v>16</v>
      </c>
      <c r="E195">
        <v>5</v>
      </c>
      <c r="F195" t="s">
        <v>139</v>
      </c>
      <c r="G195" t="b">
        <v>0</v>
      </c>
      <c r="I195" s="19" t="str">
        <f t="shared" si="9"/>
        <v>HiGrad-HiElev</v>
      </c>
      <c r="J195" s="19" t="str">
        <f t="shared" si="10"/>
        <v>HiGrad-HiElev</v>
      </c>
    </row>
    <row r="196" spans="1:10" x14ac:dyDescent="0.25">
      <c r="A196" s="25" t="s">
        <v>178</v>
      </c>
      <c r="B196" t="s">
        <v>103</v>
      </c>
      <c r="C196" t="s">
        <v>138</v>
      </c>
      <c r="D196" s="8" t="s">
        <v>15</v>
      </c>
      <c r="E196">
        <v>260</v>
      </c>
      <c r="F196" t="s">
        <v>140</v>
      </c>
      <c r="G196" t="b">
        <v>0</v>
      </c>
      <c r="I196" s="19" t="str">
        <f t="shared" si="9"/>
        <v>HiGrad-HiElev</v>
      </c>
      <c r="J196" s="19" t="str">
        <f t="shared" si="10"/>
        <v>HiGrad-HiElev</v>
      </c>
    </row>
    <row r="197" spans="1:10" x14ac:dyDescent="0.25">
      <c r="A197" s="25" t="s">
        <v>178</v>
      </c>
      <c r="B197" t="s">
        <v>103</v>
      </c>
      <c r="C197" t="s">
        <v>104</v>
      </c>
      <c r="D197" s="8" t="s">
        <v>16</v>
      </c>
      <c r="E197">
        <v>1000</v>
      </c>
      <c r="F197" t="s">
        <v>105</v>
      </c>
      <c r="G197" t="b">
        <v>0</v>
      </c>
      <c r="I197" s="19" t="str">
        <f t="shared" si="9"/>
        <v>HiGrad-HiElev</v>
      </c>
      <c r="J197" s="19" t="str">
        <f t="shared" si="10"/>
        <v>HiGrad-HiElev</v>
      </c>
    </row>
    <row r="198" spans="1:10" x14ac:dyDescent="0.25">
      <c r="A198" s="25" t="s">
        <v>178</v>
      </c>
      <c r="B198" t="s">
        <v>103</v>
      </c>
      <c r="C198" t="s">
        <v>56</v>
      </c>
      <c r="D198" s="8" t="s">
        <v>16</v>
      </c>
      <c r="E198">
        <v>6</v>
      </c>
      <c r="F198" t="s">
        <v>57</v>
      </c>
      <c r="G198" t="b">
        <v>0</v>
      </c>
      <c r="I198" s="19" t="str">
        <f t="shared" si="9"/>
        <v>HiGrad-HiElev</v>
      </c>
      <c r="J198" s="19" t="str">
        <f t="shared" si="10"/>
        <v>HiGrad-HiElev</v>
      </c>
    </row>
    <row r="199" spans="1:10" x14ac:dyDescent="0.25">
      <c r="A199" s="25" t="s">
        <v>178</v>
      </c>
      <c r="B199" t="s">
        <v>103</v>
      </c>
      <c r="C199" t="s">
        <v>56</v>
      </c>
      <c r="D199" s="8" t="s">
        <v>15</v>
      </c>
      <c r="E199">
        <v>10</v>
      </c>
      <c r="F199" t="s">
        <v>58</v>
      </c>
      <c r="G199" t="b">
        <v>0</v>
      </c>
      <c r="I199" s="19" t="str">
        <f t="shared" si="9"/>
        <v>HiGrad-HiElev</v>
      </c>
      <c r="J199" s="19" t="str">
        <f t="shared" si="10"/>
        <v>HiGrad-HiElev</v>
      </c>
    </row>
    <row r="200" spans="1:10" x14ac:dyDescent="0.25">
      <c r="A200" s="25" t="s">
        <v>178</v>
      </c>
      <c r="B200" t="s">
        <v>103</v>
      </c>
      <c r="C200" t="s">
        <v>59</v>
      </c>
      <c r="D200" s="8" t="s">
        <v>16</v>
      </c>
      <c r="E200">
        <v>8</v>
      </c>
      <c r="F200" t="s">
        <v>60</v>
      </c>
      <c r="G200" t="b">
        <v>0</v>
      </c>
      <c r="I200" s="19" t="str">
        <f t="shared" si="9"/>
        <v>HiGrad-HiElev</v>
      </c>
      <c r="J200" s="19" t="str">
        <f t="shared" si="10"/>
        <v>HiGrad-HiElev</v>
      </c>
    </row>
    <row r="201" spans="1:10" x14ac:dyDescent="0.25">
      <c r="A201" s="25" t="s">
        <v>178</v>
      </c>
      <c r="B201" t="s">
        <v>103</v>
      </c>
      <c r="C201" t="s">
        <v>62</v>
      </c>
      <c r="D201" s="8" t="s">
        <v>17</v>
      </c>
      <c r="E201">
        <v>75</v>
      </c>
      <c r="F201" t="s">
        <v>63</v>
      </c>
      <c r="G201" t="b">
        <v>0</v>
      </c>
      <c r="I201" s="19" t="str">
        <f t="shared" si="9"/>
        <v>HiGrad-HiElev</v>
      </c>
      <c r="J201" s="19" t="str">
        <f t="shared" si="10"/>
        <v>HiGrad-HiElev</v>
      </c>
    </row>
    <row r="202" spans="1:10" x14ac:dyDescent="0.25">
      <c r="A202" s="25" t="s">
        <v>178</v>
      </c>
      <c r="B202" t="s">
        <v>103</v>
      </c>
      <c r="C202" t="s">
        <v>48</v>
      </c>
      <c r="D202" s="8" t="s">
        <v>16</v>
      </c>
      <c r="E202">
        <v>1000</v>
      </c>
      <c r="F202" t="s">
        <v>64</v>
      </c>
      <c r="G202" t="b">
        <v>0</v>
      </c>
      <c r="I202" s="19" t="str">
        <f t="shared" si="9"/>
        <v>HiGrad-HiElev</v>
      </c>
      <c r="J202" s="19" t="str">
        <f t="shared" si="10"/>
        <v>HiGrad-HiElev</v>
      </c>
    </row>
    <row r="203" spans="1:10" x14ac:dyDescent="0.25">
      <c r="A203" s="25" t="s">
        <v>178</v>
      </c>
      <c r="B203" t="s">
        <v>103</v>
      </c>
      <c r="C203" t="s">
        <v>51</v>
      </c>
      <c r="D203" s="8" t="s">
        <v>17</v>
      </c>
      <c r="E203">
        <v>50</v>
      </c>
      <c r="F203" t="s">
        <v>65</v>
      </c>
      <c r="G203" t="b">
        <v>1</v>
      </c>
      <c r="I203" s="19" t="str">
        <f t="shared" si="9"/>
        <v>HiGrad-HiElev</v>
      </c>
      <c r="J203" s="19" t="str">
        <f t="shared" si="10"/>
        <v>HiGrad-HiElev</v>
      </c>
    </row>
    <row r="204" spans="1:10" x14ac:dyDescent="0.25">
      <c r="A204" s="25" t="s">
        <v>178</v>
      </c>
      <c r="B204" t="s">
        <v>103</v>
      </c>
      <c r="C204" t="s">
        <v>66</v>
      </c>
      <c r="D204" s="8" t="s">
        <v>17</v>
      </c>
      <c r="E204">
        <v>35</v>
      </c>
      <c r="F204" t="s">
        <v>67</v>
      </c>
      <c r="G204" t="b">
        <v>1</v>
      </c>
      <c r="I204" s="19" t="str">
        <f t="shared" si="9"/>
        <v>HiGrad-HiElev</v>
      </c>
      <c r="J204" s="19" t="str">
        <f t="shared" si="10"/>
        <v>HiGrad-HiElev</v>
      </c>
    </row>
    <row r="205" spans="1:10" x14ac:dyDescent="0.25">
      <c r="A205" s="25" t="s">
        <v>178</v>
      </c>
      <c r="B205" t="s">
        <v>103</v>
      </c>
      <c r="C205" t="s">
        <v>68</v>
      </c>
      <c r="D205" s="8" t="s">
        <v>17</v>
      </c>
      <c r="E205">
        <v>10</v>
      </c>
      <c r="F205" t="s">
        <v>69</v>
      </c>
      <c r="G205" t="b">
        <v>1</v>
      </c>
      <c r="I205" s="19" t="str">
        <f t="shared" si="9"/>
        <v>HiGrad-HiElev</v>
      </c>
      <c r="J205" s="19" t="str">
        <f t="shared" si="10"/>
        <v>HiGrad-HiElev</v>
      </c>
    </row>
    <row r="206" spans="1:10" x14ac:dyDescent="0.25">
      <c r="A206" s="25" t="s">
        <v>178</v>
      </c>
      <c r="B206" t="s">
        <v>103</v>
      </c>
      <c r="C206" t="s">
        <v>70</v>
      </c>
      <c r="D206" s="8" t="s">
        <v>17</v>
      </c>
      <c r="E206">
        <v>25</v>
      </c>
      <c r="F206" t="s">
        <v>71</v>
      </c>
      <c r="G206" t="b">
        <v>1</v>
      </c>
      <c r="I206" s="19" t="str">
        <f t="shared" si="9"/>
        <v>HiGrad-HiElev</v>
      </c>
      <c r="J206" s="19" t="str">
        <f t="shared" si="10"/>
        <v>HiGrad-HiElev</v>
      </c>
    </row>
    <row r="207" spans="1:10" x14ac:dyDescent="0.25">
      <c r="A207" s="25" t="s">
        <v>178</v>
      </c>
      <c r="B207" t="s">
        <v>103</v>
      </c>
      <c r="C207" t="s">
        <v>72</v>
      </c>
      <c r="D207" s="8" t="s">
        <v>96</v>
      </c>
      <c r="E207">
        <v>0</v>
      </c>
      <c r="F207" t="s">
        <v>73</v>
      </c>
      <c r="G207" t="b">
        <v>1</v>
      </c>
      <c r="I207" s="19" t="str">
        <f t="shared" si="9"/>
        <v>HiGrad-HiElev</v>
      </c>
      <c r="J207" s="19" t="str">
        <f t="shared" si="10"/>
        <v>HiGrad-HiElev</v>
      </c>
    </row>
    <row r="208" spans="1:10" x14ac:dyDescent="0.25">
      <c r="A208" s="25" t="s">
        <v>178</v>
      </c>
      <c r="B208" t="s">
        <v>103</v>
      </c>
      <c r="C208" t="s">
        <v>74</v>
      </c>
      <c r="D208" s="8" t="s">
        <v>96</v>
      </c>
      <c r="E208">
        <v>0</v>
      </c>
      <c r="F208" t="s">
        <v>75</v>
      </c>
      <c r="G208" t="b">
        <v>1</v>
      </c>
      <c r="I208" s="19" t="str">
        <f t="shared" si="9"/>
        <v>HiGrad-HiElev</v>
      </c>
      <c r="J208" s="19" t="str">
        <f t="shared" si="10"/>
        <v>HiGrad-HiElev</v>
      </c>
    </row>
    <row r="209" spans="1:10" x14ac:dyDescent="0.25">
      <c r="A209" s="25" t="s">
        <v>178</v>
      </c>
      <c r="B209" t="s">
        <v>103</v>
      </c>
      <c r="C209" t="s">
        <v>76</v>
      </c>
      <c r="D209" s="8" t="s">
        <v>96</v>
      </c>
      <c r="E209">
        <v>0</v>
      </c>
      <c r="F209" t="s">
        <v>77</v>
      </c>
      <c r="G209" t="b">
        <v>1</v>
      </c>
      <c r="I209" s="19" t="str">
        <f t="shared" si="9"/>
        <v>HiGrad-HiElev</v>
      </c>
      <c r="J209" s="19" t="str">
        <f t="shared" si="10"/>
        <v>HiGrad-HiElev</v>
      </c>
    </row>
    <row r="210" spans="1:10" x14ac:dyDescent="0.25">
      <c r="A210" s="25" t="s">
        <v>178</v>
      </c>
      <c r="B210" t="s">
        <v>103</v>
      </c>
      <c r="C210" t="s">
        <v>78</v>
      </c>
      <c r="D210" s="8" t="s">
        <v>96</v>
      </c>
      <c r="E210">
        <v>0</v>
      </c>
      <c r="F210" t="s">
        <v>79</v>
      </c>
      <c r="G210" t="b">
        <v>1</v>
      </c>
      <c r="I210" s="19" t="str">
        <f t="shared" si="9"/>
        <v>HiGrad-HiElev</v>
      </c>
      <c r="J210" s="19" t="str">
        <f t="shared" si="10"/>
        <v>HiGrad-HiElev</v>
      </c>
    </row>
    <row r="211" spans="1:10" x14ac:dyDescent="0.25">
      <c r="A211" s="25" t="s">
        <v>178</v>
      </c>
      <c r="B211" t="s">
        <v>103</v>
      </c>
      <c r="C211" t="s">
        <v>80</v>
      </c>
      <c r="D211" s="8" t="s">
        <v>17</v>
      </c>
      <c r="E211">
        <v>50</v>
      </c>
      <c r="F211" t="s">
        <v>81</v>
      </c>
      <c r="G211" t="b">
        <v>1</v>
      </c>
      <c r="I211" s="19" t="str">
        <f t="shared" si="9"/>
        <v>HiGrad-HiElev</v>
      </c>
      <c r="J211" s="19" t="str">
        <f t="shared" si="10"/>
        <v>HiGrad-HiElev</v>
      </c>
    </row>
    <row r="212" spans="1:10" x14ac:dyDescent="0.25">
      <c r="A212" s="25" t="s">
        <v>178</v>
      </c>
      <c r="B212" t="s">
        <v>103</v>
      </c>
      <c r="C212" t="s">
        <v>91</v>
      </c>
      <c r="D212" s="8" t="s">
        <v>17</v>
      </c>
      <c r="E212">
        <v>50</v>
      </c>
      <c r="F212" t="s">
        <v>82</v>
      </c>
      <c r="G212" t="b">
        <v>1</v>
      </c>
      <c r="I212" s="19" t="str">
        <f t="shared" si="9"/>
        <v>HiGrad-HiElev</v>
      </c>
      <c r="J212" s="19" t="str">
        <f t="shared" si="10"/>
        <v>HiGrad-HiElev</v>
      </c>
    </row>
    <row r="213" spans="1:10" x14ac:dyDescent="0.25">
      <c r="A213" s="25" t="s">
        <v>178</v>
      </c>
      <c r="B213" t="s">
        <v>103</v>
      </c>
      <c r="C213" t="s">
        <v>83</v>
      </c>
      <c r="D213" s="8" t="s">
        <v>17</v>
      </c>
      <c r="E213">
        <v>30</v>
      </c>
      <c r="F213" t="s">
        <v>84</v>
      </c>
      <c r="G213" t="b">
        <v>1</v>
      </c>
      <c r="I213" s="19" t="str">
        <f t="shared" si="9"/>
        <v>HiGrad-HiElev</v>
      </c>
      <c r="J213" s="19" t="str">
        <f t="shared" si="10"/>
        <v>HiGrad-HiElev</v>
      </c>
    </row>
    <row r="214" spans="1:10" x14ac:dyDescent="0.25">
      <c r="A214" s="25" t="s">
        <v>178</v>
      </c>
      <c r="B214" t="s">
        <v>103</v>
      </c>
      <c r="C214" t="s">
        <v>85</v>
      </c>
      <c r="D214" s="8" t="s">
        <v>17</v>
      </c>
      <c r="E214">
        <v>10</v>
      </c>
      <c r="F214" t="s">
        <v>86</v>
      </c>
      <c r="G214" t="b">
        <v>1</v>
      </c>
      <c r="I214" s="19" t="str">
        <f t="shared" si="9"/>
        <v>HiGrad-HiElev</v>
      </c>
      <c r="J214" s="19" t="str">
        <f t="shared" si="10"/>
        <v>HiGrad-HiElev</v>
      </c>
    </row>
    <row r="215" spans="1:10" x14ac:dyDescent="0.25">
      <c r="A215" s="25" t="s">
        <v>178</v>
      </c>
      <c r="B215" t="s">
        <v>103</v>
      </c>
      <c r="C215" t="s">
        <v>87</v>
      </c>
      <c r="D215" s="8" t="s">
        <v>17</v>
      </c>
      <c r="E215">
        <v>10</v>
      </c>
      <c r="F215" t="s">
        <v>88</v>
      </c>
      <c r="G215" t="b">
        <v>1</v>
      </c>
      <c r="I215" s="19" t="str">
        <f t="shared" si="9"/>
        <v>HiGrad-HiElev</v>
      </c>
      <c r="J215" s="19" t="str">
        <f t="shared" si="10"/>
        <v>HiGrad-HiElev</v>
      </c>
    </row>
    <row r="216" spans="1:10" x14ac:dyDescent="0.25">
      <c r="A216" s="25" t="s">
        <v>178</v>
      </c>
      <c r="B216" t="s">
        <v>103</v>
      </c>
      <c r="C216" t="s">
        <v>89</v>
      </c>
      <c r="D216" s="8" t="s">
        <v>15</v>
      </c>
      <c r="E216">
        <v>0</v>
      </c>
      <c r="F216" t="s">
        <v>49</v>
      </c>
      <c r="G216" t="b">
        <v>1</v>
      </c>
      <c r="I216" s="19" t="str">
        <f t="shared" si="9"/>
        <v>HiGrad-HiElev</v>
      </c>
      <c r="J216" s="19" t="str">
        <f t="shared" si="10"/>
        <v>HiGrad-HiElev</v>
      </c>
    </row>
    <row r="217" spans="1:10" x14ac:dyDescent="0.25">
      <c r="A217" s="25" t="s">
        <v>178</v>
      </c>
      <c r="B217" t="s">
        <v>103</v>
      </c>
      <c r="C217" t="s">
        <v>101</v>
      </c>
      <c r="D217" s="8" t="s">
        <v>15</v>
      </c>
      <c r="E217">
        <v>0</v>
      </c>
      <c r="F217" t="s">
        <v>102</v>
      </c>
      <c r="G217" t="b">
        <v>1</v>
      </c>
      <c r="I217" s="19" t="str">
        <f t="shared" si="9"/>
        <v>HiGrad-HiElev</v>
      </c>
      <c r="J217" s="19" t="str">
        <f t="shared" si="10"/>
        <v>HiGrad-HiElev</v>
      </c>
    </row>
    <row r="218" spans="1:10" x14ac:dyDescent="0.25">
      <c r="A218" s="25" t="s">
        <v>178</v>
      </c>
      <c r="B218" t="s">
        <v>103</v>
      </c>
      <c r="C218" t="s">
        <v>106</v>
      </c>
      <c r="D218" s="8" t="s">
        <v>17</v>
      </c>
      <c r="E218">
        <v>10</v>
      </c>
      <c r="F218" t="s">
        <v>107</v>
      </c>
      <c r="G218" t="b">
        <v>1</v>
      </c>
      <c r="I218" s="19" t="str">
        <f t="shared" si="9"/>
        <v>HiGrad-HiElev</v>
      </c>
      <c r="J218" s="19" t="str">
        <f t="shared" si="10"/>
        <v>HiGrad-HiElev</v>
      </c>
    </row>
    <row r="219" spans="1:10" x14ac:dyDescent="0.25">
      <c r="A219" s="25" t="s">
        <v>178</v>
      </c>
      <c r="B219" t="s">
        <v>103</v>
      </c>
      <c r="C219" t="s">
        <v>113</v>
      </c>
      <c r="D219" s="8" t="s">
        <v>17</v>
      </c>
      <c r="E219">
        <v>10</v>
      </c>
      <c r="F219" t="s">
        <v>108</v>
      </c>
      <c r="G219" t="b">
        <v>1</v>
      </c>
      <c r="I219" s="19" t="str">
        <f t="shared" si="9"/>
        <v>HiGrad-HiElev</v>
      </c>
      <c r="J219" s="19" t="str">
        <f t="shared" si="10"/>
        <v>HiGrad-HiElev</v>
      </c>
    </row>
    <row r="220" spans="1:10" x14ac:dyDescent="0.25">
      <c r="A220" s="25" t="s">
        <v>178</v>
      </c>
      <c r="B220" t="s">
        <v>119</v>
      </c>
      <c r="C220" s="27" t="s">
        <v>14</v>
      </c>
      <c r="D220" s="8" t="s">
        <v>15</v>
      </c>
      <c r="E220">
        <v>600</v>
      </c>
      <c r="F220" t="s">
        <v>61</v>
      </c>
      <c r="G220" t="b">
        <v>1</v>
      </c>
      <c r="H220" t="s">
        <v>118</v>
      </c>
      <c r="I220" s="19" t="str">
        <f>B220</f>
        <v>LoGrad-LoElev</v>
      </c>
      <c r="J220" s="19" t="str">
        <f>B220</f>
        <v>LoGrad-LoElev</v>
      </c>
    </row>
    <row r="221" spans="1:10" x14ac:dyDescent="0.25">
      <c r="A221" s="25" t="s">
        <v>178</v>
      </c>
      <c r="B221" t="s">
        <v>119</v>
      </c>
      <c r="C221" s="27" t="s">
        <v>14</v>
      </c>
      <c r="D221" s="8" t="s">
        <v>16</v>
      </c>
      <c r="E221">
        <v>450</v>
      </c>
      <c r="F221" t="s">
        <v>38</v>
      </c>
      <c r="G221" t="b">
        <v>1</v>
      </c>
      <c r="H221" t="s">
        <v>118</v>
      </c>
      <c r="I221" s="19" t="str">
        <f>B221</f>
        <v>LoGrad-LoElev</v>
      </c>
      <c r="J221" s="19" t="str">
        <f>B221</f>
        <v>LoGrad-LoElev</v>
      </c>
    </row>
    <row r="222" spans="1:10" x14ac:dyDescent="0.25">
      <c r="A222" s="25" t="s">
        <v>178</v>
      </c>
      <c r="B222" t="s">
        <v>119</v>
      </c>
      <c r="C222" t="s">
        <v>150</v>
      </c>
      <c r="D222" s="8" t="s">
        <v>15</v>
      </c>
      <c r="E222">
        <v>0.7</v>
      </c>
      <c r="F222" t="s">
        <v>112</v>
      </c>
      <c r="G222" t="b">
        <v>0</v>
      </c>
      <c r="H222" t="s">
        <v>120</v>
      </c>
      <c r="I222" s="19" t="str">
        <f t="shared" si="9"/>
        <v>LoGrad-LoElev</v>
      </c>
      <c r="J222" s="19" t="str">
        <f t="shared" si="10"/>
        <v>LoGrad-LoElev</v>
      </c>
    </row>
    <row r="223" spans="1:10" x14ac:dyDescent="0.25">
      <c r="A223" s="25" t="s">
        <v>178</v>
      </c>
      <c r="B223" t="s">
        <v>119</v>
      </c>
      <c r="C223" t="s">
        <v>138</v>
      </c>
      <c r="D223" s="8" t="s">
        <v>16</v>
      </c>
      <c r="E223">
        <v>5</v>
      </c>
      <c r="F223" t="s">
        <v>139</v>
      </c>
      <c r="G223" t="b">
        <v>0</v>
      </c>
      <c r="H223" t="s">
        <v>118</v>
      </c>
      <c r="I223" s="19" t="str">
        <f t="shared" si="9"/>
        <v>LoGrad-LoElev</v>
      </c>
      <c r="J223" s="19" t="str">
        <f t="shared" si="10"/>
        <v>LoGrad-LoElev</v>
      </c>
    </row>
    <row r="224" spans="1:10" x14ac:dyDescent="0.25">
      <c r="A224" s="25" t="s">
        <v>178</v>
      </c>
      <c r="B224" t="s">
        <v>119</v>
      </c>
      <c r="C224" t="s">
        <v>138</v>
      </c>
      <c r="D224" s="8" t="s">
        <v>15</v>
      </c>
      <c r="E224">
        <v>260</v>
      </c>
      <c r="F224" t="s">
        <v>140</v>
      </c>
      <c r="G224" t="b">
        <v>0</v>
      </c>
      <c r="H224" t="s">
        <v>118</v>
      </c>
      <c r="I224" s="19" t="str">
        <f t="shared" si="9"/>
        <v>LoGrad-LoElev</v>
      </c>
      <c r="J224" s="19" t="str">
        <f t="shared" si="10"/>
        <v>LoGrad-LoElev</v>
      </c>
    </row>
    <row r="225" spans="1:10" x14ac:dyDescent="0.25">
      <c r="A225" s="25" t="s">
        <v>178</v>
      </c>
      <c r="B225" t="s">
        <v>119</v>
      </c>
      <c r="C225" t="s">
        <v>104</v>
      </c>
      <c r="D225" s="8" t="s">
        <v>16</v>
      </c>
      <c r="E225">
        <v>1000</v>
      </c>
      <c r="F225" t="s">
        <v>105</v>
      </c>
      <c r="G225" t="b">
        <v>0</v>
      </c>
      <c r="H225" t="s">
        <v>118</v>
      </c>
      <c r="I225" s="19" t="str">
        <f t="shared" si="9"/>
        <v>LoGrad-LoElev</v>
      </c>
      <c r="J225" s="19" t="str">
        <f t="shared" si="10"/>
        <v>LoGrad-LoElev</v>
      </c>
    </row>
    <row r="226" spans="1:10" x14ac:dyDescent="0.25">
      <c r="A226" s="25" t="s">
        <v>178</v>
      </c>
      <c r="B226" t="s">
        <v>119</v>
      </c>
      <c r="C226" t="s">
        <v>56</v>
      </c>
      <c r="D226" s="8" t="s">
        <v>16</v>
      </c>
      <c r="E226">
        <v>6</v>
      </c>
      <c r="F226" t="s">
        <v>57</v>
      </c>
      <c r="G226" t="b">
        <v>0</v>
      </c>
      <c r="H226" t="s">
        <v>118</v>
      </c>
      <c r="I226" s="19" t="str">
        <f t="shared" si="9"/>
        <v>LoGrad-LoElev</v>
      </c>
      <c r="J226" s="19" t="str">
        <f t="shared" si="10"/>
        <v>LoGrad-LoElev</v>
      </c>
    </row>
    <row r="227" spans="1:10" x14ac:dyDescent="0.25">
      <c r="A227" s="25" t="s">
        <v>178</v>
      </c>
      <c r="B227" t="s">
        <v>119</v>
      </c>
      <c r="C227" t="s">
        <v>56</v>
      </c>
      <c r="D227" s="8" t="s">
        <v>15</v>
      </c>
      <c r="E227">
        <v>10</v>
      </c>
      <c r="F227" t="s">
        <v>58</v>
      </c>
      <c r="G227" t="b">
        <v>0</v>
      </c>
      <c r="H227" t="s">
        <v>118</v>
      </c>
      <c r="I227" s="19" t="str">
        <f t="shared" si="9"/>
        <v>LoGrad-LoElev</v>
      </c>
      <c r="J227" s="19" t="str">
        <f t="shared" si="10"/>
        <v>LoGrad-LoElev</v>
      </c>
    </row>
    <row r="228" spans="1:10" x14ac:dyDescent="0.25">
      <c r="A228" s="25" t="s">
        <v>178</v>
      </c>
      <c r="B228" t="s">
        <v>119</v>
      </c>
      <c r="C228" t="s">
        <v>59</v>
      </c>
      <c r="D228" s="8" t="s">
        <v>16</v>
      </c>
      <c r="E228">
        <v>8</v>
      </c>
      <c r="F228" t="s">
        <v>60</v>
      </c>
      <c r="G228" t="b">
        <v>0</v>
      </c>
      <c r="H228" t="s">
        <v>118</v>
      </c>
      <c r="I228" s="19" t="str">
        <f t="shared" ref="I228:I289" si="11">B228</f>
        <v>LoGrad-LoElev</v>
      </c>
      <c r="J228" s="19" t="str">
        <f t="shared" ref="J228:J289" si="12">B228</f>
        <v>LoGrad-LoElev</v>
      </c>
    </row>
    <row r="229" spans="1:10" x14ac:dyDescent="0.25">
      <c r="A229" s="25" t="s">
        <v>178</v>
      </c>
      <c r="B229" t="s">
        <v>119</v>
      </c>
      <c r="C229" t="s">
        <v>62</v>
      </c>
      <c r="D229" s="8" t="s">
        <v>17</v>
      </c>
      <c r="E229">
        <v>75</v>
      </c>
      <c r="F229" t="s">
        <v>63</v>
      </c>
      <c r="G229" t="b">
        <v>0</v>
      </c>
      <c r="H229" t="s">
        <v>118</v>
      </c>
      <c r="I229" s="19" t="str">
        <f t="shared" si="11"/>
        <v>LoGrad-LoElev</v>
      </c>
      <c r="J229" s="19" t="str">
        <f t="shared" si="12"/>
        <v>LoGrad-LoElev</v>
      </c>
    </row>
    <row r="230" spans="1:10" x14ac:dyDescent="0.25">
      <c r="A230" s="25" t="s">
        <v>178</v>
      </c>
      <c r="B230" t="s">
        <v>119</v>
      </c>
      <c r="C230" t="s">
        <v>48</v>
      </c>
      <c r="D230" s="8" t="s">
        <v>16</v>
      </c>
      <c r="E230">
        <v>1000</v>
      </c>
      <c r="F230" t="s">
        <v>64</v>
      </c>
      <c r="G230" t="b">
        <v>0</v>
      </c>
      <c r="H230" t="s">
        <v>118</v>
      </c>
      <c r="I230" s="19" t="str">
        <f t="shared" si="11"/>
        <v>LoGrad-LoElev</v>
      </c>
      <c r="J230" s="19" t="str">
        <f t="shared" si="12"/>
        <v>LoGrad-LoElev</v>
      </c>
    </row>
    <row r="231" spans="1:10" x14ac:dyDescent="0.25">
      <c r="A231" s="25" t="s">
        <v>178</v>
      </c>
      <c r="B231" t="s">
        <v>119</v>
      </c>
      <c r="C231" t="s">
        <v>51</v>
      </c>
      <c r="D231" s="8" t="s">
        <v>17</v>
      </c>
      <c r="E231">
        <v>50</v>
      </c>
      <c r="F231" t="s">
        <v>65</v>
      </c>
      <c r="G231" t="b">
        <v>1</v>
      </c>
      <c r="H231" t="s">
        <v>118</v>
      </c>
      <c r="I231" s="19" t="str">
        <f t="shared" si="11"/>
        <v>LoGrad-LoElev</v>
      </c>
      <c r="J231" s="19" t="str">
        <f t="shared" si="12"/>
        <v>LoGrad-LoElev</v>
      </c>
    </row>
    <row r="232" spans="1:10" x14ac:dyDescent="0.25">
      <c r="A232" s="25" t="s">
        <v>178</v>
      </c>
      <c r="B232" t="s">
        <v>119</v>
      </c>
      <c r="C232" t="s">
        <v>66</v>
      </c>
      <c r="D232" s="8" t="s">
        <v>17</v>
      </c>
      <c r="E232">
        <v>35</v>
      </c>
      <c r="F232" t="s">
        <v>67</v>
      </c>
      <c r="G232" t="b">
        <v>1</v>
      </c>
      <c r="H232" t="s">
        <v>118</v>
      </c>
      <c r="I232" s="19" t="str">
        <f t="shared" si="11"/>
        <v>LoGrad-LoElev</v>
      </c>
      <c r="J232" s="19" t="str">
        <f t="shared" si="12"/>
        <v>LoGrad-LoElev</v>
      </c>
    </row>
    <row r="233" spans="1:10" x14ac:dyDescent="0.25">
      <c r="A233" s="25" t="s">
        <v>178</v>
      </c>
      <c r="B233" t="s">
        <v>119</v>
      </c>
      <c r="C233" t="s">
        <v>68</v>
      </c>
      <c r="D233" s="8" t="s">
        <v>17</v>
      </c>
      <c r="E233">
        <v>10</v>
      </c>
      <c r="F233" t="s">
        <v>69</v>
      </c>
      <c r="G233" t="b">
        <v>1</v>
      </c>
      <c r="H233" t="s">
        <v>118</v>
      </c>
      <c r="I233" s="19" t="str">
        <f t="shared" si="11"/>
        <v>LoGrad-LoElev</v>
      </c>
      <c r="J233" s="19" t="str">
        <f t="shared" si="12"/>
        <v>LoGrad-LoElev</v>
      </c>
    </row>
    <row r="234" spans="1:10" x14ac:dyDescent="0.25">
      <c r="A234" s="25" t="s">
        <v>178</v>
      </c>
      <c r="B234" t="s">
        <v>119</v>
      </c>
      <c r="C234" t="s">
        <v>70</v>
      </c>
      <c r="D234" s="8" t="s">
        <v>17</v>
      </c>
      <c r="E234">
        <v>25</v>
      </c>
      <c r="F234" t="s">
        <v>71</v>
      </c>
      <c r="G234" t="b">
        <v>1</v>
      </c>
      <c r="H234" t="s">
        <v>118</v>
      </c>
      <c r="I234" s="19" t="str">
        <f t="shared" si="11"/>
        <v>LoGrad-LoElev</v>
      </c>
      <c r="J234" s="19" t="str">
        <f t="shared" si="12"/>
        <v>LoGrad-LoElev</v>
      </c>
    </row>
    <row r="235" spans="1:10" x14ac:dyDescent="0.25">
      <c r="A235" s="25" t="s">
        <v>178</v>
      </c>
      <c r="B235" t="s">
        <v>119</v>
      </c>
      <c r="C235" t="s">
        <v>72</v>
      </c>
      <c r="D235" s="8" t="s">
        <v>96</v>
      </c>
      <c r="E235">
        <v>0</v>
      </c>
      <c r="F235" t="s">
        <v>73</v>
      </c>
      <c r="G235" t="b">
        <v>1</v>
      </c>
      <c r="H235" t="s">
        <v>118</v>
      </c>
      <c r="I235" s="19" t="str">
        <f t="shared" si="11"/>
        <v>LoGrad-LoElev</v>
      </c>
      <c r="J235" s="19" t="str">
        <f t="shared" si="12"/>
        <v>LoGrad-LoElev</v>
      </c>
    </row>
    <row r="236" spans="1:10" x14ac:dyDescent="0.25">
      <c r="A236" s="25" t="s">
        <v>178</v>
      </c>
      <c r="B236" t="s">
        <v>119</v>
      </c>
      <c r="C236" t="s">
        <v>74</v>
      </c>
      <c r="D236" s="8" t="s">
        <v>96</v>
      </c>
      <c r="E236">
        <v>0</v>
      </c>
      <c r="F236" t="s">
        <v>75</v>
      </c>
      <c r="G236" t="b">
        <v>1</v>
      </c>
      <c r="H236" t="s">
        <v>118</v>
      </c>
      <c r="I236" s="19" t="str">
        <f t="shared" si="11"/>
        <v>LoGrad-LoElev</v>
      </c>
      <c r="J236" s="19" t="str">
        <f t="shared" si="12"/>
        <v>LoGrad-LoElev</v>
      </c>
    </row>
    <row r="237" spans="1:10" x14ac:dyDescent="0.25">
      <c r="A237" s="25" t="s">
        <v>178</v>
      </c>
      <c r="B237" t="s">
        <v>119</v>
      </c>
      <c r="C237" t="s">
        <v>76</v>
      </c>
      <c r="D237" s="8" t="s">
        <v>96</v>
      </c>
      <c r="E237">
        <v>0</v>
      </c>
      <c r="F237" t="s">
        <v>77</v>
      </c>
      <c r="G237" t="b">
        <v>1</v>
      </c>
      <c r="H237" t="s">
        <v>118</v>
      </c>
      <c r="I237" s="19" t="str">
        <f t="shared" si="11"/>
        <v>LoGrad-LoElev</v>
      </c>
      <c r="J237" s="19" t="str">
        <f t="shared" si="12"/>
        <v>LoGrad-LoElev</v>
      </c>
    </row>
    <row r="238" spans="1:10" x14ac:dyDescent="0.25">
      <c r="A238" s="25" t="s">
        <v>178</v>
      </c>
      <c r="B238" t="s">
        <v>119</v>
      </c>
      <c r="C238" t="s">
        <v>78</v>
      </c>
      <c r="D238" s="8" t="s">
        <v>96</v>
      </c>
      <c r="E238">
        <v>0</v>
      </c>
      <c r="F238" t="s">
        <v>79</v>
      </c>
      <c r="G238" t="b">
        <v>1</v>
      </c>
      <c r="H238" t="s">
        <v>118</v>
      </c>
      <c r="I238" s="19" t="str">
        <f t="shared" si="11"/>
        <v>LoGrad-LoElev</v>
      </c>
      <c r="J238" s="19" t="str">
        <f t="shared" si="12"/>
        <v>LoGrad-LoElev</v>
      </c>
    </row>
    <row r="239" spans="1:10" x14ac:dyDescent="0.25">
      <c r="A239" s="25" t="s">
        <v>178</v>
      </c>
      <c r="B239" t="s">
        <v>119</v>
      </c>
      <c r="C239" t="s">
        <v>80</v>
      </c>
      <c r="D239" s="8" t="s">
        <v>17</v>
      </c>
      <c r="E239">
        <v>50</v>
      </c>
      <c r="F239" t="s">
        <v>81</v>
      </c>
      <c r="G239" t="b">
        <v>1</v>
      </c>
      <c r="H239" t="s">
        <v>118</v>
      </c>
      <c r="I239" s="19" t="str">
        <f t="shared" si="11"/>
        <v>LoGrad-LoElev</v>
      </c>
      <c r="J239" s="19" t="str">
        <f t="shared" si="12"/>
        <v>LoGrad-LoElev</v>
      </c>
    </row>
    <row r="240" spans="1:10" x14ac:dyDescent="0.25">
      <c r="A240" s="25" t="s">
        <v>178</v>
      </c>
      <c r="B240" t="s">
        <v>119</v>
      </c>
      <c r="C240" t="s">
        <v>91</v>
      </c>
      <c r="D240" s="8" t="s">
        <v>17</v>
      </c>
      <c r="E240">
        <v>50</v>
      </c>
      <c r="F240" t="s">
        <v>82</v>
      </c>
      <c r="G240" t="b">
        <v>1</v>
      </c>
      <c r="H240" t="s">
        <v>118</v>
      </c>
      <c r="I240" s="19" t="str">
        <f t="shared" si="11"/>
        <v>LoGrad-LoElev</v>
      </c>
      <c r="J240" s="19" t="str">
        <f t="shared" si="12"/>
        <v>LoGrad-LoElev</v>
      </c>
    </row>
    <row r="241" spans="1:10" x14ac:dyDescent="0.25">
      <c r="A241" s="25" t="s">
        <v>178</v>
      </c>
      <c r="B241" t="s">
        <v>119</v>
      </c>
      <c r="C241" t="s">
        <v>83</v>
      </c>
      <c r="D241" s="8" t="s">
        <v>17</v>
      </c>
      <c r="E241">
        <v>30</v>
      </c>
      <c r="F241" t="s">
        <v>84</v>
      </c>
      <c r="G241" t="b">
        <v>1</v>
      </c>
      <c r="H241" t="s">
        <v>118</v>
      </c>
      <c r="I241" s="19" t="str">
        <f t="shared" si="11"/>
        <v>LoGrad-LoElev</v>
      </c>
      <c r="J241" s="19" t="str">
        <f t="shared" si="12"/>
        <v>LoGrad-LoElev</v>
      </c>
    </row>
    <row r="242" spans="1:10" x14ac:dyDescent="0.25">
      <c r="A242" s="25" t="s">
        <v>178</v>
      </c>
      <c r="B242" t="s">
        <v>119</v>
      </c>
      <c r="C242" t="s">
        <v>85</v>
      </c>
      <c r="D242" s="8" t="s">
        <v>17</v>
      </c>
      <c r="E242">
        <v>10</v>
      </c>
      <c r="F242" t="s">
        <v>86</v>
      </c>
      <c r="G242" t="b">
        <v>1</v>
      </c>
      <c r="H242" t="s">
        <v>118</v>
      </c>
      <c r="I242" s="19" t="str">
        <f t="shared" si="11"/>
        <v>LoGrad-LoElev</v>
      </c>
      <c r="J242" s="19" t="str">
        <f t="shared" si="12"/>
        <v>LoGrad-LoElev</v>
      </c>
    </row>
    <row r="243" spans="1:10" x14ac:dyDescent="0.25">
      <c r="A243" s="25" t="s">
        <v>178</v>
      </c>
      <c r="B243" t="s">
        <v>119</v>
      </c>
      <c r="C243" t="s">
        <v>87</v>
      </c>
      <c r="D243" s="8" t="s">
        <v>17</v>
      </c>
      <c r="E243">
        <v>10</v>
      </c>
      <c r="F243" t="s">
        <v>88</v>
      </c>
      <c r="G243" t="b">
        <v>1</v>
      </c>
      <c r="H243" t="s">
        <v>118</v>
      </c>
      <c r="I243" s="19" t="str">
        <f t="shared" si="11"/>
        <v>LoGrad-LoElev</v>
      </c>
      <c r="J243" s="19" t="str">
        <f t="shared" si="12"/>
        <v>LoGrad-LoElev</v>
      </c>
    </row>
    <row r="244" spans="1:10" x14ac:dyDescent="0.25">
      <c r="A244" s="25" t="s">
        <v>178</v>
      </c>
      <c r="B244" t="s">
        <v>119</v>
      </c>
      <c r="C244" t="s">
        <v>89</v>
      </c>
      <c r="D244" s="8" t="s">
        <v>15</v>
      </c>
      <c r="E244">
        <v>0</v>
      </c>
      <c r="F244" t="s">
        <v>49</v>
      </c>
      <c r="G244" t="b">
        <v>1</v>
      </c>
      <c r="H244" t="s">
        <v>118</v>
      </c>
      <c r="I244" s="19" t="str">
        <f t="shared" si="11"/>
        <v>LoGrad-LoElev</v>
      </c>
      <c r="J244" s="19" t="str">
        <f t="shared" si="12"/>
        <v>LoGrad-LoElev</v>
      </c>
    </row>
    <row r="245" spans="1:10" x14ac:dyDescent="0.25">
      <c r="A245" s="25" t="s">
        <v>178</v>
      </c>
      <c r="B245" t="s">
        <v>119</v>
      </c>
      <c r="C245" t="s">
        <v>101</v>
      </c>
      <c r="D245" s="8" t="s">
        <v>15</v>
      </c>
      <c r="E245">
        <v>0</v>
      </c>
      <c r="F245" t="s">
        <v>102</v>
      </c>
      <c r="G245" t="b">
        <v>1</v>
      </c>
      <c r="H245" t="s">
        <v>118</v>
      </c>
      <c r="I245" s="19" t="str">
        <f t="shared" si="11"/>
        <v>LoGrad-LoElev</v>
      </c>
      <c r="J245" s="19" t="str">
        <f t="shared" si="12"/>
        <v>LoGrad-LoElev</v>
      </c>
    </row>
    <row r="246" spans="1:10" x14ac:dyDescent="0.25">
      <c r="A246" s="25" t="s">
        <v>178</v>
      </c>
      <c r="B246" t="s">
        <v>119</v>
      </c>
      <c r="C246" t="s">
        <v>106</v>
      </c>
      <c r="D246" s="8" t="s">
        <v>17</v>
      </c>
      <c r="E246">
        <v>10</v>
      </c>
      <c r="F246" t="s">
        <v>107</v>
      </c>
      <c r="G246" t="b">
        <v>1</v>
      </c>
      <c r="H246" t="s">
        <v>118</v>
      </c>
      <c r="I246" s="19" t="str">
        <f t="shared" si="11"/>
        <v>LoGrad-LoElev</v>
      </c>
      <c r="J246" s="19" t="str">
        <f t="shared" si="12"/>
        <v>LoGrad-LoElev</v>
      </c>
    </row>
    <row r="247" spans="1:10" x14ac:dyDescent="0.25">
      <c r="A247" s="25" t="s">
        <v>178</v>
      </c>
      <c r="B247" t="s">
        <v>119</v>
      </c>
      <c r="C247" t="s">
        <v>113</v>
      </c>
      <c r="D247" s="8" t="s">
        <v>17</v>
      </c>
      <c r="E247">
        <v>10</v>
      </c>
      <c r="F247" t="s">
        <v>108</v>
      </c>
      <c r="G247" t="b">
        <v>1</v>
      </c>
      <c r="H247" t="s">
        <v>118</v>
      </c>
      <c r="I247" s="19" t="str">
        <f t="shared" si="11"/>
        <v>LoGrad-LoElev</v>
      </c>
      <c r="J247" s="19" t="str">
        <f t="shared" si="12"/>
        <v>LoGrad-LoElev</v>
      </c>
    </row>
    <row r="248" spans="1:10" x14ac:dyDescent="0.25">
      <c r="A248" s="26" t="s">
        <v>179</v>
      </c>
      <c r="B248" t="s">
        <v>54</v>
      </c>
      <c r="C248" s="27" t="s">
        <v>14</v>
      </c>
      <c r="D248" s="8" t="s">
        <v>15</v>
      </c>
      <c r="E248">
        <v>600</v>
      </c>
      <c r="F248" t="s">
        <v>61</v>
      </c>
      <c r="G248" t="b">
        <v>1</v>
      </c>
      <c r="I248" s="19" t="str">
        <f>B248</f>
        <v>HiGrad-LoElev</v>
      </c>
      <c r="J248" s="19" t="str">
        <f>B248</f>
        <v>HiGrad-LoElev</v>
      </c>
    </row>
    <row r="249" spans="1:10" x14ac:dyDescent="0.25">
      <c r="A249" s="26" t="s">
        <v>179</v>
      </c>
      <c r="B249" t="s">
        <v>54</v>
      </c>
      <c r="C249" s="27" t="s">
        <v>14</v>
      </c>
      <c r="D249" s="8" t="s">
        <v>16</v>
      </c>
      <c r="E249">
        <v>450</v>
      </c>
      <c r="F249" t="s">
        <v>38</v>
      </c>
      <c r="G249" t="b">
        <v>1</v>
      </c>
      <c r="I249" s="19" t="str">
        <f>B249</f>
        <v>HiGrad-LoElev</v>
      </c>
      <c r="J249" s="19" t="str">
        <f>B249</f>
        <v>HiGrad-LoElev</v>
      </c>
    </row>
    <row r="250" spans="1:10" x14ac:dyDescent="0.25">
      <c r="A250" s="26" t="s">
        <v>179</v>
      </c>
      <c r="B250" t="s">
        <v>54</v>
      </c>
      <c r="C250" t="s">
        <v>150</v>
      </c>
      <c r="D250" s="8" t="s">
        <v>17</v>
      </c>
      <c r="E250">
        <v>5</v>
      </c>
      <c r="F250" t="s">
        <v>55</v>
      </c>
      <c r="G250" t="b">
        <v>0</v>
      </c>
      <c r="I250" s="19" t="str">
        <f t="shared" si="11"/>
        <v>HiGrad-LoElev</v>
      </c>
      <c r="J250" s="19" t="str">
        <f t="shared" si="12"/>
        <v>HiGrad-LoElev</v>
      </c>
    </row>
    <row r="251" spans="1:10" x14ac:dyDescent="0.25">
      <c r="A251" s="26" t="s">
        <v>179</v>
      </c>
      <c r="B251" t="s">
        <v>54</v>
      </c>
      <c r="C251" t="s">
        <v>150</v>
      </c>
      <c r="D251" s="8" t="s">
        <v>16</v>
      </c>
      <c r="E251">
        <v>1.2</v>
      </c>
      <c r="F251" t="s">
        <v>116</v>
      </c>
      <c r="G251" t="b">
        <v>0</v>
      </c>
      <c r="H251" t="s">
        <v>115</v>
      </c>
      <c r="I251" s="19" t="str">
        <f t="shared" si="11"/>
        <v>HiGrad-LoElev</v>
      </c>
      <c r="J251" s="19" t="str">
        <f t="shared" si="12"/>
        <v>HiGrad-LoElev</v>
      </c>
    </row>
    <row r="252" spans="1:10" x14ac:dyDescent="0.25">
      <c r="A252" s="26" t="s">
        <v>179</v>
      </c>
      <c r="B252" t="s">
        <v>54</v>
      </c>
      <c r="C252" t="s">
        <v>138</v>
      </c>
      <c r="D252" s="8" t="s">
        <v>16</v>
      </c>
      <c r="E252">
        <v>5</v>
      </c>
      <c r="F252" t="s">
        <v>139</v>
      </c>
      <c r="G252" t="b">
        <v>0</v>
      </c>
      <c r="I252" s="19" t="str">
        <f t="shared" si="11"/>
        <v>HiGrad-LoElev</v>
      </c>
      <c r="J252" s="19" t="str">
        <f t="shared" si="12"/>
        <v>HiGrad-LoElev</v>
      </c>
    </row>
    <row r="253" spans="1:10" x14ac:dyDescent="0.25">
      <c r="A253" s="26" t="s">
        <v>179</v>
      </c>
      <c r="B253" t="s">
        <v>54</v>
      </c>
      <c r="C253" t="s">
        <v>138</v>
      </c>
      <c r="D253" s="8" t="s">
        <v>15</v>
      </c>
      <c r="E253">
        <v>260</v>
      </c>
      <c r="F253" t="s">
        <v>140</v>
      </c>
      <c r="G253" t="b">
        <v>0</v>
      </c>
      <c r="I253" s="19" t="str">
        <f t="shared" si="11"/>
        <v>HiGrad-LoElev</v>
      </c>
      <c r="J253" s="19" t="str">
        <f t="shared" si="12"/>
        <v>HiGrad-LoElev</v>
      </c>
    </row>
    <row r="254" spans="1:10" x14ac:dyDescent="0.25">
      <c r="A254" s="26" t="s">
        <v>179</v>
      </c>
      <c r="B254" t="s">
        <v>54</v>
      </c>
      <c r="C254" t="s">
        <v>56</v>
      </c>
      <c r="D254" s="8" t="s">
        <v>16</v>
      </c>
      <c r="E254">
        <v>6</v>
      </c>
      <c r="F254" t="s">
        <v>57</v>
      </c>
      <c r="G254" t="b">
        <v>0</v>
      </c>
      <c r="I254" s="19" t="str">
        <f t="shared" si="11"/>
        <v>HiGrad-LoElev</v>
      </c>
      <c r="J254" s="19" t="str">
        <f t="shared" si="12"/>
        <v>HiGrad-LoElev</v>
      </c>
    </row>
    <row r="255" spans="1:10" x14ac:dyDescent="0.25">
      <c r="A255" s="26" t="s">
        <v>179</v>
      </c>
      <c r="B255" t="s">
        <v>54</v>
      </c>
      <c r="C255" t="s">
        <v>56</v>
      </c>
      <c r="D255" s="8" t="s">
        <v>15</v>
      </c>
      <c r="E255">
        <v>10</v>
      </c>
      <c r="F255" t="s">
        <v>58</v>
      </c>
      <c r="G255" t="b">
        <v>0</v>
      </c>
      <c r="I255" s="19" t="str">
        <f t="shared" si="11"/>
        <v>HiGrad-LoElev</v>
      </c>
      <c r="J255" s="19" t="str">
        <f t="shared" si="12"/>
        <v>HiGrad-LoElev</v>
      </c>
    </row>
    <row r="256" spans="1:10" x14ac:dyDescent="0.25">
      <c r="A256" s="26" t="s">
        <v>179</v>
      </c>
      <c r="B256" t="s">
        <v>54</v>
      </c>
      <c r="C256" t="s">
        <v>59</v>
      </c>
      <c r="D256" s="8" t="s">
        <v>16</v>
      </c>
      <c r="E256">
        <v>8</v>
      </c>
      <c r="F256" t="s">
        <v>60</v>
      </c>
      <c r="G256" t="b">
        <v>0</v>
      </c>
      <c r="I256" s="19" t="str">
        <f t="shared" si="11"/>
        <v>HiGrad-LoElev</v>
      </c>
      <c r="J256" s="19" t="str">
        <f t="shared" si="12"/>
        <v>HiGrad-LoElev</v>
      </c>
    </row>
    <row r="257" spans="1:10" x14ac:dyDescent="0.25">
      <c r="A257" s="26" t="s">
        <v>179</v>
      </c>
      <c r="B257" t="s">
        <v>54</v>
      </c>
      <c r="C257" t="s">
        <v>62</v>
      </c>
      <c r="D257" s="8" t="s">
        <v>17</v>
      </c>
      <c r="E257">
        <v>75</v>
      </c>
      <c r="F257" t="s">
        <v>63</v>
      </c>
      <c r="G257" t="b">
        <v>0</v>
      </c>
      <c r="I257" s="19" t="str">
        <f t="shared" si="11"/>
        <v>HiGrad-LoElev</v>
      </c>
      <c r="J257" s="19" t="str">
        <f t="shared" si="12"/>
        <v>HiGrad-LoElev</v>
      </c>
    </row>
    <row r="258" spans="1:10" x14ac:dyDescent="0.25">
      <c r="A258" s="26" t="s">
        <v>179</v>
      </c>
      <c r="B258" t="s">
        <v>54</v>
      </c>
      <c r="C258" t="s">
        <v>48</v>
      </c>
      <c r="D258" s="8" t="s">
        <v>16</v>
      </c>
      <c r="E258">
        <v>1000</v>
      </c>
      <c r="F258" t="s">
        <v>64</v>
      </c>
      <c r="G258" t="b">
        <v>0</v>
      </c>
      <c r="I258" s="19" t="str">
        <f t="shared" si="11"/>
        <v>HiGrad-LoElev</v>
      </c>
      <c r="J258" s="19" t="str">
        <f t="shared" si="12"/>
        <v>HiGrad-LoElev</v>
      </c>
    </row>
    <row r="259" spans="1:10" x14ac:dyDescent="0.25">
      <c r="A259" s="26" t="s">
        <v>179</v>
      </c>
      <c r="B259" t="s">
        <v>54</v>
      </c>
      <c r="C259" t="s">
        <v>51</v>
      </c>
      <c r="D259" s="8" t="s">
        <v>17</v>
      </c>
      <c r="E259">
        <v>50</v>
      </c>
      <c r="F259" t="s">
        <v>65</v>
      </c>
      <c r="G259" t="b">
        <v>1</v>
      </c>
      <c r="I259" s="19" t="str">
        <f t="shared" si="11"/>
        <v>HiGrad-LoElev</v>
      </c>
      <c r="J259" s="19" t="str">
        <f t="shared" si="12"/>
        <v>HiGrad-LoElev</v>
      </c>
    </row>
    <row r="260" spans="1:10" x14ac:dyDescent="0.25">
      <c r="A260" s="26" t="s">
        <v>179</v>
      </c>
      <c r="B260" t="s">
        <v>54</v>
      </c>
      <c r="C260" t="s">
        <v>66</v>
      </c>
      <c r="D260" s="8" t="s">
        <v>17</v>
      </c>
      <c r="E260" s="17">
        <v>35</v>
      </c>
      <c r="F260" t="s">
        <v>67</v>
      </c>
      <c r="G260" t="b">
        <v>1</v>
      </c>
      <c r="H260" t="s">
        <v>110</v>
      </c>
      <c r="I260" s="19" t="str">
        <f t="shared" si="11"/>
        <v>HiGrad-LoElev</v>
      </c>
      <c r="J260" s="19" t="str">
        <f t="shared" si="12"/>
        <v>HiGrad-LoElev</v>
      </c>
    </row>
    <row r="261" spans="1:10" x14ac:dyDescent="0.25">
      <c r="A261" s="26" t="s">
        <v>179</v>
      </c>
      <c r="B261" t="s">
        <v>54</v>
      </c>
      <c r="C261" t="s">
        <v>68</v>
      </c>
      <c r="D261" s="8" t="s">
        <v>17</v>
      </c>
      <c r="E261">
        <v>10</v>
      </c>
      <c r="F261" t="s">
        <v>69</v>
      </c>
      <c r="G261" t="b">
        <v>1</v>
      </c>
      <c r="I261" s="19" t="str">
        <f t="shared" si="11"/>
        <v>HiGrad-LoElev</v>
      </c>
      <c r="J261" s="19" t="str">
        <f t="shared" si="12"/>
        <v>HiGrad-LoElev</v>
      </c>
    </row>
    <row r="262" spans="1:10" x14ac:dyDescent="0.25">
      <c r="A262" s="26" t="s">
        <v>179</v>
      </c>
      <c r="B262" t="s">
        <v>54</v>
      </c>
      <c r="C262" t="s">
        <v>70</v>
      </c>
      <c r="D262" s="8" t="s">
        <v>17</v>
      </c>
      <c r="E262">
        <v>25</v>
      </c>
      <c r="F262" t="s">
        <v>71</v>
      </c>
      <c r="G262" t="b">
        <v>1</v>
      </c>
      <c r="I262" s="19" t="str">
        <f t="shared" si="11"/>
        <v>HiGrad-LoElev</v>
      </c>
      <c r="J262" s="19" t="str">
        <f t="shared" si="12"/>
        <v>HiGrad-LoElev</v>
      </c>
    </row>
    <row r="263" spans="1:10" x14ac:dyDescent="0.25">
      <c r="A263" s="26" t="s">
        <v>179</v>
      </c>
      <c r="B263" t="s">
        <v>54</v>
      </c>
      <c r="C263" t="s">
        <v>72</v>
      </c>
      <c r="D263" s="20" t="s">
        <v>96</v>
      </c>
      <c r="E263">
        <v>0</v>
      </c>
      <c r="F263" t="s">
        <v>73</v>
      </c>
      <c r="G263" t="b">
        <v>1</v>
      </c>
      <c r="I263" s="19" t="str">
        <f t="shared" si="11"/>
        <v>HiGrad-LoElev</v>
      </c>
      <c r="J263" s="19" t="str">
        <f t="shared" si="12"/>
        <v>HiGrad-LoElev</v>
      </c>
    </row>
    <row r="264" spans="1:10" x14ac:dyDescent="0.25">
      <c r="A264" s="26" t="s">
        <v>179</v>
      </c>
      <c r="B264" t="s">
        <v>54</v>
      </c>
      <c r="C264" t="s">
        <v>74</v>
      </c>
      <c r="D264" s="20" t="s">
        <v>96</v>
      </c>
      <c r="E264">
        <v>0</v>
      </c>
      <c r="F264" t="s">
        <v>75</v>
      </c>
      <c r="G264" t="b">
        <v>1</v>
      </c>
      <c r="I264" s="19" t="str">
        <f t="shared" si="11"/>
        <v>HiGrad-LoElev</v>
      </c>
      <c r="J264" s="19" t="str">
        <f t="shared" si="12"/>
        <v>HiGrad-LoElev</v>
      </c>
    </row>
    <row r="265" spans="1:10" x14ac:dyDescent="0.25">
      <c r="A265" s="26" t="s">
        <v>179</v>
      </c>
      <c r="B265" t="s">
        <v>54</v>
      </c>
      <c r="C265" t="s">
        <v>76</v>
      </c>
      <c r="D265" s="20" t="s">
        <v>96</v>
      </c>
      <c r="E265">
        <v>0</v>
      </c>
      <c r="F265" t="s">
        <v>77</v>
      </c>
      <c r="G265" t="b">
        <v>1</v>
      </c>
      <c r="I265" s="19" t="str">
        <f t="shared" si="11"/>
        <v>HiGrad-LoElev</v>
      </c>
      <c r="J265" s="19" t="str">
        <f t="shared" si="12"/>
        <v>HiGrad-LoElev</v>
      </c>
    </row>
    <row r="266" spans="1:10" x14ac:dyDescent="0.25">
      <c r="A266" s="26" t="s">
        <v>179</v>
      </c>
      <c r="B266" t="s">
        <v>54</v>
      </c>
      <c r="C266" t="s">
        <v>78</v>
      </c>
      <c r="D266" s="20" t="s">
        <v>96</v>
      </c>
      <c r="E266">
        <v>0</v>
      </c>
      <c r="F266" t="s">
        <v>79</v>
      </c>
      <c r="G266" t="b">
        <v>1</v>
      </c>
      <c r="I266" s="19" t="str">
        <f t="shared" si="11"/>
        <v>HiGrad-LoElev</v>
      </c>
      <c r="J266" s="19" t="str">
        <f t="shared" si="12"/>
        <v>HiGrad-LoElev</v>
      </c>
    </row>
    <row r="267" spans="1:10" x14ac:dyDescent="0.25">
      <c r="A267" s="26" t="s">
        <v>179</v>
      </c>
      <c r="B267" t="s">
        <v>54</v>
      </c>
      <c r="C267" t="s">
        <v>80</v>
      </c>
      <c r="D267" s="8" t="s">
        <v>17</v>
      </c>
      <c r="E267">
        <v>50</v>
      </c>
      <c r="F267" t="s">
        <v>81</v>
      </c>
      <c r="G267" t="b">
        <v>1</v>
      </c>
      <c r="I267" s="19" t="str">
        <f t="shared" si="11"/>
        <v>HiGrad-LoElev</v>
      </c>
      <c r="J267" s="19" t="str">
        <f t="shared" si="12"/>
        <v>HiGrad-LoElev</v>
      </c>
    </row>
    <row r="268" spans="1:10" x14ac:dyDescent="0.25">
      <c r="A268" s="26" t="s">
        <v>179</v>
      </c>
      <c r="B268" t="s">
        <v>54</v>
      </c>
      <c r="C268" t="s">
        <v>91</v>
      </c>
      <c r="D268" s="8" t="s">
        <v>17</v>
      </c>
      <c r="E268" s="17">
        <v>50</v>
      </c>
      <c r="F268" t="s">
        <v>82</v>
      </c>
      <c r="G268" t="b">
        <v>1</v>
      </c>
      <c r="H268" t="s">
        <v>110</v>
      </c>
      <c r="I268" s="19" t="str">
        <f t="shared" si="11"/>
        <v>HiGrad-LoElev</v>
      </c>
      <c r="J268" s="19" t="str">
        <f t="shared" si="12"/>
        <v>HiGrad-LoElev</v>
      </c>
    </row>
    <row r="269" spans="1:10" x14ac:dyDescent="0.25">
      <c r="A269" s="26" t="s">
        <v>179</v>
      </c>
      <c r="B269" t="s">
        <v>54</v>
      </c>
      <c r="C269" t="s">
        <v>83</v>
      </c>
      <c r="D269" s="8" t="s">
        <v>17</v>
      </c>
      <c r="E269">
        <v>30</v>
      </c>
      <c r="F269" t="s">
        <v>84</v>
      </c>
      <c r="G269" t="b">
        <v>1</v>
      </c>
      <c r="I269" s="19" t="str">
        <f t="shared" si="11"/>
        <v>HiGrad-LoElev</v>
      </c>
      <c r="J269" s="19" t="str">
        <f t="shared" si="12"/>
        <v>HiGrad-LoElev</v>
      </c>
    </row>
    <row r="270" spans="1:10" x14ac:dyDescent="0.25">
      <c r="A270" s="26" t="s">
        <v>179</v>
      </c>
      <c r="B270" t="s">
        <v>54</v>
      </c>
      <c r="C270" t="s">
        <v>85</v>
      </c>
      <c r="D270" s="8" t="s">
        <v>17</v>
      </c>
      <c r="E270">
        <v>10</v>
      </c>
      <c r="F270" t="s">
        <v>86</v>
      </c>
      <c r="G270" t="b">
        <v>1</v>
      </c>
      <c r="I270" s="19" t="str">
        <f t="shared" si="11"/>
        <v>HiGrad-LoElev</v>
      </c>
      <c r="J270" s="19" t="str">
        <f t="shared" si="12"/>
        <v>HiGrad-LoElev</v>
      </c>
    </row>
    <row r="271" spans="1:10" x14ac:dyDescent="0.25">
      <c r="A271" s="26" t="s">
        <v>179</v>
      </c>
      <c r="B271" t="s">
        <v>54</v>
      </c>
      <c r="C271" t="s">
        <v>87</v>
      </c>
      <c r="D271" s="8" t="s">
        <v>17</v>
      </c>
      <c r="E271">
        <v>10</v>
      </c>
      <c r="F271" t="s">
        <v>88</v>
      </c>
      <c r="G271" t="b">
        <v>1</v>
      </c>
      <c r="I271" s="19" t="str">
        <f t="shared" si="11"/>
        <v>HiGrad-LoElev</v>
      </c>
      <c r="J271" s="19" t="str">
        <f t="shared" si="12"/>
        <v>HiGrad-LoElev</v>
      </c>
    </row>
    <row r="272" spans="1:10" x14ac:dyDescent="0.25">
      <c r="A272" s="26" t="s">
        <v>179</v>
      </c>
      <c r="B272" t="s">
        <v>54</v>
      </c>
      <c r="C272" t="s">
        <v>89</v>
      </c>
      <c r="D272" s="8" t="s">
        <v>15</v>
      </c>
      <c r="E272">
        <v>0</v>
      </c>
      <c r="F272" t="s">
        <v>49</v>
      </c>
      <c r="G272" t="b">
        <v>1</v>
      </c>
      <c r="I272" s="19" t="str">
        <f t="shared" si="11"/>
        <v>HiGrad-LoElev</v>
      </c>
      <c r="J272" s="19" t="str">
        <f t="shared" si="12"/>
        <v>HiGrad-LoElev</v>
      </c>
    </row>
    <row r="273" spans="1:10" x14ac:dyDescent="0.25">
      <c r="A273" s="26" t="s">
        <v>179</v>
      </c>
      <c r="B273" t="s">
        <v>54</v>
      </c>
      <c r="C273" t="s">
        <v>101</v>
      </c>
      <c r="D273" s="8" t="s">
        <v>15</v>
      </c>
      <c r="E273">
        <v>0</v>
      </c>
      <c r="F273" t="s">
        <v>102</v>
      </c>
      <c r="G273" t="b">
        <v>1</v>
      </c>
      <c r="H273" t="s">
        <v>109</v>
      </c>
      <c r="I273" s="19" t="str">
        <f t="shared" si="11"/>
        <v>HiGrad-LoElev</v>
      </c>
      <c r="J273" s="19" t="str">
        <f t="shared" si="12"/>
        <v>HiGrad-LoElev</v>
      </c>
    </row>
    <row r="274" spans="1:10" x14ac:dyDescent="0.25">
      <c r="A274" s="26" t="s">
        <v>179</v>
      </c>
      <c r="B274" t="s">
        <v>54</v>
      </c>
      <c r="C274" t="s">
        <v>104</v>
      </c>
      <c r="D274" s="8" t="s">
        <v>16</v>
      </c>
      <c r="E274">
        <v>1000</v>
      </c>
      <c r="F274" t="s">
        <v>105</v>
      </c>
      <c r="G274" t="b">
        <v>0</v>
      </c>
      <c r="H274" t="s">
        <v>117</v>
      </c>
      <c r="I274" s="19" t="str">
        <f t="shared" si="11"/>
        <v>HiGrad-LoElev</v>
      </c>
      <c r="J274" s="19" t="str">
        <f t="shared" si="12"/>
        <v>HiGrad-LoElev</v>
      </c>
    </row>
    <row r="275" spans="1:10" x14ac:dyDescent="0.25">
      <c r="A275" s="26" t="s">
        <v>179</v>
      </c>
      <c r="B275" t="s">
        <v>54</v>
      </c>
      <c r="C275" t="s">
        <v>106</v>
      </c>
      <c r="D275" s="8" t="s">
        <v>17</v>
      </c>
      <c r="E275" s="8">
        <v>10</v>
      </c>
      <c r="F275" t="s">
        <v>107</v>
      </c>
      <c r="G275" t="b">
        <v>1</v>
      </c>
      <c r="H275" t="s">
        <v>117</v>
      </c>
      <c r="I275" s="19" t="str">
        <f t="shared" si="11"/>
        <v>HiGrad-LoElev</v>
      </c>
      <c r="J275" s="19" t="str">
        <f t="shared" si="12"/>
        <v>HiGrad-LoElev</v>
      </c>
    </row>
    <row r="276" spans="1:10" x14ac:dyDescent="0.25">
      <c r="A276" s="26" t="s">
        <v>179</v>
      </c>
      <c r="B276" t="s">
        <v>54</v>
      </c>
      <c r="C276" t="s">
        <v>113</v>
      </c>
      <c r="D276" s="8" t="s">
        <v>17</v>
      </c>
      <c r="E276" s="8">
        <v>10</v>
      </c>
      <c r="F276" t="s">
        <v>108</v>
      </c>
      <c r="G276" t="b">
        <v>1</v>
      </c>
      <c r="H276" t="s">
        <v>117</v>
      </c>
      <c r="I276" s="19" t="str">
        <f t="shared" si="11"/>
        <v>HiGrad-LoElev</v>
      </c>
      <c r="J276" s="19" t="str">
        <f t="shared" si="12"/>
        <v>HiGrad-LoElev</v>
      </c>
    </row>
    <row r="277" spans="1:10" x14ac:dyDescent="0.25">
      <c r="A277" s="26" t="s">
        <v>179</v>
      </c>
      <c r="B277" t="s">
        <v>103</v>
      </c>
      <c r="C277" s="27" t="s">
        <v>14</v>
      </c>
      <c r="D277" s="8" t="s">
        <v>15</v>
      </c>
      <c r="E277">
        <v>600</v>
      </c>
      <c r="F277" t="s">
        <v>61</v>
      </c>
      <c r="G277" t="b">
        <v>1</v>
      </c>
      <c r="I277" s="19" t="str">
        <f>B277</f>
        <v>HiGrad-HiElev</v>
      </c>
      <c r="J277" s="19" t="str">
        <f>B277</f>
        <v>HiGrad-HiElev</v>
      </c>
    </row>
    <row r="278" spans="1:10" x14ac:dyDescent="0.25">
      <c r="A278" s="26" t="s">
        <v>179</v>
      </c>
      <c r="B278" t="s">
        <v>103</v>
      </c>
      <c r="C278" s="27" t="s">
        <v>14</v>
      </c>
      <c r="D278" s="8" t="s">
        <v>16</v>
      </c>
      <c r="E278">
        <v>450</v>
      </c>
      <c r="F278" t="s">
        <v>38</v>
      </c>
      <c r="G278" t="b">
        <v>1</v>
      </c>
      <c r="I278" s="19" t="str">
        <f>B278</f>
        <v>HiGrad-HiElev</v>
      </c>
      <c r="J278" s="19" t="str">
        <f>B278</f>
        <v>HiGrad-HiElev</v>
      </c>
    </row>
    <row r="279" spans="1:10" x14ac:dyDescent="0.25">
      <c r="A279" s="26" t="s">
        <v>179</v>
      </c>
      <c r="B279" t="s">
        <v>103</v>
      </c>
      <c r="C279" t="s">
        <v>150</v>
      </c>
      <c r="D279" s="8" t="s">
        <v>17</v>
      </c>
      <c r="E279" s="21">
        <v>8</v>
      </c>
      <c r="F279" t="s">
        <v>111</v>
      </c>
      <c r="G279" t="b">
        <v>0</v>
      </c>
      <c r="I279" s="19" t="str">
        <f t="shared" si="11"/>
        <v>HiGrad-HiElev</v>
      </c>
      <c r="J279" s="19" t="str">
        <f t="shared" si="12"/>
        <v>HiGrad-HiElev</v>
      </c>
    </row>
    <row r="280" spans="1:10" x14ac:dyDescent="0.25">
      <c r="A280" s="26" t="s">
        <v>179</v>
      </c>
      <c r="B280" t="s">
        <v>103</v>
      </c>
      <c r="C280" t="s">
        <v>150</v>
      </c>
      <c r="D280" s="8" t="s">
        <v>16</v>
      </c>
      <c r="E280">
        <v>3</v>
      </c>
      <c r="F280" t="s">
        <v>112</v>
      </c>
      <c r="G280" t="b">
        <v>0</v>
      </c>
      <c r="I280" s="19" t="str">
        <f t="shared" si="11"/>
        <v>HiGrad-HiElev</v>
      </c>
      <c r="J280" s="19" t="str">
        <f t="shared" si="12"/>
        <v>HiGrad-HiElev</v>
      </c>
    </row>
    <row r="281" spans="1:10" x14ac:dyDescent="0.25">
      <c r="A281" s="26" t="s">
        <v>179</v>
      </c>
      <c r="B281" t="s">
        <v>103</v>
      </c>
      <c r="C281" t="s">
        <v>138</v>
      </c>
      <c r="D281" s="8" t="s">
        <v>16</v>
      </c>
      <c r="E281">
        <v>5</v>
      </c>
      <c r="F281" t="s">
        <v>139</v>
      </c>
      <c r="G281" t="b">
        <v>0</v>
      </c>
      <c r="I281" s="19" t="str">
        <f t="shared" si="11"/>
        <v>HiGrad-HiElev</v>
      </c>
      <c r="J281" s="19" t="str">
        <f t="shared" si="12"/>
        <v>HiGrad-HiElev</v>
      </c>
    </row>
    <row r="282" spans="1:10" x14ac:dyDescent="0.25">
      <c r="A282" s="26" t="s">
        <v>179</v>
      </c>
      <c r="B282" t="s">
        <v>103</v>
      </c>
      <c r="C282" t="s">
        <v>138</v>
      </c>
      <c r="D282" s="8" t="s">
        <v>15</v>
      </c>
      <c r="E282">
        <v>260</v>
      </c>
      <c r="F282" t="s">
        <v>140</v>
      </c>
      <c r="G282" t="b">
        <v>0</v>
      </c>
      <c r="I282" s="19" t="str">
        <f t="shared" si="11"/>
        <v>HiGrad-HiElev</v>
      </c>
      <c r="J282" s="19" t="str">
        <f t="shared" si="12"/>
        <v>HiGrad-HiElev</v>
      </c>
    </row>
    <row r="283" spans="1:10" x14ac:dyDescent="0.25">
      <c r="A283" s="26" t="s">
        <v>179</v>
      </c>
      <c r="B283" t="s">
        <v>103</v>
      </c>
      <c r="C283" t="s">
        <v>104</v>
      </c>
      <c r="D283" s="8" t="s">
        <v>16</v>
      </c>
      <c r="E283">
        <v>1000</v>
      </c>
      <c r="F283" t="s">
        <v>105</v>
      </c>
      <c r="G283" t="b">
        <v>0</v>
      </c>
      <c r="I283" s="19" t="str">
        <f t="shared" si="11"/>
        <v>HiGrad-HiElev</v>
      </c>
      <c r="J283" s="19" t="str">
        <f t="shared" si="12"/>
        <v>HiGrad-HiElev</v>
      </c>
    </row>
    <row r="284" spans="1:10" x14ac:dyDescent="0.25">
      <c r="A284" s="26" t="s">
        <v>179</v>
      </c>
      <c r="B284" t="s">
        <v>103</v>
      </c>
      <c r="C284" t="s">
        <v>56</v>
      </c>
      <c r="D284" s="8" t="s">
        <v>16</v>
      </c>
      <c r="E284">
        <v>6</v>
      </c>
      <c r="F284" t="s">
        <v>57</v>
      </c>
      <c r="G284" t="b">
        <v>0</v>
      </c>
      <c r="I284" s="19" t="str">
        <f t="shared" si="11"/>
        <v>HiGrad-HiElev</v>
      </c>
      <c r="J284" s="19" t="str">
        <f t="shared" si="12"/>
        <v>HiGrad-HiElev</v>
      </c>
    </row>
    <row r="285" spans="1:10" x14ac:dyDescent="0.25">
      <c r="A285" s="26" t="s">
        <v>179</v>
      </c>
      <c r="B285" t="s">
        <v>103</v>
      </c>
      <c r="C285" t="s">
        <v>56</v>
      </c>
      <c r="D285" s="8" t="s">
        <v>15</v>
      </c>
      <c r="E285">
        <v>10</v>
      </c>
      <c r="F285" t="s">
        <v>58</v>
      </c>
      <c r="G285" t="b">
        <v>0</v>
      </c>
      <c r="I285" s="19" t="str">
        <f t="shared" si="11"/>
        <v>HiGrad-HiElev</v>
      </c>
      <c r="J285" s="19" t="str">
        <f t="shared" si="12"/>
        <v>HiGrad-HiElev</v>
      </c>
    </row>
    <row r="286" spans="1:10" x14ac:dyDescent="0.25">
      <c r="A286" s="26" t="s">
        <v>179</v>
      </c>
      <c r="B286" t="s">
        <v>103</v>
      </c>
      <c r="C286" t="s">
        <v>59</v>
      </c>
      <c r="D286" s="8" t="s">
        <v>16</v>
      </c>
      <c r="E286">
        <v>8</v>
      </c>
      <c r="F286" t="s">
        <v>60</v>
      </c>
      <c r="G286" t="b">
        <v>0</v>
      </c>
      <c r="I286" s="19" t="str">
        <f t="shared" si="11"/>
        <v>HiGrad-HiElev</v>
      </c>
      <c r="J286" s="19" t="str">
        <f t="shared" si="12"/>
        <v>HiGrad-HiElev</v>
      </c>
    </row>
    <row r="287" spans="1:10" x14ac:dyDescent="0.25">
      <c r="A287" s="26" t="s">
        <v>179</v>
      </c>
      <c r="B287" t="s">
        <v>103</v>
      </c>
      <c r="C287" t="s">
        <v>62</v>
      </c>
      <c r="D287" s="8" t="s">
        <v>17</v>
      </c>
      <c r="E287">
        <v>75</v>
      </c>
      <c r="F287" t="s">
        <v>63</v>
      </c>
      <c r="G287" t="b">
        <v>0</v>
      </c>
      <c r="I287" s="19" t="str">
        <f t="shared" si="11"/>
        <v>HiGrad-HiElev</v>
      </c>
      <c r="J287" s="19" t="str">
        <f t="shared" si="12"/>
        <v>HiGrad-HiElev</v>
      </c>
    </row>
    <row r="288" spans="1:10" x14ac:dyDescent="0.25">
      <c r="A288" s="26" t="s">
        <v>179</v>
      </c>
      <c r="B288" t="s">
        <v>103</v>
      </c>
      <c r="C288" t="s">
        <v>48</v>
      </c>
      <c r="D288" s="8" t="s">
        <v>16</v>
      </c>
      <c r="E288">
        <v>1000</v>
      </c>
      <c r="F288" t="s">
        <v>64</v>
      </c>
      <c r="G288" t="b">
        <v>0</v>
      </c>
      <c r="I288" s="19" t="str">
        <f t="shared" si="11"/>
        <v>HiGrad-HiElev</v>
      </c>
      <c r="J288" s="19" t="str">
        <f t="shared" si="12"/>
        <v>HiGrad-HiElev</v>
      </c>
    </row>
    <row r="289" spans="1:10" x14ac:dyDescent="0.25">
      <c r="A289" s="26" t="s">
        <v>179</v>
      </c>
      <c r="B289" t="s">
        <v>103</v>
      </c>
      <c r="C289" t="s">
        <v>51</v>
      </c>
      <c r="D289" s="8" t="s">
        <v>17</v>
      </c>
      <c r="E289">
        <v>50</v>
      </c>
      <c r="F289" t="s">
        <v>65</v>
      </c>
      <c r="G289" t="b">
        <v>1</v>
      </c>
      <c r="I289" s="19" t="str">
        <f t="shared" si="11"/>
        <v>HiGrad-HiElev</v>
      </c>
      <c r="J289" s="19" t="str">
        <f t="shared" si="12"/>
        <v>HiGrad-HiElev</v>
      </c>
    </row>
    <row r="290" spans="1:10" x14ac:dyDescent="0.25">
      <c r="A290" s="26" t="s">
        <v>179</v>
      </c>
      <c r="B290" t="s">
        <v>103</v>
      </c>
      <c r="C290" t="s">
        <v>66</v>
      </c>
      <c r="D290" s="8" t="s">
        <v>17</v>
      </c>
      <c r="E290">
        <v>35</v>
      </c>
      <c r="F290" t="s">
        <v>67</v>
      </c>
      <c r="G290" t="b">
        <v>1</v>
      </c>
      <c r="I290" s="19" t="str">
        <f t="shared" ref="I290:I333" si="13">B290</f>
        <v>HiGrad-HiElev</v>
      </c>
      <c r="J290" s="19" t="str">
        <f t="shared" ref="J290:J333" si="14">B290</f>
        <v>HiGrad-HiElev</v>
      </c>
    </row>
    <row r="291" spans="1:10" x14ac:dyDescent="0.25">
      <c r="A291" s="26" t="s">
        <v>179</v>
      </c>
      <c r="B291" t="s">
        <v>103</v>
      </c>
      <c r="C291" t="s">
        <v>68</v>
      </c>
      <c r="D291" s="8" t="s">
        <v>17</v>
      </c>
      <c r="E291">
        <v>10</v>
      </c>
      <c r="F291" t="s">
        <v>69</v>
      </c>
      <c r="G291" t="b">
        <v>1</v>
      </c>
      <c r="I291" s="19" t="str">
        <f t="shared" si="13"/>
        <v>HiGrad-HiElev</v>
      </c>
      <c r="J291" s="19" t="str">
        <f t="shared" si="14"/>
        <v>HiGrad-HiElev</v>
      </c>
    </row>
    <row r="292" spans="1:10" x14ac:dyDescent="0.25">
      <c r="A292" s="26" t="s">
        <v>179</v>
      </c>
      <c r="B292" t="s">
        <v>103</v>
      </c>
      <c r="C292" t="s">
        <v>70</v>
      </c>
      <c r="D292" s="8" t="s">
        <v>17</v>
      </c>
      <c r="E292">
        <v>25</v>
      </c>
      <c r="F292" t="s">
        <v>71</v>
      </c>
      <c r="G292" t="b">
        <v>1</v>
      </c>
      <c r="I292" s="19" t="str">
        <f t="shared" si="13"/>
        <v>HiGrad-HiElev</v>
      </c>
      <c r="J292" s="19" t="str">
        <f t="shared" si="14"/>
        <v>HiGrad-HiElev</v>
      </c>
    </row>
    <row r="293" spans="1:10" x14ac:dyDescent="0.25">
      <c r="A293" s="26" t="s">
        <v>179</v>
      </c>
      <c r="B293" t="s">
        <v>103</v>
      </c>
      <c r="C293" t="s">
        <v>72</v>
      </c>
      <c r="D293" s="8" t="s">
        <v>96</v>
      </c>
      <c r="E293">
        <v>0</v>
      </c>
      <c r="F293" t="s">
        <v>73</v>
      </c>
      <c r="G293" t="b">
        <v>1</v>
      </c>
      <c r="I293" s="19" t="str">
        <f t="shared" si="13"/>
        <v>HiGrad-HiElev</v>
      </c>
      <c r="J293" s="19" t="str">
        <f t="shared" si="14"/>
        <v>HiGrad-HiElev</v>
      </c>
    </row>
    <row r="294" spans="1:10" x14ac:dyDescent="0.25">
      <c r="A294" s="26" t="s">
        <v>179</v>
      </c>
      <c r="B294" t="s">
        <v>103</v>
      </c>
      <c r="C294" t="s">
        <v>74</v>
      </c>
      <c r="D294" s="8" t="s">
        <v>96</v>
      </c>
      <c r="E294">
        <v>0</v>
      </c>
      <c r="F294" t="s">
        <v>75</v>
      </c>
      <c r="G294" t="b">
        <v>1</v>
      </c>
      <c r="I294" s="19" t="str">
        <f t="shared" si="13"/>
        <v>HiGrad-HiElev</v>
      </c>
      <c r="J294" s="19" t="str">
        <f t="shared" si="14"/>
        <v>HiGrad-HiElev</v>
      </c>
    </row>
    <row r="295" spans="1:10" x14ac:dyDescent="0.25">
      <c r="A295" s="26" t="s">
        <v>179</v>
      </c>
      <c r="B295" t="s">
        <v>103</v>
      </c>
      <c r="C295" t="s">
        <v>76</v>
      </c>
      <c r="D295" s="8" t="s">
        <v>96</v>
      </c>
      <c r="E295">
        <v>0</v>
      </c>
      <c r="F295" t="s">
        <v>77</v>
      </c>
      <c r="G295" t="b">
        <v>1</v>
      </c>
      <c r="I295" s="19" t="str">
        <f t="shared" si="13"/>
        <v>HiGrad-HiElev</v>
      </c>
      <c r="J295" s="19" t="str">
        <f t="shared" si="14"/>
        <v>HiGrad-HiElev</v>
      </c>
    </row>
    <row r="296" spans="1:10" x14ac:dyDescent="0.25">
      <c r="A296" s="26" t="s">
        <v>179</v>
      </c>
      <c r="B296" t="s">
        <v>103</v>
      </c>
      <c r="C296" t="s">
        <v>78</v>
      </c>
      <c r="D296" s="8" t="s">
        <v>96</v>
      </c>
      <c r="E296">
        <v>0</v>
      </c>
      <c r="F296" t="s">
        <v>79</v>
      </c>
      <c r="G296" t="b">
        <v>1</v>
      </c>
      <c r="I296" s="19" t="str">
        <f t="shared" si="13"/>
        <v>HiGrad-HiElev</v>
      </c>
      <c r="J296" s="19" t="str">
        <f t="shared" si="14"/>
        <v>HiGrad-HiElev</v>
      </c>
    </row>
    <row r="297" spans="1:10" x14ac:dyDescent="0.25">
      <c r="A297" s="26" t="s">
        <v>179</v>
      </c>
      <c r="B297" t="s">
        <v>103</v>
      </c>
      <c r="C297" t="s">
        <v>80</v>
      </c>
      <c r="D297" s="8" t="s">
        <v>17</v>
      </c>
      <c r="E297">
        <v>50</v>
      </c>
      <c r="F297" t="s">
        <v>81</v>
      </c>
      <c r="G297" t="b">
        <v>1</v>
      </c>
      <c r="I297" s="19" t="str">
        <f t="shared" si="13"/>
        <v>HiGrad-HiElev</v>
      </c>
      <c r="J297" s="19" t="str">
        <f t="shared" si="14"/>
        <v>HiGrad-HiElev</v>
      </c>
    </row>
    <row r="298" spans="1:10" x14ac:dyDescent="0.25">
      <c r="A298" s="26" t="s">
        <v>179</v>
      </c>
      <c r="B298" t="s">
        <v>103</v>
      </c>
      <c r="C298" t="s">
        <v>91</v>
      </c>
      <c r="D298" s="8" t="s">
        <v>17</v>
      </c>
      <c r="E298">
        <v>50</v>
      </c>
      <c r="F298" t="s">
        <v>82</v>
      </c>
      <c r="G298" t="b">
        <v>1</v>
      </c>
      <c r="I298" s="19" t="str">
        <f t="shared" si="13"/>
        <v>HiGrad-HiElev</v>
      </c>
      <c r="J298" s="19" t="str">
        <f t="shared" si="14"/>
        <v>HiGrad-HiElev</v>
      </c>
    </row>
    <row r="299" spans="1:10" x14ac:dyDescent="0.25">
      <c r="A299" s="26" t="s">
        <v>179</v>
      </c>
      <c r="B299" t="s">
        <v>103</v>
      </c>
      <c r="C299" t="s">
        <v>83</v>
      </c>
      <c r="D299" s="8" t="s">
        <v>17</v>
      </c>
      <c r="E299">
        <v>30</v>
      </c>
      <c r="F299" t="s">
        <v>84</v>
      </c>
      <c r="G299" t="b">
        <v>1</v>
      </c>
      <c r="I299" s="19" t="str">
        <f t="shared" si="13"/>
        <v>HiGrad-HiElev</v>
      </c>
      <c r="J299" s="19" t="str">
        <f t="shared" si="14"/>
        <v>HiGrad-HiElev</v>
      </c>
    </row>
    <row r="300" spans="1:10" x14ac:dyDescent="0.25">
      <c r="A300" s="26" t="s">
        <v>179</v>
      </c>
      <c r="B300" t="s">
        <v>103</v>
      </c>
      <c r="C300" t="s">
        <v>85</v>
      </c>
      <c r="D300" s="8" t="s">
        <v>17</v>
      </c>
      <c r="E300">
        <v>10</v>
      </c>
      <c r="F300" t="s">
        <v>86</v>
      </c>
      <c r="G300" t="b">
        <v>1</v>
      </c>
      <c r="I300" s="19" t="str">
        <f t="shared" si="13"/>
        <v>HiGrad-HiElev</v>
      </c>
      <c r="J300" s="19" t="str">
        <f t="shared" si="14"/>
        <v>HiGrad-HiElev</v>
      </c>
    </row>
    <row r="301" spans="1:10" x14ac:dyDescent="0.25">
      <c r="A301" s="26" t="s">
        <v>179</v>
      </c>
      <c r="B301" t="s">
        <v>103</v>
      </c>
      <c r="C301" t="s">
        <v>87</v>
      </c>
      <c r="D301" s="8" t="s">
        <v>17</v>
      </c>
      <c r="E301">
        <v>10</v>
      </c>
      <c r="F301" t="s">
        <v>88</v>
      </c>
      <c r="G301" t="b">
        <v>1</v>
      </c>
      <c r="I301" s="19" t="str">
        <f t="shared" si="13"/>
        <v>HiGrad-HiElev</v>
      </c>
      <c r="J301" s="19" t="str">
        <f t="shared" si="14"/>
        <v>HiGrad-HiElev</v>
      </c>
    </row>
    <row r="302" spans="1:10" x14ac:dyDescent="0.25">
      <c r="A302" s="26" t="s">
        <v>179</v>
      </c>
      <c r="B302" t="s">
        <v>103</v>
      </c>
      <c r="C302" t="s">
        <v>89</v>
      </c>
      <c r="D302" s="8" t="s">
        <v>15</v>
      </c>
      <c r="E302">
        <v>0</v>
      </c>
      <c r="F302" t="s">
        <v>49</v>
      </c>
      <c r="G302" t="b">
        <v>1</v>
      </c>
      <c r="I302" s="19" t="str">
        <f t="shared" si="13"/>
        <v>HiGrad-HiElev</v>
      </c>
      <c r="J302" s="19" t="str">
        <f t="shared" si="14"/>
        <v>HiGrad-HiElev</v>
      </c>
    </row>
    <row r="303" spans="1:10" x14ac:dyDescent="0.25">
      <c r="A303" s="26" t="s">
        <v>179</v>
      </c>
      <c r="B303" t="s">
        <v>103</v>
      </c>
      <c r="C303" t="s">
        <v>101</v>
      </c>
      <c r="D303" s="8" t="s">
        <v>15</v>
      </c>
      <c r="E303">
        <v>0</v>
      </c>
      <c r="F303" t="s">
        <v>102</v>
      </c>
      <c r="G303" t="b">
        <v>1</v>
      </c>
      <c r="I303" s="19" t="str">
        <f t="shared" si="13"/>
        <v>HiGrad-HiElev</v>
      </c>
      <c r="J303" s="19" t="str">
        <f t="shared" si="14"/>
        <v>HiGrad-HiElev</v>
      </c>
    </row>
    <row r="304" spans="1:10" x14ac:dyDescent="0.25">
      <c r="A304" s="26" t="s">
        <v>179</v>
      </c>
      <c r="B304" t="s">
        <v>103</v>
      </c>
      <c r="C304" t="s">
        <v>106</v>
      </c>
      <c r="D304" s="8" t="s">
        <v>17</v>
      </c>
      <c r="E304">
        <v>10</v>
      </c>
      <c r="F304" t="s">
        <v>107</v>
      </c>
      <c r="G304" t="b">
        <v>1</v>
      </c>
      <c r="I304" s="19" t="str">
        <f t="shared" si="13"/>
        <v>HiGrad-HiElev</v>
      </c>
      <c r="J304" s="19" t="str">
        <f t="shared" si="14"/>
        <v>HiGrad-HiElev</v>
      </c>
    </row>
    <row r="305" spans="1:10" x14ac:dyDescent="0.25">
      <c r="A305" s="26" t="s">
        <v>179</v>
      </c>
      <c r="B305" t="s">
        <v>103</v>
      </c>
      <c r="C305" t="s">
        <v>113</v>
      </c>
      <c r="D305" s="8" t="s">
        <v>17</v>
      </c>
      <c r="E305">
        <v>10</v>
      </c>
      <c r="F305" t="s">
        <v>108</v>
      </c>
      <c r="G305" t="b">
        <v>1</v>
      </c>
      <c r="I305" s="19" t="str">
        <f t="shared" si="13"/>
        <v>HiGrad-HiElev</v>
      </c>
      <c r="J305" s="19" t="str">
        <f t="shared" si="14"/>
        <v>HiGrad-HiElev</v>
      </c>
    </row>
    <row r="306" spans="1:10" x14ac:dyDescent="0.25">
      <c r="A306" s="26" t="s">
        <v>179</v>
      </c>
      <c r="B306" t="s">
        <v>119</v>
      </c>
      <c r="C306" s="27" t="s">
        <v>14</v>
      </c>
      <c r="D306" s="8" t="s">
        <v>15</v>
      </c>
      <c r="E306">
        <v>600</v>
      </c>
      <c r="F306" t="s">
        <v>61</v>
      </c>
      <c r="G306" t="b">
        <v>1</v>
      </c>
      <c r="H306" t="s">
        <v>118</v>
      </c>
      <c r="I306" s="19" t="str">
        <f>B306</f>
        <v>LoGrad-LoElev</v>
      </c>
      <c r="J306" s="19" t="str">
        <f>B306</f>
        <v>LoGrad-LoElev</v>
      </c>
    </row>
    <row r="307" spans="1:10" x14ac:dyDescent="0.25">
      <c r="A307" s="26" t="s">
        <v>179</v>
      </c>
      <c r="B307" t="s">
        <v>119</v>
      </c>
      <c r="C307" s="27" t="s">
        <v>14</v>
      </c>
      <c r="D307" s="8" t="s">
        <v>16</v>
      </c>
      <c r="E307">
        <v>450</v>
      </c>
      <c r="F307" t="s">
        <v>38</v>
      </c>
      <c r="G307" t="b">
        <v>1</v>
      </c>
      <c r="H307" t="s">
        <v>118</v>
      </c>
      <c r="I307" s="19" t="str">
        <f>B307</f>
        <v>LoGrad-LoElev</v>
      </c>
      <c r="J307" s="19" t="str">
        <f>B307</f>
        <v>LoGrad-LoElev</v>
      </c>
    </row>
    <row r="308" spans="1:10" x14ac:dyDescent="0.25">
      <c r="A308" s="26" t="s">
        <v>179</v>
      </c>
      <c r="B308" t="s">
        <v>119</v>
      </c>
      <c r="C308" t="s">
        <v>150</v>
      </c>
      <c r="D308" s="8" t="s">
        <v>15</v>
      </c>
      <c r="E308">
        <v>0.7</v>
      </c>
      <c r="F308" t="s">
        <v>112</v>
      </c>
      <c r="G308" t="b">
        <v>0</v>
      </c>
      <c r="H308" t="s">
        <v>120</v>
      </c>
      <c r="I308" s="19" t="str">
        <f t="shared" si="13"/>
        <v>LoGrad-LoElev</v>
      </c>
      <c r="J308" s="19" t="str">
        <f t="shared" si="14"/>
        <v>LoGrad-LoElev</v>
      </c>
    </row>
    <row r="309" spans="1:10" x14ac:dyDescent="0.25">
      <c r="A309" s="26" t="s">
        <v>179</v>
      </c>
      <c r="B309" t="s">
        <v>119</v>
      </c>
      <c r="C309" t="s">
        <v>138</v>
      </c>
      <c r="D309" s="8" t="s">
        <v>16</v>
      </c>
      <c r="E309">
        <v>5</v>
      </c>
      <c r="F309" t="s">
        <v>139</v>
      </c>
      <c r="G309" t="b">
        <v>0</v>
      </c>
      <c r="H309" t="s">
        <v>118</v>
      </c>
      <c r="I309" s="19" t="str">
        <f t="shared" si="13"/>
        <v>LoGrad-LoElev</v>
      </c>
      <c r="J309" s="19" t="str">
        <f t="shared" si="14"/>
        <v>LoGrad-LoElev</v>
      </c>
    </row>
    <row r="310" spans="1:10" x14ac:dyDescent="0.25">
      <c r="A310" s="26" t="s">
        <v>179</v>
      </c>
      <c r="B310" t="s">
        <v>119</v>
      </c>
      <c r="C310" t="s">
        <v>138</v>
      </c>
      <c r="D310" s="8" t="s">
        <v>15</v>
      </c>
      <c r="E310">
        <v>260</v>
      </c>
      <c r="F310" t="s">
        <v>140</v>
      </c>
      <c r="G310" t="b">
        <v>0</v>
      </c>
      <c r="H310" t="s">
        <v>118</v>
      </c>
      <c r="I310" s="19" t="str">
        <f t="shared" si="13"/>
        <v>LoGrad-LoElev</v>
      </c>
      <c r="J310" s="19" t="str">
        <f t="shared" si="14"/>
        <v>LoGrad-LoElev</v>
      </c>
    </row>
    <row r="311" spans="1:10" x14ac:dyDescent="0.25">
      <c r="A311" s="26" t="s">
        <v>179</v>
      </c>
      <c r="B311" t="s">
        <v>119</v>
      </c>
      <c r="C311" t="s">
        <v>104</v>
      </c>
      <c r="D311" s="8" t="s">
        <v>16</v>
      </c>
      <c r="E311">
        <v>1000</v>
      </c>
      <c r="F311" t="s">
        <v>105</v>
      </c>
      <c r="G311" t="b">
        <v>0</v>
      </c>
      <c r="H311" t="s">
        <v>118</v>
      </c>
      <c r="I311" s="19" t="str">
        <f t="shared" si="13"/>
        <v>LoGrad-LoElev</v>
      </c>
      <c r="J311" s="19" t="str">
        <f t="shared" si="14"/>
        <v>LoGrad-LoElev</v>
      </c>
    </row>
    <row r="312" spans="1:10" x14ac:dyDescent="0.25">
      <c r="A312" s="26" t="s">
        <v>179</v>
      </c>
      <c r="B312" t="s">
        <v>119</v>
      </c>
      <c r="C312" t="s">
        <v>56</v>
      </c>
      <c r="D312" s="8" t="s">
        <v>16</v>
      </c>
      <c r="E312">
        <v>6</v>
      </c>
      <c r="F312" t="s">
        <v>57</v>
      </c>
      <c r="G312" t="b">
        <v>0</v>
      </c>
      <c r="H312" t="s">
        <v>118</v>
      </c>
      <c r="I312" s="19" t="str">
        <f t="shared" si="13"/>
        <v>LoGrad-LoElev</v>
      </c>
      <c r="J312" s="19" t="str">
        <f t="shared" si="14"/>
        <v>LoGrad-LoElev</v>
      </c>
    </row>
    <row r="313" spans="1:10" x14ac:dyDescent="0.25">
      <c r="A313" s="26" t="s">
        <v>179</v>
      </c>
      <c r="B313" t="s">
        <v>119</v>
      </c>
      <c r="C313" t="s">
        <v>56</v>
      </c>
      <c r="D313" s="8" t="s">
        <v>15</v>
      </c>
      <c r="E313">
        <v>10</v>
      </c>
      <c r="F313" t="s">
        <v>58</v>
      </c>
      <c r="G313" t="b">
        <v>0</v>
      </c>
      <c r="H313" t="s">
        <v>118</v>
      </c>
      <c r="I313" s="19" t="str">
        <f t="shared" si="13"/>
        <v>LoGrad-LoElev</v>
      </c>
      <c r="J313" s="19" t="str">
        <f t="shared" si="14"/>
        <v>LoGrad-LoElev</v>
      </c>
    </row>
    <row r="314" spans="1:10" x14ac:dyDescent="0.25">
      <c r="A314" s="26" t="s">
        <v>179</v>
      </c>
      <c r="B314" t="s">
        <v>119</v>
      </c>
      <c r="C314" t="s">
        <v>59</v>
      </c>
      <c r="D314" s="8" t="s">
        <v>16</v>
      </c>
      <c r="E314">
        <v>8</v>
      </c>
      <c r="F314" t="s">
        <v>60</v>
      </c>
      <c r="G314" t="b">
        <v>0</v>
      </c>
      <c r="H314" t="s">
        <v>118</v>
      </c>
      <c r="I314" s="19" t="str">
        <f t="shared" si="13"/>
        <v>LoGrad-LoElev</v>
      </c>
      <c r="J314" s="19" t="str">
        <f t="shared" si="14"/>
        <v>LoGrad-LoElev</v>
      </c>
    </row>
    <row r="315" spans="1:10" x14ac:dyDescent="0.25">
      <c r="A315" s="26" t="s">
        <v>179</v>
      </c>
      <c r="B315" t="s">
        <v>119</v>
      </c>
      <c r="C315" t="s">
        <v>62</v>
      </c>
      <c r="D315" s="8" t="s">
        <v>17</v>
      </c>
      <c r="E315">
        <v>75</v>
      </c>
      <c r="F315" t="s">
        <v>63</v>
      </c>
      <c r="G315" t="b">
        <v>0</v>
      </c>
      <c r="H315" t="s">
        <v>118</v>
      </c>
      <c r="I315" s="19" t="str">
        <f t="shared" si="13"/>
        <v>LoGrad-LoElev</v>
      </c>
      <c r="J315" s="19" t="str">
        <f t="shared" si="14"/>
        <v>LoGrad-LoElev</v>
      </c>
    </row>
    <row r="316" spans="1:10" x14ac:dyDescent="0.25">
      <c r="A316" s="26" t="s">
        <v>179</v>
      </c>
      <c r="B316" t="s">
        <v>119</v>
      </c>
      <c r="C316" t="s">
        <v>48</v>
      </c>
      <c r="D316" s="8" t="s">
        <v>16</v>
      </c>
      <c r="E316">
        <v>1000</v>
      </c>
      <c r="F316" t="s">
        <v>64</v>
      </c>
      <c r="G316" t="b">
        <v>0</v>
      </c>
      <c r="H316" t="s">
        <v>118</v>
      </c>
      <c r="I316" s="19" t="str">
        <f t="shared" si="13"/>
        <v>LoGrad-LoElev</v>
      </c>
      <c r="J316" s="19" t="str">
        <f t="shared" si="14"/>
        <v>LoGrad-LoElev</v>
      </c>
    </row>
    <row r="317" spans="1:10" x14ac:dyDescent="0.25">
      <c r="A317" s="26" t="s">
        <v>179</v>
      </c>
      <c r="B317" t="s">
        <v>119</v>
      </c>
      <c r="C317" t="s">
        <v>51</v>
      </c>
      <c r="D317" s="8" t="s">
        <v>17</v>
      </c>
      <c r="E317">
        <v>50</v>
      </c>
      <c r="F317" t="s">
        <v>65</v>
      </c>
      <c r="G317" t="b">
        <v>1</v>
      </c>
      <c r="H317" t="s">
        <v>118</v>
      </c>
      <c r="I317" s="19" t="str">
        <f t="shared" si="13"/>
        <v>LoGrad-LoElev</v>
      </c>
      <c r="J317" s="19" t="str">
        <f t="shared" si="14"/>
        <v>LoGrad-LoElev</v>
      </c>
    </row>
    <row r="318" spans="1:10" x14ac:dyDescent="0.25">
      <c r="A318" s="26" t="s">
        <v>179</v>
      </c>
      <c r="B318" t="s">
        <v>119</v>
      </c>
      <c r="C318" t="s">
        <v>66</v>
      </c>
      <c r="D318" s="8" t="s">
        <v>17</v>
      </c>
      <c r="E318">
        <v>35</v>
      </c>
      <c r="F318" t="s">
        <v>67</v>
      </c>
      <c r="G318" t="b">
        <v>1</v>
      </c>
      <c r="H318" t="s">
        <v>118</v>
      </c>
      <c r="I318" s="19" t="str">
        <f t="shared" si="13"/>
        <v>LoGrad-LoElev</v>
      </c>
      <c r="J318" s="19" t="str">
        <f t="shared" si="14"/>
        <v>LoGrad-LoElev</v>
      </c>
    </row>
    <row r="319" spans="1:10" x14ac:dyDescent="0.25">
      <c r="A319" s="26" t="s">
        <v>179</v>
      </c>
      <c r="B319" t="s">
        <v>119</v>
      </c>
      <c r="C319" t="s">
        <v>68</v>
      </c>
      <c r="D319" s="8" t="s">
        <v>17</v>
      </c>
      <c r="E319">
        <v>10</v>
      </c>
      <c r="F319" t="s">
        <v>69</v>
      </c>
      <c r="G319" t="b">
        <v>1</v>
      </c>
      <c r="H319" t="s">
        <v>118</v>
      </c>
      <c r="I319" s="19" t="str">
        <f t="shared" si="13"/>
        <v>LoGrad-LoElev</v>
      </c>
      <c r="J319" s="19" t="str">
        <f t="shared" si="14"/>
        <v>LoGrad-LoElev</v>
      </c>
    </row>
    <row r="320" spans="1:10" x14ac:dyDescent="0.25">
      <c r="A320" s="26" t="s">
        <v>179</v>
      </c>
      <c r="B320" t="s">
        <v>119</v>
      </c>
      <c r="C320" t="s">
        <v>70</v>
      </c>
      <c r="D320" s="8" t="s">
        <v>17</v>
      </c>
      <c r="E320">
        <v>25</v>
      </c>
      <c r="F320" t="s">
        <v>71</v>
      </c>
      <c r="G320" t="b">
        <v>1</v>
      </c>
      <c r="H320" t="s">
        <v>118</v>
      </c>
      <c r="I320" s="19" t="str">
        <f t="shared" si="13"/>
        <v>LoGrad-LoElev</v>
      </c>
      <c r="J320" s="19" t="str">
        <f t="shared" si="14"/>
        <v>LoGrad-LoElev</v>
      </c>
    </row>
    <row r="321" spans="1:10" x14ac:dyDescent="0.25">
      <c r="A321" s="26" t="s">
        <v>179</v>
      </c>
      <c r="B321" t="s">
        <v>119</v>
      </c>
      <c r="C321" t="s">
        <v>72</v>
      </c>
      <c r="D321" s="8" t="s">
        <v>96</v>
      </c>
      <c r="E321">
        <v>0</v>
      </c>
      <c r="F321" t="s">
        <v>73</v>
      </c>
      <c r="G321" t="b">
        <v>1</v>
      </c>
      <c r="H321" t="s">
        <v>118</v>
      </c>
      <c r="I321" s="19" t="str">
        <f t="shared" si="13"/>
        <v>LoGrad-LoElev</v>
      </c>
      <c r="J321" s="19" t="str">
        <f t="shared" si="14"/>
        <v>LoGrad-LoElev</v>
      </c>
    </row>
    <row r="322" spans="1:10" x14ac:dyDescent="0.25">
      <c r="A322" s="26" t="s">
        <v>179</v>
      </c>
      <c r="B322" t="s">
        <v>119</v>
      </c>
      <c r="C322" t="s">
        <v>74</v>
      </c>
      <c r="D322" s="8" t="s">
        <v>96</v>
      </c>
      <c r="E322">
        <v>0</v>
      </c>
      <c r="F322" t="s">
        <v>75</v>
      </c>
      <c r="G322" t="b">
        <v>1</v>
      </c>
      <c r="H322" t="s">
        <v>118</v>
      </c>
      <c r="I322" s="19" t="str">
        <f t="shared" si="13"/>
        <v>LoGrad-LoElev</v>
      </c>
      <c r="J322" s="19" t="str">
        <f t="shared" si="14"/>
        <v>LoGrad-LoElev</v>
      </c>
    </row>
    <row r="323" spans="1:10" x14ac:dyDescent="0.25">
      <c r="A323" s="26" t="s">
        <v>179</v>
      </c>
      <c r="B323" t="s">
        <v>119</v>
      </c>
      <c r="C323" t="s">
        <v>76</v>
      </c>
      <c r="D323" s="8" t="s">
        <v>96</v>
      </c>
      <c r="E323">
        <v>0</v>
      </c>
      <c r="F323" t="s">
        <v>77</v>
      </c>
      <c r="G323" t="b">
        <v>1</v>
      </c>
      <c r="H323" t="s">
        <v>118</v>
      </c>
      <c r="I323" s="19" t="str">
        <f t="shared" si="13"/>
        <v>LoGrad-LoElev</v>
      </c>
      <c r="J323" s="19" t="str">
        <f t="shared" si="14"/>
        <v>LoGrad-LoElev</v>
      </c>
    </row>
    <row r="324" spans="1:10" x14ac:dyDescent="0.25">
      <c r="A324" s="26" t="s">
        <v>179</v>
      </c>
      <c r="B324" t="s">
        <v>119</v>
      </c>
      <c r="C324" t="s">
        <v>78</v>
      </c>
      <c r="D324" s="8" t="s">
        <v>96</v>
      </c>
      <c r="E324">
        <v>0</v>
      </c>
      <c r="F324" t="s">
        <v>79</v>
      </c>
      <c r="G324" t="b">
        <v>1</v>
      </c>
      <c r="H324" t="s">
        <v>118</v>
      </c>
      <c r="I324" s="19" t="str">
        <f t="shared" si="13"/>
        <v>LoGrad-LoElev</v>
      </c>
      <c r="J324" s="19" t="str">
        <f t="shared" si="14"/>
        <v>LoGrad-LoElev</v>
      </c>
    </row>
    <row r="325" spans="1:10" x14ac:dyDescent="0.25">
      <c r="A325" s="26" t="s">
        <v>179</v>
      </c>
      <c r="B325" t="s">
        <v>119</v>
      </c>
      <c r="C325" t="s">
        <v>80</v>
      </c>
      <c r="D325" s="8" t="s">
        <v>17</v>
      </c>
      <c r="E325">
        <v>50</v>
      </c>
      <c r="F325" t="s">
        <v>81</v>
      </c>
      <c r="G325" t="b">
        <v>1</v>
      </c>
      <c r="H325" t="s">
        <v>118</v>
      </c>
      <c r="I325" s="19" t="str">
        <f t="shared" si="13"/>
        <v>LoGrad-LoElev</v>
      </c>
      <c r="J325" s="19" t="str">
        <f t="shared" si="14"/>
        <v>LoGrad-LoElev</v>
      </c>
    </row>
    <row r="326" spans="1:10" x14ac:dyDescent="0.25">
      <c r="A326" s="26" t="s">
        <v>179</v>
      </c>
      <c r="B326" t="s">
        <v>119</v>
      </c>
      <c r="C326" t="s">
        <v>91</v>
      </c>
      <c r="D326" s="8" t="s">
        <v>17</v>
      </c>
      <c r="E326">
        <v>50</v>
      </c>
      <c r="F326" t="s">
        <v>82</v>
      </c>
      <c r="G326" t="b">
        <v>1</v>
      </c>
      <c r="H326" t="s">
        <v>118</v>
      </c>
      <c r="I326" s="19" t="str">
        <f t="shared" si="13"/>
        <v>LoGrad-LoElev</v>
      </c>
      <c r="J326" s="19" t="str">
        <f t="shared" si="14"/>
        <v>LoGrad-LoElev</v>
      </c>
    </row>
    <row r="327" spans="1:10" x14ac:dyDescent="0.25">
      <c r="A327" s="26" t="s">
        <v>179</v>
      </c>
      <c r="B327" t="s">
        <v>119</v>
      </c>
      <c r="C327" t="s">
        <v>83</v>
      </c>
      <c r="D327" s="8" t="s">
        <v>17</v>
      </c>
      <c r="E327">
        <v>30</v>
      </c>
      <c r="F327" t="s">
        <v>84</v>
      </c>
      <c r="G327" t="b">
        <v>1</v>
      </c>
      <c r="H327" t="s">
        <v>118</v>
      </c>
      <c r="I327" s="19" t="str">
        <f t="shared" si="13"/>
        <v>LoGrad-LoElev</v>
      </c>
      <c r="J327" s="19" t="str">
        <f t="shared" si="14"/>
        <v>LoGrad-LoElev</v>
      </c>
    </row>
    <row r="328" spans="1:10" x14ac:dyDescent="0.25">
      <c r="A328" s="26" t="s">
        <v>179</v>
      </c>
      <c r="B328" t="s">
        <v>119</v>
      </c>
      <c r="C328" t="s">
        <v>85</v>
      </c>
      <c r="D328" s="8" t="s">
        <v>17</v>
      </c>
      <c r="E328">
        <v>10</v>
      </c>
      <c r="F328" t="s">
        <v>86</v>
      </c>
      <c r="G328" t="b">
        <v>1</v>
      </c>
      <c r="H328" t="s">
        <v>118</v>
      </c>
      <c r="I328" s="19" t="str">
        <f t="shared" si="13"/>
        <v>LoGrad-LoElev</v>
      </c>
      <c r="J328" s="19" t="str">
        <f t="shared" si="14"/>
        <v>LoGrad-LoElev</v>
      </c>
    </row>
    <row r="329" spans="1:10" x14ac:dyDescent="0.25">
      <c r="A329" s="26" t="s">
        <v>179</v>
      </c>
      <c r="B329" t="s">
        <v>119</v>
      </c>
      <c r="C329" t="s">
        <v>87</v>
      </c>
      <c r="D329" s="8" t="s">
        <v>17</v>
      </c>
      <c r="E329">
        <v>10</v>
      </c>
      <c r="F329" t="s">
        <v>88</v>
      </c>
      <c r="G329" t="b">
        <v>1</v>
      </c>
      <c r="H329" t="s">
        <v>118</v>
      </c>
      <c r="I329" s="19" t="str">
        <f t="shared" si="13"/>
        <v>LoGrad-LoElev</v>
      </c>
      <c r="J329" s="19" t="str">
        <f t="shared" si="14"/>
        <v>LoGrad-LoElev</v>
      </c>
    </row>
    <row r="330" spans="1:10" x14ac:dyDescent="0.25">
      <c r="A330" s="26" t="s">
        <v>179</v>
      </c>
      <c r="B330" t="s">
        <v>119</v>
      </c>
      <c r="C330" t="s">
        <v>89</v>
      </c>
      <c r="D330" s="8" t="s">
        <v>15</v>
      </c>
      <c r="E330">
        <v>0</v>
      </c>
      <c r="F330" t="s">
        <v>49</v>
      </c>
      <c r="G330" t="b">
        <v>1</v>
      </c>
      <c r="H330" t="s">
        <v>118</v>
      </c>
      <c r="I330" s="19" t="str">
        <f t="shared" si="13"/>
        <v>LoGrad-LoElev</v>
      </c>
      <c r="J330" s="19" t="str">
        <f t="shared" si="14"/>
        <v>LoGrad-LoElev</v>
      </c>
    </row>
    <row r="331" spans="1:10" x14ac:dyDescent="0.25">
      <c r="A331" s="26" t="s">
        <v>179</v>
      </c>
      <c r="B331" t="s">
        <v>119</v>
      </c>
      <c r="C331" t="s">
        <v>101</v>
      </c>
      <c r="D331" s="8" t="s">
        <v>15</v>
      </c>
      <c r="E331">
        <v>0</v>
      </c>
      <c r="F331" t="s">
        <v>102</v>
      </c>
      <c r="G331" t="b">
        <v>1</v>
      </c>
      <c r="H331" t="s">
        <v>118</v>
      </c>
      <c r="I331" s="19" t="str">
        <f t="shared" si="13"/>
        <v>LoGrad-LoElev</v>
      </c>
      <c r="J331" s="19" t="str">
        <f t="shared" si="14"/>
        <v>LoGrad-LoElev</v>
      </c>
    </row>
    <row r="332" spans="1:10" x14ac:dyDescent="0.25">
      <c r="A332" s="26" t="s">
        <v>179</v>
      </c>
      <c r="B332" t="s">
        <v>119</v>
      </c>
      <c r="C332" t="s">
        <v>106</v>
      </c>
      <c r="D332" s="8" t="s">
        <v>17</v>
      </c>
      <c r="E332">
        <v>10</v>
      </c>
      <c r="F332" t="s">
        <v>107</v>
      </c>
      <c r="G332" t="b">
        <v>1</v>
      </c>
      <c r="H332" t="s">
        <v>118</v>
      </c>
      <c r="I332" s="19" t="str">
        <f t="shared" si="13"/>
        <v>LoGrad-LoElev</v>
      </c>
      <c r="J332" s="19" t="str">
        <f t="shared" si="14"/>
        <v>LoGrad-LoElev</v>
      </c>
    </row>
    <row r="333" spans="1:10" x14ac:dyDescent="0.25">
      <c r="A333" s="26" t="s">
        <v>179</v>
      </c>
      <c r="B333" t="s">
        <v>119</v>
      </c>
      <c r="C333" t="s">
        <v>113</v>
      </c>
      <c r="D333" s="8" t="s">
        <v>17</v>
      </c>
      <c r="E333">
        <v>10</v>
      </c>
      <c r="F333" t="s">
        <v>108</v>
      </c>
      <c r="G333" t="b">
        <v>1</v>
      </c>
      <c r="H333" t="s">
        <v>118</v>
      </c>
      <c r="I333" s="19" t="str">
        <f t="shared" si="13"/>
        <v>LoGrad-LoElev</v>
      </c>
      <c r="J333" s="19" t="str">
        <f t="shared" si="14"/>
        <v>LoGrad-LoElev</v>
      </c>
    </row>
  </sheetData>
  <autoFilter ref="A1:J333" xr:uid="{00000000-0001-0000-0200-000000000000}"/>
  <conditionalFormatting sqref="C2:C66 C162:C186 C248:C272">
    <cfRule type="expression" dxfId="6" priority="14">
      <formula>$G2=FALSE</formula>
    </cfRule>
  </conditionalFormatting>
  <conditionalFormatting sqref="C128">
    <cfRule type="expression" dxfId="5" priority="10">
      <formula>$G128=FALSE</formula>
    </cfRule>
  </conditionalFormatting>
  <conditionalFormatting sqref="G2:G219 G220:H228 H229:H249 G229:G305 G306:H333">
    <cfRule type="cellIs" dxfId="4" priority="6" operator="equal">
      <formula>FALSE</formula>
    </cfRule>
  </conditionalFormatting>
  <conditionalFormatting sqref="H54">
    <cfRule type="cellIs" dxfId="3" priority="13" operator="equal">
      <formula>FALSE</formula>
    </cfRule>
  </conditionalFormatting>
  <conditionalFormatting sqref="H100:H127">
    <cfRule type="cellIs" dxfId="2" priority="12" operator="equal">
      <formula>FALSE</formula>
    </cfRule>
  </conditionalFormatting>
  <conditionalFormatting sqref="H174">
    <cfRule type="cellIs" dxfId="1" priority="4" operator="equal">
      <formula>FALSE</formula>
    </cfRule>
  </conditionalFormatting>
  <conditionalFormatting sqref="H260">
    <cfRule type="cellIs" dxfId="0" priority="1" operator="equal">
      <formula>FALSE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NOTES</vt:lpstr>
      <vt:lpstr>meta</vt:lpstr>
      <vt:lpstr>Flags</vt:lpstr>
      <vt:lpstr>FileName</vt:lpstr>
    </vt:vector>
  </TitlesOfParts>
  <Company>Tetra Tech,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Leppo, Erik</cp:lastModifiedBy>
  <dcterms:created xsi:type="dcterms:W3CDTF">2010-12-03T11:39:13Z</dcterms:created>
  <dcterms:modified xsi:type="dcterms:W3CDTF">2025-02-07T20:21:50Z</dcterms:modified>
</cp:coreProperties>
</file>