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9F301F61-0BAD-49DB-81CF-497AB54A188F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Flags!$A$1:$J$523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3" i="2" l="1"/>
  <c r="I523" i="2"/>
  <c r="J522" i="2"/>
  <c r="I522" i="2"/>
  <c r="J521" i="2"/>
  <c r="I521" i="2"/>
  <c r="J520" i="2"/>
  <c r="I520" i="2"/>
  <c r="J519" i="2"/>
  <c r="I519" i="2"/>
  <c r="J518" i="2"/>
  <c r="I518" i="2"/>
  <c r="J517" i="2"/>
  <c r="I517" i="2"/>
  <c r="J516" i="2"/>
  <c r="I516" i="2"/>
  <c r="J515" i="2"/>
  <c r="I515" i="2"/>
  <c r="J514" i="2"/>
  <c r="I514" i="2"/>
  <c r="J513" i="2"/>
  <c r="I513" i="2"/>
  <c r="J512" i="2"/>
  <c r="I512" i="2"/>
  <c r="J511" i="2"/>
  <c r="I511" i="2"/>
  <c r="J510" i="2"/>
  <c r="I510" i="2"/>
  <c r="J509" i="2"/>
  <c r="I509" i="2"/>
  <c r="J508" i="2"/>
  <c r="I508" i="2"/>
  <c r="J507" i="2"/>
  <c r="I507" i="2"/>
  <c r="J506" i="2"/>
  <c r="I506" i="2"/>
  <c r="J505" i="2"/>
  <c r="I505" i="2"/>
  <c r="J504" i="2"/>
  <c r="I504" i="2"/>
  <c r="J503" i="2"/>
  <c r="I503" i="2"/>
  <c r="J502" i="2"/>
  <c r="I502" i="2"/>
  <c r="J501" i="2"/>
  <c r="I501" i="2"/>
  <c r="J500" i="2"/>
  <c r="I500" i="2"/>
  <c r="J499" i="2"/>
  <c r="I499" i="2"/>
  <c r="J498" i="2"/>
  <c r="I498" i="2"/>
  <c r="J497" i="2"/>
  <c r="I497" i="2"/>
  <c r="J496" i="2"/>
  <c r="I496" i="2"/>
  <c r="J495" i="2"/>
  <c r="I495" i="2"/>
  <c r="J494" i="2"/>
  <c r="I494" i="2"/>
  <c r="J493" i="2"/>
  <c r="I493" i="2"/>
  <c r="J492" i="2"/>
  <c r="I492" i="2"/>
  <c r="J491" i="2"/>
  <c r="I491" i="2"/>
  <c r="J490" i="2"/>
  <c r="I490" i="2"/>
  <c r="J489" i="2"/>
  <c r="I489" i="2"/>
  <c r="J488" i="2"/>
  <c r="I488" i="2"/>
  <c r="J487" i="2"/>
  <c r="I487" i="2"/>
  <c r="J486" i="2"/>
  <c r="I486" i="2"/>
  <c r="J485" i="2"/>
  <c r="I485" i="2"/>
  <c r="J484" i="2"/>
  <c r="I484" i="2"/>
  <c r="J483" i="2"/>
  <c r="I483" i="2"/>
  <c r="J482" i="2"/>
  <c r="I482" i="2"/>
  <c r="J481" i="2"/>
  <c r="I481" i="2"/>
  <c r="J480" i="2"/>
  <c r="I480" i="2"/>
  <c r="J479" i="2"/>
  <c r="I479" i="2"/>
  <c r="J478" i="2"/>
  <c r="I478" i="2"/>
  <c r="J477" i="2"/>
  <c r="I477" i="2"/>
  <c r="J476" i="2"/>
  <c r="I476" i="2"/>
  <c r="J475" i="2"/>
  <c r="I475" i="2"/>
  <c r="J474" i="2"/>
  <c r="I474" i="2"/>
  <c r="J473" i="2"/>
  <c r="I473" i="2"/>
  <c r="J472" i="2"/>
  <c r="I472" i="2"/>
  <c r="J471" i="2"/>
  <c r="I471" i="2"/>
  <c r="J470" i="2"/>
  <c r="I470" i="2"/>
  <c r="J469" i="2"/>
  <c r="I469" i="2"/>
  <c r="J468" i="2"/>
  <c r="I468" i="2"/>
  <c r="J467" i="2"/>
  <c r="I467" i="2"/>
  <c r="J466" i="2"/>
  <c r="I466" i="2"/>
  <c r="J465" i="2"/>
  <c r="I465" i="2"/>
  <c r="J464" i="2"/>
  <c r="I464" i="2"/>
  <c r="J463" i="2"/>
  <c r="I463" i="2"/>
  <c r="J462" i="2"/>
  <c r="I462" i="2"/>
  <c r="J461" i="2"/>
  <c r="I461" i="2"/>
  <c r="J460" i="2"/>
  <c r="I460" i="2"/>
  <c r="J459" i="2"/>
  <c r="I459" i="2"/>
  <c r="J458" i="2"/>
  <c r="I458" i="2"/>
  <c r="J457" i="2"/>
  <c r="I457" i="2"/>
  <c r="J456" i="2"/>
  <c r="I456" i="2"/>
  <c r="J455" i="2"/>
  <c r="I455" i="2"/>
  <c r="J454" i="2"/>
  <c r="I454" i="2"/>
  <c r="J453" i="2"/>
  <c r="I453" i="2"/>
  <c r="J452" i="2"/>
  <c r="I452" i="2"/>
  <c r="J451" i="2"/>
  <c r="I451" i="2"/>
  <c r="J450" i="2"/>
  <c r="I450" i="2"/>
  <c r="J449" i="2"/>
  <c r="I449" i="2"/>
  <c r="J448" i="2"/>
  <c r="I448" i="2"/>
  <c r="J447" i="2"/>
  <c r="I447" i="2"/>
  <c r="J446" i="2"/>
  <c r="I446" i="2"/>
  <c r="J445" i="2"/>
  <c r="I445" i="2"/>
  <c r="J444" i="2"/>
  <c r="I444" i="2"/>
  <c r="J443" i="2"/>
  <c r="I443" i="2"/>
  <c r="J442" i="2"/>
  <c r="I442" i="2"/>
  <c r="J441" i="2"/>
  <c r="I441" i="2"/>
  <c r="J440" i="2"/>
  <c r="I440" i="2"/>
  <c r="J439" i="2"/>
  <c r="I439" i="2"/>
  <c r="J438" i="2"/>
  <c r="I438" i="2"/>
  <c r="J437" i="2"/>
  <c r="I437" i="2"/>
  <c r="J436" i="2"/>
  <c r="I436" i="2"/>
  <c r="J435" i="2"/>
  <c r="I435" i="2"/>
  <c r="J434" i="2"/>
  <c r="I434" i="2"/>
  <c r="J432" i="2"/>
  <c r="I432" i="2"/>
  <c r="J431" i="2"/>
  <c r="I431" i="2"/>
  <c r="J430" i="2"/>
  <c r="I430" i="2"/>
  <c r="J429" i="2"/>
  <c r="I429" i="2"/>
  <c r="J428" i="2"/>
  <c r="I428" i="2"/>
  <c r="J427" i="2"/>
  <c r="I427" i="2"/>
  <c r="J426" i="2"/>
  <c r="I426" i="2"/>
  <c r="J425" i="2"/>
  <c r="I425" i="2"/>
  <c r="J424" i="2"/>
  <c r="I424" i="2"/>
  <c r="J423" i="2"/>
  <c r="I423" i="2"/>
  <c r="J422" i="2"/>
  <c r="I422" i="2"/>
  <c r="J421" i="2"/>
  <c r="I421" i="2"/>
  <c r="J420" i="2"/>
  <c r="I420" i="2"/>
  <c r="J419" i="2"/>
  <c r="I419" i="2"/>
  <c r="J418" i="2"/>
  <c r="I418" i="2"/>
  <c r="J417" i="2"/>
  <c r="I417" i="2"/>
  <c r="J416" i="2"/>
  <c r="I416" i="2"/>
  <c r="J415" i="2"/>
  <c r="I415" i="2"/>
  <c r="J414" i="2"/>
  <c r="I414" i="2"/>
  <c r="J413" i="2"/>
  <c r="I413" i="2"/>
  <c r="J412" i="2"/>
  <c r="I412" i="2"/>
  <c r="J411" i="2"/>
  <c r="I411" i="2"/>
  <c r="J410" i="2"/>
  <c r="I410" i="2"/>
  <c r="J409" i="2"/>
  <c r="I409" i="2"/>
  <c r="J408" i="2"/>
  <c r="I408" i="2"/>
  <c r="J407" i="2"/>
  <c r="I407" i="2"/>
  <c r="J406" i="2"/>
  <c r="I406" i="2"/>
  <c r="J405" i="2"/>
  <c r="I405" i="2"/>
  <c r="J404" i="2"/>
  <c r="I404" i="2"/>
  <c r="J403" i="2"/>
  <c r="I403" i="2"/>
  <c r="J402" i="2"/>
  <c r="I40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433" i="2"/>
  <c r="I433" i="2"/>
  <c r="A5" i="1" l="1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<sst xmlns="http://schemas.openxmlformats.org/spreadsheetml/2006/main" count="2906" uniqueCount="276">
  <si>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</si>
  <si>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</si>
  <si>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</si>
  <si>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</si>
  <si>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</si>
  <si>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</si>
  <si>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</si>
  <si>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</si>
  <si>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</si>
  <si>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</si>
  <si>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</si>
  <si>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</si>
  <si>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</si>
  <si>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</si>
  <si>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</si>
  <si>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</si>
  <si>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</si>
  <si>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</si>
  <si>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</si>
  <si>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</si>
  <si>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</si>
  <si>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</si>
  <si>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</si>
  <si>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</si>
  <si>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</si>
  <si>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</si>
  <si>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</si>
  <si>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</si>
  <si>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</si>
  <si>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</si>
  <si>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</si>
  <si>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</si>
  <si>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</si>
  <si>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</si>
  <si>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</si>
  <si>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</si>
  <si>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</si>
  <si>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</si>
  <si>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</si>
  <si>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</si>
  <si>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</si>
  <si>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</si>
  <si>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</si>
  <si>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</si>
  <si>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</si>
  <si>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</si>
  <si>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</si>
  <si>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</si>
  <si>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</si>
  <si>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</si>
  <si>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</si>
  <si>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</si>
  <si>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</si>
  <si>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</si>
  <si>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</si>
  <si>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</si>
  <si>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</si>
  <si>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</si>
  <si>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</si>
  <si>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</si>
  <si>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</si>
  <si>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</si>
  <si>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</si>
  <si>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</si>
  <si>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</si>
  <si>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</si>
  <si>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</si>
  <si>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</si>
  <si>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</si>
  <si>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</si>
  <si>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</si>
  <si>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</si>
  <si>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</si>
  <si>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</si>
  <si>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</si>
  <si>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</si>
  <si>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</si>
  <si>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</si>
  <si>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</si>
  <si>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</si>
  <si>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</si>
  <si>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</si>
  <si>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</si>
  <si>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</si>
  <si>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</si>
  <si>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</si>
  <si>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</si>
  <si>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</si>
  <si>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</si>
  <si>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</si>
  <si>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</si>
  <si>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</si>
  <si>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</si>
  <si>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</si>
  <si>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</si>
  <si>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</si>
  <si>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</si>
  <si>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</si>
  <si>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</si>
  <si>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</si>
  <si>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</si>
  <si>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</si>
  <si>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</si>
  <si>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</si>
  <si>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</si>
  <si>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</si>
  <si>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</si>
  <si>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</si>
  <si>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</si>
  <si>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</si>
  <si>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</si>
  <si>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</si>
  <si>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</si>
  <si>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</si>
  <si>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</si>
  <si>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</si>
  <si>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</si>
  <si>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</si>
  <si>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</si>
  <si>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</si>
  <si>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</si>
  <si>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</si>
  <si>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</si>
  <si>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</si>
  <si>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</si>
  <si>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</si>
  <si>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</si>
  <si>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</si>
  <si>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</si>
  <si>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</si>
  <si>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</si>
  <si>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</si>
  <si>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</si>
  <si>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</si>
  <si>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</si>
  <si>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</si>
  <si>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</si>
  <si>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</si>
  <si>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</si>
  <si>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</si>
  <si>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</si>
  <si>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</si>
  <si>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</si>
  <si>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</si>
  <si>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</si>
  <si>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</si>
  <si>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</si>
  <si>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</si>
  <si>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</si>
  <si>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</si>
  <si>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</si>
  <si>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</si>
  <si>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</si>
  <si>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</si>
  <si>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</si>
  <si>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</si>
  <si>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</si>
  <si>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</si>
  <si>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</si>
  <si>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</si>
  <si>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</si>
  <si>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</si>
  <si>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</si>
  <si>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</si>
  <si>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</si>
  <si>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</si>
  <si>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</si>
  <si>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</si>
  <si>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</si>
  <si>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</si>
  <si>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</si>
  <si>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</si>
  <si>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</si>
  <si>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</si>
  <si>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</si>
  <si>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</si>
  <si>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</si>
  <si>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</si>
  <si>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</si>
  <si>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</si>
  <si>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</si>
  <si>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</si>
  <si>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</si>
  <si>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</si>
  <si>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</si>
  <si>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</si>
  <si>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</si>
  <si>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</si>
  <si>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</si>
  <si>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</si>
  <si>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</si>
  <si>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</si>
  <si>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</si>
  <si>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</si>
  <si>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</si>
  <si>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</si>
  <si>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</si>
  <si>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</si>
  <si>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</si>
  <si>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</si>
  <si>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</si>
  <si>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</si>
  <si>
    <t>Add flags for Boise BCG, Main_Eckert</t>
  </si>
  <si>
    <t>LBR_Fish_BCG_v1</t>
  </si>
  <si>
    <t>Main_Eckert</t>
  </si>
  <si>
    <t>low number of total individuals</t>
  </si>
  <si>
    <t>low number of total taxa</t>
  </si>
  <si>
    <t>imbalance, dominance by one taxon</t>
  </si>
  <si>
    <t>imbalance, dominance by two taxa</t>
  </si>
  <si>
    <t>LBR_Bugs_BCG_v1</t>
  </si>
  <si>
    <t>Main_BarberPool</t>
  </si>
  <si>
    <t>low total individuals</t>
  </si>
  <si>
    <t>high total individuals</t>
  </si>
  <si>
    <t>pi_BCG_att6t</t>
  </si>
  <si>
    <t>high percentage non-native, tolerant individuals</t>
  </si>
  <si>
    <t>x_Shan_2</t>
  </si>
  <si>
    <t>extremely unbalanced</t>
  </si>
  <si>
    <t>unusually low number of mayfly taxa</t>
  </si>
  <si>
    <t>missing stonefly taxa</t>
  </si>
  <si>
    <t>unusually low number of caddisfly taxa</t>
  </si>
  <si>
    <t>nt_ti_stenocold_cold_cool</t>
  </si>
  <si>
    <t>missing coolwater taxa</t>
  </si>
  <si>
    <t>nt_ti_stenowarm</t>
  </si>
  <si>
    <t>high number of warm stenotherm taxa</t>
  </si>
  <si>
    <t>Main_Middleton</t>
  </si>
  <si>
    <t>Main_NotusParma</t>
  </si>
  <si>
    <t>Main_SoChannel</t>
  </si>
  <si>
    <t>Main_VetGlen</t>
  </si>
  <si>
    <t>Boise BCG, bugs</t>
  </si>
  <si>
    <t>Boise BCG, bugs, add sum_density_m2</t>
  </si>
  <si>
    <t>sum_density_m2</t>
  </si>
  <si>
    <t>low density</t>
  </si>
  <si>
    <t>high density</t>
  </si>
  <si>
    <t>&lt;=</t>
  </si>
  <si>
    <t>Xeric_Multihab</t>
  </si>
  <si>
    <t>imbalanced</t>
  </si>
  <si>
    <t>nt_EPT_volt_semi</t>
  </si>
  <si>
    <t>missing semivoltine EPT taxa</t>
  </si>
  <si>
    <t>nt_ffg_pred_scrap_shred</t>
  </si>
  <si>
    <t>missing taxa from key FFGs</t>
  </si>
  <si>
    <t>lack of cold or cool taxa</t>
  </si>
  <si>
    <t>high number warm stenotherm taxa</t>
  </si>
  <si>
    <t>potential disturbance; high percent Simuliidae and Baetis tricaudatus complex individuals</t>
  </si>
  <si>
    <t>pt_habitat_loti</t>
  </si>
  <si>
    <t>high percent lotic taxa</t>
  </si>
  <si>
    <t>nt_noteworthy</t>
  </si>
  <si>
    <t>more than two noteworthy taxa</t>
  </si>
  <si>
    <t>Xeric_Riffle</t>
  </si>
  <si>
    <t>MountainCold_Multihab</t>
  </si>
  <si>
    <t>unusually low number of taxa</t>
  </si>
  <si>
    <t>imbalanced for this class</t>
  </si>
  <si>
    <t>pi_BCG_att56t</t>
  </si>
  <si>
    <t>presence of highly tolerant individuals</t>
  </si>
  <si>
    <t>pi_NonInsTrombJuga_BCG_att456</t>
  </si>
  <si>
    <t>unusually high proportion of non-sensitive, non-insect individuals</t>
  </si>
  <si>
    <t>presence of warm stenotherm taxa</t>
  </si>
  <si>
    <t>presence of four or more noteworthy taxa</t>
  </si>
  <si>
    <t>unusually low percent lotic taxa for this class</t>
  </si>
  <si>
    <t>MountainCold_Riffle</t>
  </si>
  <si>
    <t>high highly tolerant (Att56t) individuals for this class</t>
  </si>
  <si>
    <t>unusually low number of semivoltine EPT taxa</t>
  </si>
  <si>
    <t>low number of cold water taxa</t>
  </si>
  <si>
    <t>unusually low number of stonefly taxa</t>
  </si>
  <si>
    <t>presence of more than four noteworthy taxa</t>
  </si>
  <si>
    <t>NBR_Riffle</t>
  </si>
  <si>
    <t>nt_largeriver</t>
  </si>
  <si>
    <t>large river signal</t>
  </si>
  <si>
    <t>two or more noteworthy taxa</t>
  </si>
  <si>
    <t>Foothills_Multihab</t>
  </si>
  <si>
    <t>Foothills_Riffle</t>
  </si>
  <si>
    <t>pi_dom02_BCG_att456</t>
  </si>
  <si>
    <t>high dominance by two tolerant (Attr IV,V,VI) taxa</t>
  </si>
  <si>
    <t>pt_Chiro</t>
  </si>
  <si>
    <t>unusually high percentage of Chironomidae taxa</t>
  </si>
  <si>
    <t>unusually low number of cold or cool water taxa</t>
  </si>
  <si>
    <t>dom02 version is new, dom01 version exists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</si>
</sst>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name val="Aptos Narrow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6" fillId="9" borderId="0" applyNumberFormat="0" applyBorder="0" applyAlignment="0" applyProtection="0"/>
    <xf numFmtId="0" fontId="17" fillId="10" borderId="0" applyNumberFormat="0" applyBorder="0" applyAlignment="0" applyProtection="0"/>
    <xf numFmtId="0" fontId="21" fillId="0" borderId="0"/>
  </cellStyleXfs>
  <cellXfs count="6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8" fillId="0" borderId="0" xfId="0" applyFont="1" applyAlignment="1">
      <alignment horizontal="left" wrapText="1" readingOrder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0" borderId="0" xfId="7" applyAlignment="1">
      <alignment horizontal="left" wrapText="1"/>
    </xf>
    <xf numFmtId="0" fontId="0" fillId="6" borderId="0" xfId="0" applyFill="1" applyAlignment="1">
      <alignment horizontal="left"/>
    </xf>
    <xf numFmtId="0" fontId="18" fillId="5" borderId="0" xfId="0" applyFont="1" applyFill="1" applyAlignment="1">
      <alignment horizontal="left" wrapText="1" readingOrder="1"/>
    </xf>
    <xf numFmtId="0" fontId="19" fillId="5" borderId="0" xfId="0" applyFont="1" applyFill="1" applyAlignment="1">
      <alignment vertical="center"/>
    </xf>
    <xf numFmtId="0" fontId="19" fillId="5" borderId="0" xfId="0" applyFont="1" applyFill="1" applyAlignment="1">
      <alignment horizontal="center" vertical="center"/>
    </xf>
    <xf numFmtId="0" fontId="19" fillId="0" borderId="0" xfId="0" applyFont="1"/>
    <xf numFmtId="0" fontId="18" fillId="6" borderId="0" xfId="0" applyFont="1" applyFill="1" applyAlignment="1">
      <alignment horizontal="left" wrapText="1" readingOrder="1"/>
    </xf>
    <xf numFmtId="0" fontId="0" fillId="6" borderId="0" xfId="0" applyFill="1" applyAlignment="1">
      <alignment horizontal="center"/>
    </xf>
    <xf numFmtId="0" fontId="19" fillId="6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 vertical="center"/>
    </xf>
    <xf numFmtId="0" fontId="22" fillId="0" borderId="0" xfId="7" applyFont="1" applyAlignment="1">
      <alignment horizontal="left" wrapText="1"/>
    </xf>
    <xf numFmtId="0" fontId="0" fillId="5" borderId="0" xfId="0" applyFill="1" applyAlignment="1">
      <alignment vertical="center"/>
    </xf>
    <xf numFmtId="0" fontId="1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8" fillId="0" borderId="0" xfId="0" applyFont="1" applyAlignment="1">
      <alignment horizontal="left" vertical="center" wrapText="1" readingOrder="1"/>
    </xf>
    <xf numFmtId="2" fontId="0" fillId="0" borderId="0" xfId="0" applyNumberFormat="1" applyAlignment="1">
      <alignment horizontal="center" vertical="center"/>
    </xf>
    <xf numFmtId="0" fontId="23" fillId="5" borderId="0" xfId="0" applyFont="1" applyFill="1" applyAlignment="1">
      <alignment horizontal="left" vertical="center" wrapText="1" readingOrder="1"/>
    </xf>
    <xf numFmtId="0" fontId="19" fillId="5" borderId="0" xfId="0" applyFont="1" applyFill="1" applyAlignment="1">
      <alignment horizontal="center"/>
    </xf>
    <xf numFmtId="0" fontId="23" fillId="0" borderId="0" xfId="0" applyFont="1" applyAlignment="1">
      <alignment horizontal="left" vertical="center" wrapText="1" readingOrder="1"/>
    </xf>
    <xf numFmtId="0" fontId="19" fillId="0" borderId="0" xfId="0" applyFont="1" applyAlignment="1">
      <alignment horizontal="center"/>
    </xf>
    <xf numFmtId="0" fontId="21" fillId="0" borderId="0" xfId="7" applyAlignment="1">
      <alignment horizontal="left" vertical="center" wrapText="1"/>
    </xf>
    <xf numFmtId="0" fontId="16" fillId="9" borderId="0" xfId="5"/>
    <xf numFmtId="0" fontId="17" fillId="10" borderId="0" xfId="6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ormal" xfId="0" builtinId="0"/>
    <cellStyle name="Normal_SpCorr" xfId="7" xr:uid="{990E98AA-77C4-4E24-BA1A-407362A1E1AF}"/>
    <cellStyle name="Title" xfId="1" builtinId="1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8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50"/>
  <sheetViews>
    <sheetView zoomScaleNormal="100" workbookViewId="0">
      <pane ySplit="5" topLeftCell="A41" activePane="bottomLeft" state="frozen"/>
      <selection pane="bottomLeft" activeCell="A6" sqref="A6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f>MAX(A22:A574)</f>
        <v>46182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  <row r="47" spans="1:2" x14ac:dyDescent="0.25">
      <c r="A47" s="15">
        <v>46017</v>
      </c>
      <c r="B47" t="s">
        <v>202</v>
      </c>
    </row>
    <row r="48" spans="1:2" x14ac:dyDescent="0.25">
      <c r="A48" s="15">
        <v>46160</v>
      </c>
      <c r="B48" t="s">
        <v>228</v>
      </c>
    </row>
    <row r="49" spans="1:2" x14ac:dyDescent="0.25">
      <c r="A49" s="15">
        <v>46161</v>
      </c>
      <c r="B49" t="s">
        <v>229</v>
      </c>
    </row>
    <row r="50" spans="1:2" x14ac:dyDescent="0.25">
      <c r="A50" s="15">
        <v>46182</v>
      </c>
      <c r="B50" t="s">
        <v>124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J523"/>
  <sheetViews>
    <sheetView tabSelected="1" workbookViewId="0">
      <pane ySplit="1" topLeftCell="A475" activePane="bottomLeft" state="frozen"/>
      <selection pane="bottomLeft" activeCell="D491" sqref="D491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7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  <row r="364" spans="1:10" x14ac:dyDescent="0.25">
      <c r="A364" t="s">
        <v>203</v>
      </c>
      <c r="B364" t="s">
        <v>204</v>
      </c>
      <c r="C364" t="s">
        <v>14</v>
      </c>
      <c r="D364" t="s">
        <v>16</v>
      </c>
      <c r="E364">
        <v>100</v>
      </c>
      <c r="F364" t="s">
        <v>205</v>
      </c>
      <c r="G364" t="b">
        <v>1</v>
      </c>
      <c r="I364" t="str">
        <f t="shared" ref="I364:I427" si="15">B364</f>
        <v>Main_Eckert</v>
      </c>
      <c r="J364" t="str">
        <f t="shared" ref="J364:J427" si="16">A364</f>
        <v>LBR_Fish_BCG_v1</v>
      </c>
    </row>
    <row r="365" spans="1:10" x14ac:dyDescent="0.25">
      <c r="A365" t="s">
        <v>203</v>
      </c>
      <c r="B365" t="s">
        <v>204</v>
      </c>
      <c r="C365" t="s">
        <v>188</v>
      </c>
      <c r="D365" t="s">
        <v>16</v>
      </c>
      <c r="E365">
        <v>4</v>
      </c>
      <c r="F365" t="s">
        <v>206</v>
      </c>
      <c r="G365" t="b">
        <v>1</v>
      </c>
      <c r="I365" t="str">
        <f t="shared" si="15"/>
        <v>Main_Eckert</v>
      </c>
      <c r="J365" t="str">
        <f t="shared" si="16"/>
        <v>LBR_Fish_BCG_v1</v>
      </c>
    </row>
    <row r="366" spans="1:10" x14ac:dyDescent="0.25">
      <c r="A366" t="s">
        <v>203</v>
      </c>
      <c r="B366" t="s">
        <v>204</v>
      </c>
      <c r="C366" t="s">
        <v>169</v>
      </c>
      <c r="D366" t="s">
        <v>17</v>
      </c>
      <c r="E366">
        <v>70</v>
      </c>
      <c r="F366" t="s">
        <v>207</v>
      </c>
      <c r="G366" t="b">
        <v>1</v>
      </c>
      <c r="I366" t="str">
        <f t="shared" si="15"/>
        <v>Main_Eckert</v>
      </c>
      <c r="J366" t="str">
        <f t="shared" si="16"/>
        <v>LBR_Fish_BCG_v1</v>
      </c>
    </row>
    <row r="367" spans="1:10" x14ac:dyDescent="0.25">
      <c r="A367" t="s">
        <v>203</v>
      </c>
      <c r="B367" t="s">
        <v>204</v>
      </c>
      <c r="C367" t="s">
        <v>51</v>
      </c>
      <c r="D367" t="s">
        <v>17</v>
      </c>
      <c r="E367">
        <v>85</v>
      </c>
      <c r="F367" t="s">
        <v>208</v>
      </c>
      <c r="G367" t="b">
        <v>1</v>
      </c>
      <c r="I367" t="str">
        <f t="shared" si="15"/>
        <v>Main_Eckert</v>
      </c>
      <c r="J367" t="str">
        <f t="shared" si="16"/>
        <v>LBR_Fish_BCG_v1</v>
      </c>
    </row>
    <row r="368" spans="1:10" x14ac:dyDescent="0.25">
      <c r="A368" t="s">
        <v>209</v>
      </c>
      <c r="B368" t="s">
        <v>210</v>
      </c>
      <c r="C368" t="s">
        <v>14</v>
      </c>
      <c r="D368" t="s">
        <v>16</v>
      </c>
      <c r="E368">
        <v>500</v>
      </c>
      <c r="F368" t="s">
        <v>211</v>
      </c>
      <c r="G368" t="b">
        <v>1</v>
      </c>
      <c r="I368" t="str">
        <f t="shared" si="15"/>
        <v>Main_BarberPool</v>
      </c>
      <c r="J368" t="str">
        <f t="shared" si="16"/>
        <v>LBR_Bugs_BCG_v1</v>
      </c>
    </row>
    <row r="369" spans="1:10" x14ac:dyDescent="0.25">
      <c r="A369" t="s">
        <v>209</v>
      </c>
      <c r="B369" t="s">
        <v>210</v>
      </c>
      <c r="C369" t="s">
        <v>14</v>
      </c>
      <c r="D369" t="s">
        <v>15</v>
      </c>
      <c r="E369">
        <v>650</v>
      </c>
      <c r="F369" t="s">
        <v>212</v>
      </c>
      <c r="G369" t="b">
        <v>1</v>
      </c>
      <c r="I369" t="str">
        <f t="shared" si="15"/>
        <v>Main_BarberPool</v>
      </c>
      <c r="J369" t="str">
        <f t="shared" si="16"/>
        <v>LBR_Bugs_BCG_v1</v>
      </c>
    </row>
    <row r="370" spans="1:10" x14ac:dyDescent="0.25">
      <c r="A370" t="s">
        <v>209</v>
      </c>
      <c r="B370" t="s">
        <v>210</v>
      </c>
      <c r="C370" t="s">
        <v>213</v>
      </c>
      <c r="D370" t="s">
        <v>17</v>
      </c>
      <c r="E370">
        <v>1</v>
      </c>
      <c r="F370" t="s">
        <v>214</v>
      </c>
      <c r="G370" t="b">
        <v>1</v>
      </c>
      <c r="I370" t="str">
        <f t="shared" si="15"/>
        <v>Main_BarberPool</v>
      </c>
      <c r="J370" t="str">
        <f t="shared" si="16"/>
        <v>LBR_Bugs_BCG_v1</v>
      </c>
    </row>
    <row r="371" spans="1:10" x14ac:dyDescent="0.25">
      <c r="A371" t="s">
        <v>209</v>
      </c>
      <c r="B371" t="s">
        <v>210</v>
      </c>
      <c r="C371" t="s">
        <v>215</v>
      </c>
      <c r="D371" t="s">
        <v>233</v>
      </c>
      <c r="E371">
        <v>2</v>
      </c>
      <c r="F371" t="s">
        <v>216</v>
      </c>
      <c r="G371" t="b">
        <v>1</v>
      </c>
      <c r="I371" t="str">
        <f t="shared" si="15"/>
        <v>Main_BarberPool</v>
      </c>
      <c r="J371" t="str">
        <f t="shared" si="16"/>
        <v>LBR_Bugs_BCG_v1</v>
      </c>
    </row>
    <row r="372" spans="1:10" x14ac:dyDescent="0.25">
      <c r="A372" t="s">
        <v>209</v>
      </c>
      <c r="B372" t="s">
        <v>210</v>
      </c>
      <c r="C372" t="s">
        <v>72</v>
      </c>
      <c r="D372" t="s">
        <v>16</v>
      </c>
      <c r="E372">
        <v>3</v>
      </c>
      <c r="F372" t="s">
        <v>217</v>
      </c>
      <c r="G372" t="b">
        <v>1</v>
      </c>
      <c r="I372" t="str">
        <f t="shared" si="15"/>
        <v>Main_BarberPool</v>
      </c>
      <c r="J372" t="str">
        <f t="shared" si="16"/>
        <v>LBR_Bugs_BCG_v1</v>
      </c>
    </row>
    <row r="373" spans="1:10" x14ac:dyDescent="0.25">
      <c r="A373" t="s">
        <v>209</v>
      </c>
      <c r="B373" t="s">
        <v>210</v>
      </c>
      <c r="C373" t="s">
        <v>74</v>
      </c>
      <c r="D373" t="s">
        <v>16</v>
      </c>
      <c r="E373">
        <v>1</v>
      </c>
      <c r="F373" t="s">
        <v>218</v>
      </c>
      <c r="G373" t="b">
        <v>1</v>
      </c>
      <c r="I373" t="str">
        <f t="shared" si="15"/>
        <v>Main_BarberPool</v>
      </c>
      <c r="J373" t="str">
        <f t="shared" si="16"/>
        <v>LBR_Bugs_BCG_v1</v>
      </c>
    </row>
    <row r="374" spans="1:10" x14ac:dyDescent="0.25">
      <c r="A374" t="s">
        <v>209</v>
      </c>
      <c r="B374" t="s">
        <v>210</v>
      </c>
      <c r="C374" t="s">
        <v>76</v>
      </c>
      <c r="D374" t="s">
        <v>233</v>
      </c>
      <c r="E374">
        <v>2</v>
      </c>
      <c r="F374" t="s">
        <v>219</v>
      </c>
      <c r="G374" t="b">
        <v>1</v>
      </c>
      <c r="I374" t="str">
        <f t="shared" si="15"/>
        <v>Main_BarberPool</v>
      </c>
      <c r="J374" t="str">
        <f t="shared" si="16"/>
        <v>LBR_Bugs_BCG_v1</v>
      </c>
    </row>
    <row r="375" spans="1:10" x14ac:dyDescent="0.25">
      <c r="A375" t="s">
        <v>209</v>
      </c>
      <c r="B375" t="s">
        <v>210</v>
      </c>
      <c r="C375" t="s">
        <v>220</v>
      </c>
      <c r="D375" t="s">
        <v>16</v>
      </c>
      <c r="E375">
        <v>1</v>
      </c>
      <c r="F375" t="s">
        <v>221</v>
      </c>
      <c r="G375" t="b">
        <v>1</v>
      </c>
      <c r="I375" t="str">
        <f t="shared" si="15"/>
        <v>Main_BarberPool</v>
      </c>
      <c r="J375" t="str">
        <f t="shared" si="16"/>
        <v>LBR_Bugs_BCG_v1</v>
      </c>
    </row>
    <row r="376" spans="1:10" x14ac:dyDescent="0.25">
      <c r="A376" t="s">
        <v>209</v>
      </c>
      <c r="B376" t="s">
        <v>210</v>
      </c>
      <c r="C376" t="s">
        <v>222</v>
      </c>
      <c r="D376" t="s">
        <v>17</v>
      </c>
      <c r="E376">
        <v>3</v>
      </c>
      <c r="F376" t="s">
        <v>223</v>
      </c>
      <c r="G376" t="b">
        <v>1</v>
      </c>
      <c r="I376" t="str">
        <f t="shared" si="15"/>
        <v>Main_BarberPool</v>
      </c>
      <c r="J376" t="str">
        <f t="shared" si="16"/>
        <v>LBR_Bugs_BCG_v1</v>
      </c>
    </row>
    <row r="377" spans="1:10" x14ac:dyDescent="0.25">
      <c r="A377" t="s">
        <v>209</v>
      </c>
      <c r="B377" t="s">
        <v>204</v>
      </c>
      <c r="C377" t="s">
        <v>14</v>
      </c>
      <c r="D377" t="s">
        <v>16</v>
      </c>
      <c r="E377">
        <v>500</v>
      </c>
      <c r="F377" t="s">
        <v>211</v>
      </c>
      <c r="G377" t="b">
        <v>1</v>
      </c>
      <c r="I377" t="str">
        <f t="shared" si="15"/>
        <v>Main_Eckert</v>
      </c>
      <c r="J377" t="str">
        <f t="shared" si="16"/>
        <v>LBR_Bugs_BCG_v1</v>
      </c>
    </row>
    <row r="378" spans="1:10" x14ac:dyDescent="0.25">
      <c r="A378" t="s">
        <v>209</v>
      </c>
      <c r="B378" t="s">
        <v>204</v>
      </c>
      <c r="C378" t="s">
        <v>14</v>
      </c>
      <c r="D378" t="s">
        <v>15</v>
      </c>
      <c r="E378">
        <v>650</v>
      </c>
      <c r="F378" t="s">
        <v>212</v>
      </c>
      <c r="G378" t="b">
        <v>1</v>
      </c>
      <c r="I378" t="str">
        <f t="shared" si="15"/>
        <v>Main_Eckert</v>
      </c>
      <c r="J378" t="str">
        <f t="shared" si="16"/>
        <v>LBR_Bugs_BCG_v1</v>
      </c>
    </row>
    <row r="379" spans="1:10" x14ac:dyDescent="0.25">
      <c r="A379" t="s">
        <v>209</v>
      </c>
      <c r="B379" t="s">
        <v>204</v>
      </c>
      <c r="C379" t="s">
        <v>213</v>
      </c>
      <c r="D379" t="s">
        <v>17</v>
      </c>
      <c r="E379">
        <v>1</v>
      </c>
      <c r="F379" t="s">
        <v>214</v>
      </c>
      <c r="G379" t="b">
        <v>1</v>
      </c>
      <c r="I379" t="str">
        <f t="shared" si="15"/>
        <v>Main_Eckert</v>
      </c>
      <c r="J379" t="str">
        <f t="shared" si="16"/>
        <v>LBR_Bugs_BCG_v1</v>
      </c>
    </row>
    <row r="380" spans="1:10" x14ac:dyDescent="0.25">
      <c r="A380" t="s">
        <v>209</v>
      </c>
      <c r="B380" t="s">
        <v>204</v>
      </c>
      <c r="C380" t="s">
        <v>215</v>
      </c>
      <c r="D380" t="s">
        <v>233</v>
      </c>
      <c r="E380">
        <v>2</v>
      </c>
      <c r="F380" t="s">
        <v>216</v>
      </c>
      <c r="G380" t="b">
        <v>1</v>
      </c>
      <c r="I380" t="str">
        <f t="shared" si="15"/>
        <v>Main_Eckert</v>
      </c>
      <c r="J380" t="str">
        <f t="shared" si="16"/>
        <v>LBR_Bugs_BCG_v1</v>
      </c>
    </row>
    <row r="381" spans="1:10" x14ac:dyDescent="0.25">
      <c r="A381" t="s">
        <v>209</v>
      </c>
      <c r="B381" t="s">
        <v>204</v>
      </c>
      <c r="C381" t="s">
        <v>72</v>
      </c>
      <c r="D381" t="s">
        <v>16</v>
      </c>
      <c r="E381">
        <v>3</v>
      </c>
      <c r="F381" t="s">
        <v>217</v>
      </c>
      <c r="G381" t="b">
        <v>1</v>
      </c>
      <c r="I381" t="str">
        <f t="shared" si="15"/>
        <v>Main_Eckert</v>
      </c>
      <c r="J381" t="str">
        <f t="shared" si="16"/>
        <v>LBR_Bugs_BCG_v1</v>
      </c>
    </row>
    <row r="382" spans="1:10" x14ac:dyDescent="0.25">
      <c r="A382" t="s">
        <v>209</v>
      </c>
      <c r="B382" t="s">
        <v>204</v>
      </c>
      <c r="C382" t="s">
        <v>74</v>
      </c>
      <c r="D382" t="s">
        <v>16</v>
      </c>
      <c r="E382">
        <v>1</v>
      </c>
      <c r="F382" t="s">
        <v>218</v>
      </c>
      <c r="G382" t="b">
        <v>1</v>
      </c>
      <c r="I382" t="str">
        <f t="shared" si="15"/>
        <v>Main_Eckert</v>
      </c>
      <c r="J382" t="str">
        <f t="shared" si="16"/>
        <v>LBR_Bugs_BCG_v1</v>
      </c>
    </row>
    <row r="383" spans="1:10" x14ac:dyDescent="0.25">
      <c r="A383" t="s">
        <v>209</v>
      </c>
      <c r="B383" t="s">
        <v>204</v>
      </c>
      <c r="C383" t="s">
        <v>76</v>
      </c>
      <c r="D383" t="s">
        <v>233</v>
      </c>
      <c r="E383">
        <v>2</v>
      </c>
      <c r="F383" t="s">
        <v>219</v>
      </c>
      <c r="G383" t="b">
        <v>1</v>
      </c>
      <c r="I383" t="str">
        <f t="shared" si="15"/>
        <v>Main_Eckert</v>
      </c>
      <c r="J383" t="str">
        <f t="shared" si="16"/>
        <v>LBR_Bugs_BCG_v1</v>
      </c>
    </row>
    <row r="384" spans="1:10" x14ac:dyDescent="0.25">
      <c r="A384" t="s">
        <v>209</v>
      </c>
      <c r="B384" t="s">
        <v>204</v>
      </c>
      <c r="C384" t="s">
        <v>220</v>
      </c>
      <c r="D384" t="s">
        <v>16</v>
      </c>
      <c r="E384">
        <v>1</v>
      </c>
      <c r="F384" t="s">
        <v>221</v>
      </c>
      <c r="G384" t="b">
        <v>1</v>
      </c>
      <c r="I384" t="str">
        <f t="shared" si="15"/>
        <v>Main_Eckert</v>
      </c>
      <c r="J384" t="str">
        <f t="shared" si="16"/>
        <v>LBR_Bugs_BCG_v1</v>
      </c>
    </row>
    <row r="385" spans="1:10" x14ac:dyDescent="0.25">
      <c r="A385" t="s">
        <v>209</v>
      </c>
      <c r="B385" t="s">
        <v>204</v>
      </c>
      <c r="C385" t="s">
        <v>222</v>
      </c>
      <c r="D385" t="s">
        <v>17</v>
      </c>
      <c r="E385">
        <v>3</v>
      </c>
      <c r="F385" t="s">
        <v>223</v>
      </c>
      <c r="G385" t="b">
        <v>1</v>
      </c>
      <c r="I385" t="str">
        <f t="shared" si="15"/>
        <v>Main_Eckert</v>
      </c>
      <c r="J385" t="str">
        <f t="shared" si="16"/>
        <v>LBR_Bugs_BCG_v1</v>
      </c>
    </row>
    <row r="386" spans="1:10" x14ac:dyDescent="0.25">
      <c r="A386" t="s">
        <v>209</v>
      </c>
      <c r="B386" t="s">
        <v>224</v>
      </c>
      <c r="C386" t="s">
        <v>14</v>
      </c>
      <c r="D386" t="s">
        <v>16</v>
      </c>
      <c r="E386">
        <v>500</v>
      </c>
      <c r="F386" t="s">
        <v>211</v>
      </c>
      <c r="G386" t="b">
        <v>1</v>
      </c>
      <c r="I386" t="str">
        <f t="shared" si="15"/>
        <v>Main_Middleton</v>
      </c>
      <c r="J386" t="str">
        <f t="shared" si="16"/>
        <v>LBR_Bugs_BCG_v1</v>
      </c>
    </row>
    <row r="387" spans="1:10" x14ac:dyDescent="0.25">
      <c r="A387" t="s">
        <v>209</v>
      </c>
      <c r="B387" t="s">
        <v>224</v>
      </c>
      <c r="C387" t="s">
        <v>14</v>
      </c>
      <c r="D387" t="s">
        <v>15</v>
      </c>
      <c r="E387">
        <v>650</v>
      </c>
      <c r="F387" t="s">
        <v>212</v>
      </c>
      <c r="G387" t="b">
        <v>1</v>
      </c>
      <c r="I387" t="str">
        <f t="shared" si="15"/>
        <v>Main_Middleton</v>
      </c>
      <c r="J387" t="str">
        <f t="shared" si="16"/>
        <v>LBR_Bugs_BCG_v1</v>
      </c>
    </row>
    <row r="388" spans="1:10" x14ac:dyDescent="0.25">
      <c r="A388" t="s">
        <v>209</v>
      </c>
      <c r="B388" t="s">
        <v>224</v>
      </c>
      <c r="C388" t="s">
        <v>213</v>
      </c>
      <c r="D388" t="s">
        <v>17</v>
      </c>
      <c r="E388">
        <v>10</v>
      </c>
      <c r="F388" t="s">
        <v>214</v>
      </c>
      <c r="G388" t="b">
        <v>1</v>
      </c>
      <c r="I388" t="str">
        <f t="shared" si="15"/>
        <v>Main_Middleton</v>
      </c>
      <c r="J388" t="str">
        <f t="shared" si="16"/>
        <v>LBR_Bugs_BCG_v1</v>
      </c>
    </row>
    <row r="389" spans="1:10" x14ac:dyDescent="0.25">
      <c r="A389" t="s">
        <v>209</v>
      </c>
      <c r="B389" t="s">
        <v>224</v>
      </c>
      <c r="C389" t="s">
        <v>215</v>
      </c>
      <c r="D389" t="s">
        <v>233</v>
      </c>
      <c r="E389">
        <v>2</v>
      </c>
      <c r="F389" t="s">
        <v>216</v>
      </c>
      <c r="G389" t="b">
        <v>1</v>
      </c>
      <c r="I389" t="str">
        <f t="shared" si="15"/>
        <v>Main_Middleton</v>
      </c>
      <c r="J389" t="str">
        <f t="shared" si="16"/>
        <v>LBR_Bugs_BCG_v1</v>
      </c>
    </row>
    <row r="390" spans="1:10" x14ac:dyDescent="0.25">
      <c r="A390" t="s">
        <v>209</v>
      </c>
      <c r="B390" t="s">
        <v>224</v>
      </c>
      <c r="C390" t="s">
        <v>72</v>
      </c>
      <c r="D390" t="s">
        <v>16</v>
      </c>
      <c r="E390">
        <v>3</v>
      </c>
      <c r="F390" t="s">
        <v>217</v>
      </c>
      <c r="G390" t="b">
        <v>1</v>
      </c>
      <c r="I390" t="str">
        <f t="shared" si="15"/>
        <v>Main_Middleton</v>
      </c>
      <c r="J390" t="str">
        <f t="shared" si="16"/>
        <v>LBR_Bugs_BCG_v1</v>
      </c>
    </row>
    <row r="391" spans="1:10" x14ac:dyDescent="0.25">
      <c r="A391" t="s">
        <v>209</v>
      </c>
      <c r="B391" t="s">
        <v>224</v>
      </c>
      <c r="C391" t="s">
        <v>74</v>
      </c>
      <c r="D391" t="s">
        <v>16</v>
      </c>
      <c r="E391">
        <v>1</v>
      </c>
      <c r="F391" t="s">
        <v>218</v>
      </c>
      <c r="G391" t="b">
        <v>1</v>
      </c>
      <c r="I391" t="str">
        <f t="shared" si="15"/>
        <v>Main_Middleton</v>
      </c>
      <c r="J391" t="str">
        <f t="shared" si="16"/>
        <v>LBR_Bugs_BCG_v1</v>
      </c>
    </row>
    <row r="392" spans="1:10" x14ac:dyDescent="0.25">
      <c r="A392" t="s">
        <v>209</v>
      </c>
      <c r="B392" t="s">
        <v>224</v>
      </c>
      <c r="C392" t="s">
        <v>76</v>
      </c>
      <c r="D392" t="s">
        <v>233</v>
      </c>
      <c r="E392">
        <v>2</v>
      </c>
      <c r="F392" t="s">
        <v>219</v>
      </c>
      <c r="G392" t="b">
        <v>1</v>
      </c>
      <c r="I392" t="str">
        <f t="shared" si="15"/>
        <v>Main_Middleton</v>
      </c>
      <c r="J392" t="str">
        <f t="shared" si="16"/>
        <v>LBR_Bugs_BCG_v1</v>
      </c>
    </row>
    <row r="393" spans="1:10" x14ac:dyDescent="0.25">
      <c r="A393" t="s">
        <v>209</v>
      </c>
      <c r="B393" t="s">
        <v>224</v>
      </c>
      <c r="C393" t="s">
        <v>220</v>
      </c>
      <c r="D393" t="s">
        <v>16</v>
      </c>
      <c r="E393">
        <v>1</v>
      </c>
      <c r="F393" t="s">
        <v>221</v>
      </c>
      <c r="G393" t="b">
        <v>1</v>
      </c>
      <c r="I393" t="str">
        <f t="shared" si="15"/>
        <v>Main_Middleton</v>
      </c>
      <c r="J393" t="str">
        <f t="shared" si="16"/>
        <v>LBR_Bugs_BCG_v1</v>
      </c>
    </row>
    <row r="394" spans="1:10" x14ac:dyDescent="0.25">
      <c r="A394" t="s">
        <v>209</v>
      </c>
      <c r="B394" t="s">
        <v>224</v>
      </c>
      <c r="C394" t="s">
        <v>222</v>
      </c>
      <c r="D394" t="s">
        <v>17</v>
      </c>
      <c r="E394">
        <v>5</v>
      </c>
      <c r="F394" t="s">
        <v>223</v>
      </c>
      <c r="G394" t="b">
        <v>1</v>
      </c>
      <c r="I394" t="str">
        <f t="shared" si="15"/>
        <v>Main_Middleton</v>
      </c>
      <c r="J394" t="str">
        <f t="shared" si="16"/>
        <v>LBR_Bugs_BCG_v1</v>
      </c>
    </row>
    <row r="395" spans="1:10" x14ac:dyDescent="0.25">
      <c r="A395" t="s">
        <v>209</v>
      </c>
      <c r="B395" t="s">
        <v>225</v>
      </c>
      <c r="C395" t="s">
        <v>14</v>
      </c>
      <c r="D395" t="s">
        <v>16</v>
      </c>
      <c r="E395">
        <v>500</v>
      </c>
      <c r="F395" t="s">
        <v>211</v>
      </c>
      <c r="G395" t="b">
        <v>1</v>
      </c>
      <c r="I395" t="str">
        <f t="shared" si="15"/>
        <v>Main_NotusParma</v>
      </c>
      <c r="J395" t="str">
        <f t="shared" si="16"/>
        <v>LBR_Bugs_BCG_v1</v>
      </c>
    </row>
    <row r="396" spans="1:10" x14ac:dyDescent="0.25">
      <c r="A396" t="s">
        <v>209</v>
      </c>
      <c r="B396" t="s">
        <v>225</v>
      </c>
      <c r="C396" t="s">
        <v>14</v>
      </c>
      <c r="D396" t="s">
        <v>15</v>
      </c>
      <c r="E396">
        <v>650</v>
      </c>
      <c r="F396" t="s">
        <v>212</v>
      </c>
      <c r="G396" t="b">
        <v>1</v>
      </c>
      <c r="I396" t="str">
        <f t="shared" si="15"/>
        <v>Main_NotusParma</v>
      </c>
      <c r="J396" t="str">
        <f t="shared" si="16"/>
        <v>LBR_Bugs_BCG_v1</v>
      </c>
    </row>
    <row r="397" spans="1:10" x14ac:dyDescent="0.25">
      <c r="A397" t="s">
        <v>209</v>
      </c>
      <c r="B397" t="s">
        <v>225</v>
      </c>
      <c r="C397" t="s">
        <v>213</v>
      </c>
      <c r="D397" t="s">
        <v>17</v>
      </c>
      <c r="E397">
        <v>10</v>
      </c>
      <c r="F397" t="s">
        <v>214</v>
      </c>
      <c r="G397" t="b">
        <v>1</v>
      </c>
      <c r="I397" t="str">
        <f t="shared" si="15"/>
        <v>Main_NotusParma</v>
      </c>
      <c r="J397" t="str">
        <f t="shared" si="16"/>
        <v>LBR_Bugs_BCG_v1</v>
      </c>
    </row>
    <row r="398" spans="1:10" x14ac:dyDescent="0.25">
      <c r="A398" t="s">
        <v>209</v>
      </c>
      <c r="B398" t="s">
        <v>225</v>
      </c>
      <c r="C398" t="s">
        <v>215</v>
      </c>
      <c r="D398" t="s">
        <v>233</v>
      </c>
      <c r="E398">
        <v>2.5</v>
      </c>
      <c r="F398" t="s">
        <v>216</v>
      </c>
      <c r="G398" t="b">
        <v>1</v>
      </c>
      <c r="I398" t="str">
        <f t="shared" si="15"/>
        <v>Main_NotusParma</v>
      </c>
      <c r="J398" t="str">
        <f t="shared" si="16"/>
        <v>LBR_Bugs_BCG_v1</v>
      </c>
    </row>
    <row r="399" spans="1:10" x14ac:dyDescent="0.25">
      <c r="A399" t="s">
        <v>209</v>
      </c>
      <c r="B399" t="s">
        <v>225</v>
      </c>
      <c r="C399" t="s">
        <v>72</v>
      </c>
      <c r="D399" t="s">
        <v>16</v>
      </c>
      <c r="E399">
        <v>3</v>
      </c>
      <c r="F399" t="s">
        <v>217</v>
      </c>
      <c r="G399" t="b">
        <v>1</v>
      </c>
      <c r="I399" t="str">
        <f t="shared" si="15"/>
        <v>Main_NotusParma</v>
      </c>
      <c r="J399" t="str">
        <f t="shared" si="16"/>
        <v>LBR_Bugs_BCG_v1</v>
      </c>
    </row>
    <row r="400" spans="1:10" x14ac:dyDescent="0.25">
      <c r="A400" t="s">
        <v>209</v>
      </c>
      <c r="B400" t="s">
        <v>225</v>
      </c>
      <c r="C400" t="s">
        <v>76</v>
      </c>
      <c r="D400" t="s">
        <v>233</v>
      </c>
      <c r="E400">
        <v>2</v>
      </c>
      <c r="F400" t="s">
        <v>219</v>
      </c>
      <c r="G400" t="b">
        <v>1</v>
      </c>
      <c r="I400" t="str">
        <f t="shared" si="15"/>
        <v>Main_NotusParma</v>
      </c>
      <c r="J400" t="str">
        <f t="shared" si="16"/>
        <v>LBR_Bugs_BCG_v1</v>
      </c>
    </row>
    <row r="401" spans="1:10" x14ac:dyDescent="0.25">
      <c r="A401" t="s">
        <v>209</v>
      </c>
      <c r="B401" t="s">
        <v>225</v>
      </c>
      <c r="C401" t="s">
        <v>220</v>
      </c>
      <c r="D401" t="s">
        <v>16</v>
      </c>
      <c r="E401">
        <v>1</v>
      </c>
      <c r="F401" t="s">
        <v>221</v>
      </c>
      <c r="G401" t="b">
        <v>1</v>
      </c>
      <c r="I401" t="str">
        <f t="shared" si="15"/>
        <v>Main_NotusParma</v>
      </c>
      <c r="J401" t="str">
        <f t="shared" si="16"/>
        <v>LBR_Bugs_BCG_v1</v>
      </c>
    </row>
    <row r="402" spans="1:10" x14ac:dyDescent="0.25">
      <c r="A402" t="s">
        <v>209</v>
      </c>
      <c r="B402" t="s">
        <v>225</v>
      </c>
      <c r="C402" t="s">
        <v>222</v>
      </c>
      <c r="D402" t="s">
        <v>17</v>
      </c>
      <c r="E402">
        <v>5</v>
      </c>
      <c r="F402" t="s">
        <v>223</v>
      </c>
      <c r="G402" t="b">
        <v>1</v>
      </c>
      <c r="I402" t="str">
        <f t="shared" si="15"/>
        <v>Main_NotusParma</v>
      </c>
      <c r="J402" t="str">
        <f t="shared" si="16"/>
        <v>LBR_Bugs_BCG_v1</v>
      </c>
    </row>
    <row r="403" spans="1:10" x14ac:dyDescent="0.25">
      <c r="A403" t="s">
        <v>209</v>
      </c>
      <c r="B403" t="s">
        <v>226</v>
      </c>
      <c r="C403" t="s">
        <v>14</v>
      </c>
      <c r="D403" t="s">
        <v>16</v>
      </c>
      <c r="E403">
        <v>500</v>
      </c>
      <c r="F403" t="s">
        <v>211</v>
      </c>
      <c r="G403" t="b">
        <v>1</v>
      </c>
      <c r="I403" t="str">
        <f t="shared" si="15"/>
        <v>Main_SoChannel</v>
      </c>
      <c r="J403" t="str">
        <f t="shared" si="16"/>
        <v>LBR_Bugs_BCG_v1</v>
      </c>
    </row>
    <row r="404" spans="1:10" x14ac:dyDescent="0.25">
      <c r="A404" t="s">
        <v>209</v>
      </c>
      <c r="B404" t="s">
        <v>226</v>
      </c>
      <c r="C404" t="s">
        <v>14</v>
      </c>
      <c r="D404" t="s">
        <v>15</v>
      </c>
      <c r="E404">
        <v>650</v>
      </c>
      <c r="F404" t="s">
        <v>212</v>
      </c>
      <c r="G404" t="b">
        <v>1</v>
      </c>
      <c r="I404" t="str">
        <f t="shared" si="15"/>
        <v>Main_SoChannel</v>
      </c>
      <c r="J404" t="str">
        <f t="shared" si="16"/>
        <v>LBR_Bugs_BCG_v1</v>
      </c>
    </row>
    <row r="405" spans="1:10" x14ac:dyDescent="0.25">
      <c r="A405" t="s">
        <v>209</v>
      </c>
      <c r="B405" t="s">
        <v>226</v>
      </c>
      <c r="C405" t="s">
        <v>213</v>
      </c>
      <c r="D405" t="s">
        <v>17</v>
      </c>
      <c r="E405">
        <v>5</v>
      </c>
      <c r="F405" t="s">
        <v>214</v>
      </c>
      <c r="G405" t="b">
        <v>1</v>
      </c>
      <c r="I405" t="str">
        <f t="shared" si="15"/>
        <v>Main_SoChannel</v>
      </c>
      <c r="J405" t="str">
        <f t="shared" si="16"/>
        <v>LBR_Bugs_BCG_v1</v>
      </c>
    </row>
    <row r="406" spans="1:10" x14ac:dyDescent="0.25">
      <c r="A406" t="s">
        <v>209</v>
      </c>
      <c r="B406" t="s">
        <v>226</v>
      </c>
      <c r="C406" t="s">
        <v>215</v>
      </c>
      <c r="D406" t="s">
        <v>233</v>
      </c>
      <c r="E406">
        <v>1.75</v>
      </c>
      <c r="F406" t="s">
        <v>216</v>
      </c>
      <c r="G406" t="b">
        <v>1</v>
      </c>
      <c r="I406" t="str">
        <f t="shared" si="15"/>
        <v>Main_SoChannel</v>
      </c>
      <c r="J406" t="str">
        <f t="shared" si="16"/>
        <v>LBR_Bugs_BCG_v1</v>
      </c>
    </row>
    <row r="407" spans="1:10" x14ac:dyDescent="0.25">
      <c r="A407" t="s">
        <v>209</v>
      </c>
      <c r="B407" t="s">
        <v>226</v>
      </c>
      <c r="C407" t="s">
        <v>72</v>
      </c>
      <c r="D407" t="s">
        <v>16</v>
      </c>
      <c r="E407">
        <v>3</v>
      </c>
      <c r="F407" t="s">
        <v>217</v>
      </c>
      <c r="G407" t="b">
        <v>1</v>
      </c>
      <c r="I407" t="str">
        <f t="shared" si="15"/>
        <v>Main_SoChannel</v>
      </c>
      <c r="J407" t="str">
        <f t="shared" si="16"/>
        <v>LBR_Bugs_BCG_v1</v>
      </c>
    </row>
    <row r="408" spans="1:10" x14ac:dyDescent="0.25">
      <c r="A408" t="s">
        <v>209</v>
      </c>
      <c r="B408" t="s">
        <v>226</v>
      </c>
      <c r="C408" t="s">
        <v>74</v>
      </c>
      <c r="D408" t="s">
        <v>16</v>
      </c>
      <c r="E408">
        <v>1</v>
      </c>
      <c r="F408" t="s">
        <v>218</v>
      </c>
      <c r="G408" t="b">
        <v>1</v>
      </c>
      <c r="I408" t="str">
        <f t="shared" si="15"/>
        <v>Main_SoChannel</v>
      </c>
      <c r="J408" t="str">
        <f t="shared" si="16"/>
        <v>LBR_Bugs_BCG_v1</v>
      </c>
    </row>
    <row r="409" spans="1:10" x14ac:dyDescent="0.25">
      <c r="A409" t="s">
        <v>209</v>
      </c>
      <c r="B409" t="s">
        <v>226</v>
      </c>
      <c r="C409" t="s">
        <v>76</v>
      </c>
      <c r="D409" t="s">
        <v>233</v>
      </c>
      <c r="E409">
        <v>2</v>
      </c>
      <c r="F409" t="s">
        <v>219</v>
      </c>
      <c r="G409" t="b">
        <v>1</v>
      </c>
      <c r="I409" t="str">
        <f t="shared" si="15"/>
        <v>Main_SoChannel</v>
      </c>
      <c r="J409" t="str">
        <f t="shared" si="16"/>
        <v>LBR_Bugs_BCG_v1</v>
      </c>
    </row>
    <row r="410" spans="1:10" x14ac:dyDescent="0.25">
      <c r="A410" t="s">
        <v>209</v>
      </c>
      <c r="B410" t="s">
        <v>226</v>
      </c>
      <c r="C410" t="s">
        <v>220</v>
      </c>
      <c r="D410" t="s">
        <v>16</v>
      </c>
      <c r="E410">
        <v>1</v>
      </c>
      <c r="F410" t="s">
        <v>221</v>
      </c>
      <c r="G410" t="b">
        <v>1</v>
      </c>
      <c r="I410" t="str">
        <f t="shared" si="15"/>
        <v>Main_SoChannel</v>
      </c>
      <c r="J410" t="str">
        <f t="shared" si="16"/>
        <v>LBR_Bugs_BCG_v1</v>
      </c>
    </row>
    <row r="411" spans="1:10" x14ac:dyDescent="0.25">
      <c r="A411" t="s">
        <v>209</v>
      </c>
      <c r="B411" t="s">
        <v>226</v>
      </c>
      <c r="C411" t="s">
        <v>222</v>
      </c>
      <c r="D411" t="s">
        <v>17</v>
      </c>
      <c r="E411">
        <v>4</v>
      </c>
      <c r="F411" t="s">
        <v>223</v>
      </c>
      <c r="G411" t="b">
        <v>1</v>
      </c>
      <c r="I411" t="str">
        <f t="shared" si="15"/>
        <v>Main_SoChannel</v>
      </c>
      <c r="J411" t="str">
        <f t="shared" si="16"/>
        <v>LBR_Bugs_BCG_v1</v>
      </c>
    </row>
    <row r="412" spans="1:10" x14ac:dyDescent="0.25">
      <c r="A412" t="s">
        <v>209</v>
      </c>
      <c r="B412" t="s">
        <v>227</v>
      </c>
      <c r="C412" t="s">
        <v>14</v>
      </c>
      <c r="D412" t="s">
        <v>16</v>
      </c>
      <c r="E412">
        <v>500</v>
      </c>
      <c r="F412" t="s">
        <v>211</v>
      </c>
      <c r="G412" t="b">
        <v>1</v>
      </c>
      <c r="I412" t="str">
        <f t="shared" si="15"/>
        <v>Main_VetGlen</v>
      </c>
      <c r="J412" t="str">
        <f t="shared" si="16"/>
        <v>LBR_Bugs_BCG_v1</v>
      </c>
    </row>
    <row r="413" spans="1:10" x14ac:dyDescent="0.25">
      <c r="A413" t="s">
        <v>209</v>
      </c>
      <c r="B413" t="s">
        <v>227</v>
      </c>
      <c r="C413" t="s">
        <v>14</v>
      </c>
      <c r="D413" t="s">
        <v>15</v>
      </c>
      <c r="E413">
        <v>650</v>
      </c>
      <c r="F413" t="s">
        <v>212</v>
      </c>
      <c r="G413" t="b">
        <v>1</v>
      </c>
      <c r="I413" t="str">
        <f t="shared" si="15"/>
        <v>Main_VetGlen</v>
      </c>
      <c r="J413" t="str">
        <f t="shared" si="16"/>
        <v>LBR_Bugs_BCG_v1</v>
      </c>
    </row>
    <row r="414" spans="1:10" x14ac:dyDescent="0.25">
      <c r="A414" t="s">
        <v>209</v>
      </c>
      <c r="B414" t="s">
        <v>227</v>
      </c>
      <c r="C414" t="s">
        <v>213</v>
      </c>
      <c r="D414" t="s">
        <v>17</v>
      </c>
      <c r="E414">
        <v>1</v>
      </c>
      <c r="F414" t="s">
        <v>214</v>
      </c>
      <c r="G414" t="b">
        <v>1</v>
      </c>
      <c r="I414" t="str">
        <f t="shared" si="15"/>
        <v>Main_VetGlen</v>
      </c>
      <c r="J414" t="str">
        <f t="shared" si="16"/>
        <v>LBR_Bugs_BCG_v1</v>
      </c>
    </row>
    <row r="415" spans="1:10" x14ac:dyDescent="0.25">
      <c r="A415" t="s">
        <v>209</v>
      </c>
      <c r="B415" t="s">
        <v>227</v>
      </c>
      <c r="C415" t="s">
        <v>215</v>
      </c>
      <c r="D415" t="s">
        <v>233</v>
      </c>
      <c r="E415">
        <v>2</v>
      </c>
      <c r="F415" t="s">
        <v>216</v>
      </c>
      <c r="G415" t="b">
        <v>1</v>
      </c>
      <c r="I415" t="str">
        <f t="shared" si="15"/>
        <v>Main_VetGlen</v>
      </c>
      <c r="J415" t="str">
        <f t="shared" si="16"/>
        <v>LBR_Bugs_BCG_v1</v>
      </c>
    </row>
    <row r="416" spans="1:10" x14ac:dyDescent="0.25">
      <c r="A416" t="s">
        <v>209</v>
      </c>
      <c r="B416" t="s">
        <v>227</v>
      </c>
      <c r="C416" t="s">
        <v>72</v>
      </c>
      <c r="D416" t="s">
        <v>16</v>
      </c>
      <c r="E416">
        <v>3</v>
      </c>
      <c r="F416" t="s">
        <v>217</v>
      </c>
      <c r="G416" t="b">
        <v>1</v>
      </c>
      <c r="I416" t="str">
        <f t="shared" si="15"/>
        <v>Main_VetGlen</v>
      </c>
      <c r="J416" t="str">
        <f t="shared" si="16"/>
        <v>LBR_Bugs_BCG_v1</v>
      </c>
    </row>
    <row r="417" spans="1:10" x14ac:dyDescent="0.25">
      <c r="A417" t="s">
        <v>209</v>
      </c>
      <c r="B417" t="s">
        <v>227</v>
      </c>
      <c r="C417" t="s">
        <v>74</v>
      </c>
      <c r="D417" t="s">
        <v>16</v>
      </c>
      <c r="E417">
        <v>1</v>
      </c>
      <c r="F417" t="s">
        <v>218</v>
      </c>
      <c r="G417" t="b">
        <v>1</v>
      </c>
      <c r="I417" t="str">
        <f t="shared" si="15"/>
        <v>Main_VetGlen</v>
      </c>
      <c r="J417" t="str">
        <f t="shared" si="16"/>
        <v>LBR_Bugs_BCG_v1</v>
      </c>
    </row>
    <row r="418" spans="1:10" x14ac:dyDescent="0.25">
      <c r="A418" t="s">
        <v>209</v>
      </c>
      <c r="B418" t="s">
        <v>227</v>
      </c>
      <c r="C418" t="s">
        <v>76</v>
      </c>
      <c r="D418" t="s">
        <v>233</v>
      </c>
      <c r="E418">
        <v>2</v>
      </c>
      <c r="F418" t="s">
        <v>219</v>
      </c>
      <c r="G418" t="b">
        <v>1</v>
      </c>
      <c r="I418" t="str">
        <f t="shared" si="15"/>
        <v>Main_VetGlen</v>
      </c>
      <c r="J418" t="str">
        <f t="shared" si="16"/>
        <v>LBR_Bugs_BCG_v1</v>
      </c>
    </row>
    <row r="419" spans="1:10" x14ac:dyDescent="0.25">
      <c r="A419" t="s">
        <v>209</v>
      </c>
      <c r="B419" t="s">
        <v>227</v>
      </c>
      <c r="C419" t="s">
        <v>220</v>
      </c>
      <c r="D419" t="s">
        <v>16</v>
      </c>
      <c r="E419">
        <v>1</v>
      </c>
      <c r="F419" t="s">
        <v>221</v>
      </c>
      <c r="G419" t="b">
        <v>1</v>
      </c>
      <c r="I419" t="str">
        <f t="shared" si="15"/>
        <v>Main_VetGlen</v>
      </c>
      <c r="J419" t="str">
        <f t="shared" si="16"/>
        <v>LBR_Bugs_BCG_v1</v>
      </c>
    </row>
    <row r="420" spans="1:10" x14ac:dyDescent="0.25">
      <c r="A420" t="s">
        <v>209</v>
      </c>
      <c r="B420" t="s">
        <v>227</v>
      </c>
      <c r="C420" t="s">
        <v>222</v>
      </c>
      <c r="D420" t="s">
        <v>17</v>
      </c>
      <c r="E420">
        <v>4</v>
      </c>
      <c r="F420" t="s">
        <v>223</v>
      </c>
      <c r="G420" t="b">
        <v>1</v>
      </c>
      <c r="I420" t="str">
        <f t="shared" si="15"/>
        <v>Main_VetGlen</v>
      </c>
      <c r="J420" t="str">
        <f t="shared" si="16"/>
        <v>LBR_Bugs_BCG_v1</v>
      </c>
    </row>
    <row r="421" spans="1:10" x14ac:dyDescent="0.25">
      <c r="A421" t="s">
        <v>209</v>
      </c>
      <c r="B421" t="s">
        <v>210</v>
      </c>
      <c r="C421" t="s">
        <v>230</v>
      </c>
      <c r="D421" t="s">
        <v>16</v>
      </c>
      <c r="E421">
        <v>1000</v>
      </c>
      <c r="F421" t="s">
        <v>231</v>
      </c>
      <c r="G421" t="b">
        <v>1</v>
      </c>
      <c r="I421" t="str">
        <f t="shared" si="15"/>
        <v>Main_BarberPool</v>
      </c>
      <c r="J421" t="str">
        <f t="shared" si="16"/>
        <v>LBR_Bugs_BCG_v1</v>
      </c>
    </row>
    <row r="422" spans="1:10" x14ac:dyDescent="0.25">
      <c r="A422" t="s">
        <v>209</v>
      </c>
      <c r="B422" t="s">
        <v>204</v>
      </c>
      <c r="C422" t="s">
        <v>230</v>
      </c>
      <c r="D422" t="s">
        <v>16</v>
      </c>
      <c r="E422">
        <v>1000</v>
      </c>
      <c r="F422" t="s">
        <v>231</v>
      </c>
      <c r="G422" t="b">
        <v>1</v>
      </c>
      <c r="I422" t="str">
        <f t="shared" si="15"/>
        <v>Main_Eckert</v>
      </c>
      <c r="J422" t="str">
        <f t="shared" si="16"/>
        <v>LBR_Bugs_BCG_v1</v>
      </c>
    </row>
    <row r="423" spans="1:10" x14ac:dyDescent="0.25">
      <c r="A423" t="s">
        <v>209</v>
      </c>
      <c r="B423" t="s">
        <v>224</v>
      </c>
      <c r="C423" t="s">
        <v>230</v>
      </c>
      <c r="D423" t="s">
        <v>16</v>
      </c>
      <c r="E423">
        <v>1000</v>
      </c>
      <c r="F423" t="s">
        <v>231</v>
      </c>
      <c r="G423" t="b">
        <v>1</v>
      </c>
      <c r="I423" t="str">
        <f t="shared" si="15"/>
        <v>Main_Middleton</v>
      </c>
      <c r="J423" t="str">
        <f t="shared" si="16"/>
        <v>LBR_Bugs_BCG_v1</v>
      </c>
    </row>
    <row r="424" spans="1:10" x14ac:dyDescent="0.25">
      <c r="A424" t="s">
        <v>209</v>
      </c>
      <c r="B424" t="s">
        <v>225</v>
      </c>
      <c r="C424" t="s">
        <v>230</v>
      </c>
      <c r="D424" t="s">
        <v>16</v>
      </c>
      <c r="E424">
        <v>1000</v>
      </c>
      <c r="F424" t="s">
        <v>231</v>
      </c>
      <c r="G424" t="b">
        <v>1</v>
      </c>
      <c r="I424" t="str">
        <f t="shared" si="15"/>
        <v>Main_NotusParma</v>
      </c>
      <c r="J424" t="str">
        <f t="shared" si="16"/>
        <v>LBR_Bugs_BCG_v1</v>
      </c>
    </row>
    <row r="425" spans="1:10" x14ac:dyDescent="0.25">
      <c r="A425" t="s">
        <v>209</v>
      </c>
      <c r="B425" t="s">
        <v>226</v>
      </c>
      <c r="C425" t="s">
        <v>230</v>
      </c>
      <c r="D425" t="s">
        <v>16</v>
      </c>
      <c r="E425">
        <v>1000</v>
      </c>
      <c r="F425" t="s">
        <v>231</v>
      </c>
      <c r="G425" t="b">
        <v>1</v>
      </c>
      <c r="I425" t="str">
        <f t="shared" si="15"/>
        <v>Main_SoChannel</v>
      </c>
      <c r="J425" t="str">
        <f t="shared" si="16"/>
        <v>LBR_Bugs_BCG_v1</v>
      </c>
    </row>
    <row r="426" spans="1:10" x14ac:dyDescent="0.25">
      <c r="A426" t="s">
        <v>209</v>
      </c>
      <c r="B426" t="s">
        <v>227</v>
      </c>
      <c r="C426" t="s">
        <v>230</v>
      </c>
      <c r="D426" t="s">
        <v>16</v>
      </c>
      <c r="E426">
        <v>1000</v>
      </c>
      <c r="F426" t="s">
        <v>231</v>
      </c>
      <c r="G426" t="b">
        <v>1</v>
      </c>
      <c r="I426" t="str">
        <f t="shared" si="15"/>
        <v>Main_VetGlen</v>
      </c>
      <c r="J426" t="str">
        <f t="shared" si="16"/>
        <v>LBR_Bugs_BCG_v1</v>
      </c>
    </row>
    <row r="427" spans="1:10" x14ac:dyDescent="0.25">
      <c r="A427" t="s">
        <v>209</v>
      </c>
      <c r="B427" t="s">
        <v>210</v>
      </c>
      <c r="C427" t="s">
        <v>230</v>
      </c>
      <c r="D427" t="s">
        <v>15</v>
      </c>
      <c r="E427">
        <v>10000</v>
      </c>
      <c r="F427" t="s">
        <v>232</v>
      </c>
      <c r="G427" t="b">
        <v>1</v>
      </c>
      <c r="I427" t="str">
        <f t="shared" si="15"/>
        <v>Main_BarberPool</v>
      </c>
      <c r="J427" t="str">
        <f t="shared" si="16"/>
        <v>LBR_Bugs_BCG_v1</v>
      </c>
    </row>
    <row r="428" spans="1:10" x14ac:dyDescent="0.25">
      <c r="A428" t="s">
        <v>209</v>
      </c>
      <c r="B428" t="s">
        <v>204</v>
      </c>
      <c r="C428" t="s">
        <v>230</v>
      </c>
      <c r="D428" t="s">
        <v>15</v>
      </c>
      <c r="E428">
        <v>10000</v>
      </c>
      <c r="F428" t="s">
        <v>232</v>
      </c>
      <c r="G428" t="b">
        <v>1</v>
      </c>
      <c r="I428" t="str">
        <f t="shared" ref="I428:I432" si="17">B428</f>
        <v>Main_Eckert</v>
      </c>
      <c r="J428" t="str">
        <f t="shared" ref="J428:J432" si="18">A428</f>
        <v>LBR_Bugs_BCG_v1</v>
      </c>
    </row>
    <row r="429" spans="1:10" x14ac:dyDescent="0.25">
      <c r="A429" t="s">
        <v>209</v>
      </c>
      <c r="B429" t="s">
        <v>224</v>
      </c>
      <c r="C429" t="s">
        <v>230</v>
      </c>
      <c r="D429" t="s">
        <v>15</v>
      </c>
      <c r="E429">
        <v>10000</v>
      </c>
      <c r="F429" t="s">
        <v>232</v>
      </c>
      <c r="G429" t="b">
        <v>1</v>
      </c>
      <c r="I429" t="str">
        <f t="shared" si="17"/>
        <v>Main_Middleton</v>
      </c>
      <c r="J429" t="str">
        <f t="shared" si="18"/>
        <v>LBR_Bugs_BCG_v1</v>
      </c>
    </row>
    <row r="430" spans="1:10" x14ac:dyDescent="0.25">
      <c r="A430" t="s">
        <v>209</v>
      </c>
      <c r="B430" t="s">
        <v>225</v>
      </c>
      <c r="C430" t="s">
        <v>230</v>
      </c>
      <c r="D430" t="s">
        <v>15</v>
      </c>
      <c r="E430">
        <v>10000</v>
      </c>
      <c r="F430" t="s">
        <v>232</v>
      </c>
      <c r="G430" t="b">
        <v>1</v>
      </c>
      <c r="I430" t="str">
        <f t="shared" si="17"/>
        <v>Main_NotusParma</v>
      </c>
      <c r="J430" t="str">
        <f t="shared" si="18"/>
        <v>LBR_Bugs_BCG_v1</v>
      </c>
    </row>
    <row r="431" spans="1:10" x14ac:dyDescent="0.25">
      <c r="A431" t="s">
        <v>209</v>
      </c>
      <c r="B431" t="s">
        <v>226</v>
      </c>
      <c r="C431" t="s">
        <v>230</v>
      </c>
      <c r="D431" t="s">
        <v>15</v>
      </c>
      <c r="E431">
        <v>10000</v>
      </c>
      <c r="F431" t="s">
        <v>232</v>
      </c>
      <c r="G431" t="b">
        <v>1</v>
      </c>
      <c r="I431" t="str">
        <f t="shared" si="17"/>
        <v>Main_SoChannel</v>
      </c>
      <c r="J431" t="str">
        <f t="shared" si="18"/>
        <v>LBR_Bugs_BCG_v1</v>
      </c>
    </row>
    <row r="432" spans="1:10" x14ac:dyDescent="0.25">
      <c r="A432" t="s">
        <v>209</v>
      </c>
      <c r="B432" t="s">
        <v>227</v>
      </c>
      <c r="C432" t="s">
        <v>230</v>
      </c>
      <c r="D432" t="s">
        <v>15</v>
      </c>
      <c r="E432">
        <v>10000</v>
      </c>
      <c r="F432" t="s">
        <v>232</v>
      </c>
      <c r="G432" t="b">
        <v>1</v>
      </c>
      <c r="I432" t="str">
        <f t="shared" si="17"/>
        <v>Main_VetGlen</v>
      </c>
      <c r="J432" t="str">
        <f t="shared" si="18"/>
        <v>LBR_Bugs_BCG_v1</v>
      </c>
    </row>
    <row r="433" spans="1:10" x14ac:dyDescent="0.25">
      <c r="A433" s="33" t="s">
        <v>178</v>
      </c>
      <c r="B433" s="33" t="s">
        <v>234</v>
      </c>
      <c r="C433" s="34" t="s">
        <v>14</v>
      </c>
      <c r="D433" s="35" t="s">
        <v>16</v>
      </c>
      <c r="E433" s="35">
        <v>450</v>
      </c>
      <c r="F433" s="36" t="s">
        <v>211</v>
      </c>
      <c r="G433" s="61" t="b">
        <v>1</v>
      </c>
      <c r="I433" t="str">
        <f>B433</f>
        <v>Xeric_Multihab</v>
      </c>
      <c r="J433" t="str">
        <f>A433</f>
        <v>BCG_ORWA_v1_Bugs500ct</v>
      </c>
    </row>
    <row r="434" spans="1:10" x14ac:dyDescent="0.25">
      <c r="A434" s="33" t="s">
        <v>178</v>
      </c>
      <c r="B434" s="33" t="s">
        <v>234</v>
      </c>
      <c r="C434" s="36" t="s">
        <v>215</v>
      </c>
      <c r="D434" s="37" t="s">
        <v>16</v>
      </c>
      <c r="E434" s="35">
        <v>3.3</v>
      </c>
      <c r="F434" s="36" t="s">
        <v>235</v>
      </c>
      <c r="G434" s="61" t="b">
        <v>1</v>
      </c>
      <c r="I434" t="str">
        <f t="shared" ref="I434:I497" si="19">B434</f>
        <v>Xeric_Multihab</v>
      </c>
      <c r="J434" t="str">
        <f t="shared" ref="J434:J497" si="20">A434</f>
        <v>BCG_ORWA_v1_Bugs500ct</v>
      </c>
    </row>
    <row r="435" spans="1:10" x14ac:dyDescent="0.25">
      <c r="A435" s="33" t="s">
        <v>178</v>
      </c>
      <c r="B435" s="33" t="s">
        <v>234</v>
      </c>
      <c r="C435" s="34" t="s">
        <v>236</v>
      </c>
      <c r="D435" s="20" t="s">
        <v>96</v>
      </c>
      <c r="E435" s="35">
        <v>0</v>
      </c>
      <c r="F435" s="34" t="s">
        <v>237</v>
      </c>
      <c r="G435" s="61" t="b">
        <v>1</v>
      </c>
      <c r="I435" t="str">
        <f t="shared" si="19"/>
        <v>Xeric_Multihab</v>
      </c>
      <c r="J435" t="str">
        <f t="shared" si="20"/>
        <v>BCG_ORWA_v1_Bugs500ct</v>
      </c>
    </row>
    <row r="436" spans="1:10" x14ac:dyDescent="0.25">
      <c r="A436" s="33" t="s">
        <v>178</v>
      </c>
      <c r="B436" s="33" t="s">
        <v>234</v>
      </c>
      <c r="C436" s="38" t="s">
        <v>238</v>
      </c>
      <c r="D436" s="37" t="s">
        <v>16</v>
      </c>
      <c r="E436" s="35">
        <v>20</v>
      </c>
      <c r="F436" s="34" t="s">
        <v>239</v>
      </c>
      <c r="G436" s="61" t="b">
        <v>1</v>
      </c>
      <c r="I436" t="str">
        <f t="shared" si="19"/>
        <v>Xeric_Multihab</v>
      </c>
      <c r="J436" t="str">
        <f t="shared" si="20"/>
        <v>BCG_ORWA_v1_Bugs500ct</v>
      </c>
    </row>
    <row r="437" spans="1:10" x14ac:dyDescent="0.25">
      <c r="A437" s="33" t="s">
        <v>178</v>
      </c>
      <c r="B437" s="33" t="s">
        <v>234</v>
      </c>
      <c r="C437" s="34" t="s">
        <v>220</v>
      </c>
      <c r="D437" s="37" t="s">
        <v>16</v>
      </c>
      <c r="E437" s="35">
        <v>2</v>
      </c>
      <c r="F437" s="34" t="s">
        <v>240</v>
      </c>
      <c r="G437" s="61" t="b">
        <v>1</v>
      </c>
      <c r="I437" t="str">
        <f t="shared" si="19"/>
        <v>Xeric_Multihab</v>
      </c>
      <c r="J437" t="str">
        <f t="shared" si="20"/>
        <v>BCG_ORWA_v1_Bugs500ct</v>
      </c>
    </row>
    <row r="438" spans="1:10" x14ac:dyDescent="0.25">
      <c r="A438" s="33" t="s">
        <v>178</v>
      </c>
      <c r="B438" s="33" t="s">
        <v>234</v>
      </c>
      <c r="C438" s="34" t="s">
        <v>222</v>
      </c>
      <c r="D438" s="8" t="s">
        <v>17</v>
      </c>
      <c r="E438" s="35">
        <v>5</v>
      </c>
      <c r="F438" s="34" t="s">
        <v>241</v>
      </c>
      <c r="G438" s="61" t="b">
        <v>1</v>
      </c>
      <c r="I438" t="str">
        <f t="shared" si="19"/>
        <v>Xeric_Multihab</v>
      </c>
      <c r="J438" t="str">
        <f t="shared" si="20"/>
        <v>BCG_ORWA_v1_Bugs500ct</v>
      </c>
    </row>
    <row r="439" spans="1:10" x14ac:dyDescent="0.25">
      <c r="A439" s="33" t="s">
        <v>178</v>
      </c>
      <c r="B439" s="33" t="s">
        <v>234</v>
      </c>
      <c r="C439" s="34" t="s">
        <v>72</v>
      </c>
      <c r="D439" s="35" t="s">
        <v>16</v>
      </c>
      <c r="E439" s="35">
        <v>3</v>
      </c>
      <c r="F439" s="34" t="s">
        <v>217</v>
      </c>
      <c r="G439" s="61" t="b">
        <v>1</v>
      </c>
      <c r="I439" t="str">
        <f t="shared" si="19"/>
        <v>Xeric_Multihab</v>
      </c>
      <c r="J439" t="str">
        <f t="shared" si="20"/>
        <v>BCG_ORWA_v1_Bugs500ct</v>
      </c>
    </row>
    <row r="440" spans="1:10" x14ac:dyDescent="0.25">
      <c r="A440" s="33" t="s">
        <v>178</v>
      </c>
      <c r="B440" s="33" t="s">
        <v>234</v>
      </c>
      <c r="C440" s="34" t="s">
        <v>74</v>
      </c>
      <c r="D440" s="20" t="s">
        <v>96</v>
      </c>
      <c r="E440" s="35">
        <v>0</v>
      </c>
      <c r="F440" s="34" t="s">
        <v>218</v>
      </c>
      <c r="G440" s="61" t="b">
        <v>1</v>
      </c>
      <c r="I440" t="str">
        <f t="shared" si="19"/>
        <v>Xeric_Multihab</v>
      </c>
      <c r="J440" t="str">
        <f t="shared" si="20"/>
        <v>BCG_ORWA_v1_Bugs500ct</v>
      </c>
    </row>
    <row r="441" spans="1:10" x14ac:dyDescent="0.25">
      <c r="A441" s="33" t="s">
        <v>178</v>
      </c>
      <c r="B441" s="33" t="s">
        <v>234</v>
      </c>
      <c r="C441" s="34" t="s">
        <v>76</v>
      </c>
      <c r="D441" s="8" t="s">
        <v>233</v>
      </c>
      <c r="E441" s="35">
        <v>2</v>
      </c>
      <c r="F441" s="34" t="s">
        <v>219</v>
      </c>
      <c r="G441" s="61" t="b">
        <v>1</v>
      </c>
      <c r="I441" t="str">
        <f t="shared" si="19"/>
        <v>Xeric_Multihab</v>
      </c>
      <c r="J441" t="str">
        <f t="shared" si="20"/>
        <v>BCG_ORWA_v1_Bugs500ct</v>
      </c>
    </row>
    <row r="442" spans="1:10" x14ac:dyDescent="0.25">
      <c r="A442" s="33" t="s">
        <v>178</v>
      </c>
      <c r="B442" s="33" t="s">
        <v>234</v>
      </c>
      <c r="C442" s="39" t="s">
        <v>66</v>
      </c>
      <c r="D442" s="8" t="s">
        <v>17</v>
      </c>
      <c r="E442" s="35">
        <v>25</v>
      </c>
      <c r="F442" t="s">
        <v>242</v>
      </c>
      <c r="G442" s="61" t="b">
        <v>1</v>
      </c>
      <c r="I442" t="str">
        <f t="shared" si="19"/>
        <v>Xeric_Multihab</v>
      </c>
      <c r="J442" t="str">
        <f t="shared" si="20"/>
        <v>BCG_ORWA_v1_Bugs500ct</v>
      </c>
    </row>
    <row r="443" spans="1:10" x14ac:dyDescent="0.25">
      <c r="A443" s="40" t="s">
        <v>178</v>
      </c>
      <c r="B443" s="40" t="s">
        <v>234</v>
      </c>
      <c r="C443" s="41" t="s">
        <v>243</v>
      </c>
      <c r="D443" s="29" t="s">
        <v>17</v>
      </c>
      <c r="E443" s="42">
        <v>50</v>
      </c>
      <c r="F443" s="41" t="s">
        <v>244</v>
      </c>
      <c r="G443" s="61" t="b">
        <v>1</v>
      </c>
      <c r="I443" t="str">
        <f t="shared" si="19"/>
        <v>Xeric_Multihab</v>
      </c>
      <c r="J443" t="str">
        <f t="shared" si="20"/>
        <v>BCG_ORWA_v1_Bugs500ct</v>
      </c>
    </row>
    <row r="444" spans="1:10" x14ac:dyDescent="0.25">
      <c r="A444" s="33" t="s">
        <v>178</v>
      </c>
      <c r="B444" s="33" t="s">
        <v>234</v>
      </c>
      <c r="C444" s="34" t="s">
        <v>245</v>
      </c>
      <c r="D444" s="37" t="s">
        <v>15</v>
      </c>
      <c r="E444" s="35">
        <v>2</v>
      </c>
      <c r="F444" s="34" t="s">
        <v>246</v>
      </c>
      <c r="G444" s="61" t="b">
        <v>1</v>
      </c>
      <c r="I444" t="str">
        <f t="shared" si="19"/>
        <v>Xeric_Multihab</v>
      </c>
      <c r="J444" t="str">
        <f t="shared" si="20"/>
        <v>BCG_ORWA_v1_Bugs500ct</v>
      </c>
    </row>
    <row r="445" spans="1:10" x14ac:dyDescent="0.25">
      <c r="A445" s="33" t="s">
        <v>178</v>
      </c>
      <c r="B445" s="33" t="s">
        <v>247</v>
      </c>
      <c r="C445" s="34" t="s">
        <v>14</v>
      </c>
      <c r="D445" s="35" t="s">
        <v>16</v>
      </c>
      <c r="E445" s="35">
        <v>450</v>
      </c>
      <c r="F445" s="36" t="s">
        <v>211</v>
      </c>
      <c r="G445" s="61" t="b">
        <v>1</v>
      </c>
      <c r="I445" t="str">
        <f t="shared" si="19"/>
        <v>Xeric_Riffle</v>
      </c>
      <c r="J445" t="str">
        <f t="shared" si="20"/>
        <v>BCG_ORWA_v1_Bugs500ct</v>
      </c>
    </row>
    <row r="446" spans="1:10" x14ac:dyDescent="0.25">
      <c r="A446" s="33" t="s">
        <v>178</v>
      </c>
      <c r="B446" s="33" t="s">
        <v>247</v>
      </c>
      <c r="C446" s="36" t="s">
        <v>215</v>
      </c>
      <c r="D446" s="37" t="s">
        <v>16</v>
      </c>
      <c r="E446" s="35">
        <v>2.5</v>
      </c>
      <c r="F446" s="36" t="s">
        <v>235</v>
      </c>
      <c r="G446" s="61" t="b">
        <v>1</v>
      </c>
      <c r="I446" t="str">
        <f t="shared" si="19"/>
        <v>Xeric_Riffle</v>
      </c>
      <c r="J446" t="str">
        <f t="shared" si="20"/>
        <v>BCG_ORWA_v1_Bugs500ct</v>
      </c>
    </row>
    <row r="447" spans="1:10" x14ac:dyDescent="0.25">
      <c r="A447" s="33" t="s">
        <v>178</v>
      </c>
      <c r="B447" s="33" t="s">
        <v>247</v>
      </c>
      <c r="C447" s="34" t="s">
        <v>236</v>
      </c>
      <c r="D447" s="20" t="s">
        <v>96</v>
      </c>
      <c r="E447" s="35">
        <v>0</v>
      </c>
      <c r="F447" s="34" t="s">
        <v>237</v>
      </c>
      <c r="G447" s="61" t="b">
        <v>1</v>
      </c>
      <c r="I447" t="str">
        <f t="shared" si="19"/>
        <v>Xeric_Riffle</v>
      </c>
      <c r="J447" t="str">
        <f t="shared" si="20"/>
        <v>BCG_ORWA_v1_Bugs500ct</v>
      </c>
    </row>
    <row r="448" spans="1:10" x14ac:dyDescent="0.25">
      <c r="A448" s="33" t="s">
        <v>178</v>
      </c>
      <c r="B448" s="33" t="s">
        <v>247</v>
      </c>
      <c r="C448" s="38" t="s">
        <v>238</v>
      </c>
      <c r="D448" s="37" t="s">
        <v>16</v>
      </c>
      <c r="E448" s="35">
        <v>20</v>
      </c>
      <c r="F448" s="34" t="s">
        <v>239</v>
      </c>
      <c r="G448" s="61" t="b">
        <v>1</v>
      </c>
      <c r="I448" t="str">
        <f t="shared" si="19"/>
        <v>Xeric_Riffle</v>
      </c>
      <c r="J448" t="str">
        <f t="shared" si="20"/>
        <v>BCG_ORWA_v1_Bugs500ct</v>
      </c>
    </row>
    <row r="449" spans="1:10" x14ac:dyDescent="0.25">
      <c r="A449" s="33" t="s">
        <v>178</v>
      </c>
      <c r="B449" s="33" t="s">
        <v>247</v>
      </c>
      <c r="C449" s="34" t="s">
        <v>220</v>
      </c>
      <c r="D449" s="8" t="s">
        <v>233</v>
      </c>
      <c r="E449" s="35">
        <v>1</v>
      </c>
      <c r="F449" s="34" t="s">
        <v>240</v>
      </c>
      <c r="G449" s="61" t="b">
        <v>1</v>
      </c>
      <c r="I449" t="str">
        <f t="shared" si="19"/>
        <v>Xeric_Riffle</v>
      </c>
      <c r="J449" t="str">
        <f t="shared" si="20"/>
        <v>BCG_ORWA_v1_Bugs500ct</v>
      </c>
    </row>
    <row r="450" spans="1:10" x14ac:dyDescent="0.25">
      <c r="A450" s="33" t="s">
        <v>178</v>
      </c>
      <c r="B450" s="33" t="s">
        <v>247</v>
      </c>
      <c r="C450" s="34" t="s">
        <v>222</v>
      </c>
      <c r="D450" s="8" t="s">
        <v>17</v>
      </c>
      <c r="E450" s="35">
        <v>5</v>
      </c>
      <c r="F450" s="34" t="s">
        <v>241</v>
      </c>
      <c r="G450" s="61" t="b">
        <v>1</v>
      </c>
      <c r="I450" t="str">
        <f t="shared" si="19"/>
        <v>Xeric_Riffle</v>
      </c>
      <c r="J450" t="str">
        <f t="shared" si="20"/>
        <v>BCG_ORWA_v1_Bugs500ct</v>
      </c>
    </row>
    <row r="451" spans="1:10" x14ac:dyDescent="0.25">
      <c r="A451" s="33" t="s">
        <v>178</v>
      </c>
      <c r="B451" s="33" t="s">
        <v>247</v>
      </c>
      <c r="C451" s="34" t="s">
        <v>72</v>
      </c>
      <c r="D451" s="35" t="s">
        <v>16</v>
      </c>
      <c r="E451" s="35">
        <v>4</v>
      </c>
      <c r="F451" s="34" t="s">
        <v>217</v>
      </c>
      <c r="G451" s="61" t="b">
        <v>1</v>
      </c>
      <c r="I451" t="str">
        <f t="shared" si="19"/>
        <v>Xeric_Riffle</v>
      </c>
      <c r="J451" t="str">
        <f t="shared" si="20"/>
        <v>BCG_ORWA_v1_Bugs500ct</v>
      </c>
    </row>
    <row r="452" spans="1:10" x14ac:dyDescent="0.25">
      <c r="A452" s="33" t="s">
        <v>178</v>
      </c>
      <c r="B452" s="33" t="s">
        <v>247</v>
      </c>
      <c r="C452" s="34" t="s">
        <v>74</v>
      </c>
      <c r="D452" s="20" t="s">
        <v>96</v>
      </c>
      <c r="E452" s="35">
        <v>0</v>
      </c>
      <c r="F452" s="34" t="s">
        <v>218</v>
      </c>
      <c r="G452" s="61" t="b">
        <v>1</v>
      </c>
      <c r="I452" t="str">
        <f t="shared" si="19"/>
        <v>Xeric_Riffle</v>
      </c>
      <c r="J452" t="str">
        <f t="shared" si="20"/>
        <v>BCG_ORWA_v1_Bugs500ct</v>
      </c>
    </row>
    <row r="453" spans="1:10" x14ac:dyDescent="0.25">
      <c r="A453" s="33" t="s">
        <v>178</v>
      </c>
      <c r="B453" s="33" t="s">
        <v>247</v>
      </c>
      <c r="C453" s="34" t="s">
        <v>76</v>
      </c>
      <c r="D453" s="35" t="s">
        <v>16</v>
      </c>
      <c r="E453" s="35">
        <v>4</v>
      </c>
      <c r="F453" s="34" t="s">
        <v>219</v>
      </c>
      <c r="G453" s="61" t="b">
        <v>1</v>
      </c>
      <c r="I453" t="str">
        <f t="shared" si="19"/>
        <v>Xeric_Riffle</v>
      </c>
      <c r="J453" t="str">
        <f t="shared" si="20"/>
        <v>BCG_ORWA_v1_Bugs500ct</v>
      </c>
    </row>
    <row r="454" spans="1:10" x14ac:dyDescent="0.25">
      <c r="A454" s="33" t="s">
        <v>178</v>
      </c>
      <c r="B454" s="33" t="s">
        <v>247</v>
      </c>
      <c r="C454" s="39" t="s">
        <v>66</v>
      </c>
      <c r="D454" s="8" t="s">
        <v>17</v>
      </c>
      <c r="E454" s="35">
        <v>5</v>
      </c>
      <c r="F454" t="s">
        <v>242</v>
      </c>
      <c r="G454" s="61" t="b">
        <v>1</v>
      </c>
      <c r="I454" t="str">
        <f t="shared" si="19"/>
        <v>Xeric_Riffle</v>
      </c>
      <c r="J454" t="str">
        <f t="shared" si="20"/>
        <v>BCG_ORWA_v1_Bugs500ct</v>
      </c>
    </row>
    <row r="455" spans="1:10" x14ac:dyDescent="0.25">
      <c r="A455" s="40" t="s">
        <v>178</v>
      </c>
      <c r="B455" s="40" t="s">
        <v>247</v>
      </c>
      <c r="C455" s="41" t="s">
        <v>243</v>
      </c>
      <c r="D455" s="29" t="s">
        <v>17</v>
      </c>
      <c r="E455" s="42">
        <v>55</v>
      </c>
      <c r="F455" s="41" t="s">
        <v>244</v>
      </c>
      <c r="G455" s="61" t="b">
        <v>1</v>
      </c>
      <c r="I455" t="str">
        <f t="shared" si="19"/>
        <v>Xeric_Riffle</v>
      </c>
      <c r="J455" t="str">
        <f t="shared" si="20"/>
        <v>BCG_ORWA_v1_Bugs500ct</v>
      </c>
    </row>
    <row r="456" spans="1:10" ht="30" x14ac:dyDescent="0.25">
      <c r="A456" s="33" t="s">
        <v>178</v>
      </c>
      <c r="B456" s="33" t="s">
        <v>248</v>
      </c>
      <c r="C456" s="34" t="s">
        <v>14</v>
      </c>
      <c r="D456" s="35" t="s">
        <v>16</v>
      </c>
      <c r="E456" s="35">
        <v>450</v>
      </c>
      <c r="F456" s="36" t="s">
        <v>211</v>
      </c>
      <c r="G456" s="61" t="b">
        <v>1</v>
      </c>
      <c r="I456" t="str">
        <f t="shared" si="19"/>
        <v>MountainCold_Multihab</v>
      </c>
      <c r="J456" t="str">
        <f t="shared" si="20"/>
        <v>BCG_ORWA_v1_Bugs500ct</v>
      </c>
    </row>
    <row r="457" spans="1:10" ht="30" x14ac:dyDescent="0.25">
      <c r="A457" s="33" t="s">
        <v>178</v>
      </c>
      <c r="B457" s="33" t="s">
        <v>248</v>
      </c>
      <c r="C457" s="34" t="s">
        <v>188</v>
      </c>
      <c r="D457" s="35" t="s">
        <v>16</v>
      </c>
      <c r="E457" s="35">
        <v>35</v>
      </c>
      <c r="F457" s="34" t="s">
        <v>249</v>
      </c>
      <c r="G457" s="61" t="b">
        <v>1</v>
      </c>
      <c r="I457" t="str">
        <f t="shared" si="19"/>
        <v>MountainCold_Multihab</v>
      </c>
      <c r="J457" t="str">
        <f t="shared" si="20"/>
        <v>BCG_ORWA_v1_Bugs500ct</v>
      </c>
    </row>
    <row r="458" spans="1:10" ht="30" x14ac:dyDescent="0.25">
      <c r="A458" s="33" t="s">
        <v>178</v>
      </c>
      <c r="B458" s="33" t="s">
        <v>248</v>
      </c>
      <c r="C458" s="36" t="s">
        <v>215</v>
      </c>
      <c r="D458" s="37" t="s">
        <v>16</v>
      </c>
      <c r="E458" s="35">
        <v>3.5</v>
      </c>
      <c r="F458" s="36" t="s">
        <v>250</v>
      </c>
      <c r="G458" s="61" t="b">
        <v>1</v>
      </c>
      <c r="I458" t="str">
        <f t="shared" si="19"/>
        <v>MountainCold_Multihab</v>
      </c>
      <c r="J458" t="str">
        <f t="shared" si="20"/>
        <v>BCG_ORWA_v1_Bugs500ct</v>
      </c>
    </row>
    <row r="459" spans="1:10" ht="30" x14ac:dyDescent="0.25">
      <c r="A459" s="33" t="s">
        <v>178</v>
      </c>
      <c r="B459" s="33" t="s">
        <v>248</v>
      </c>
      <c r="C459" s="43" t="s">
        <v>251</v>
      </c>
      <c r="D459" s="37" t="s">
        <v>15</v>
      </c>
      <c r="E459" s="35">
        <v>0</v>
      </c>
      <c r="F459" s="34" t="s">
        <v>252</v>
      </c>
      <c r="G459" s="61" t="b">
        <v>1</v>
      </c>
      <c r="I459" t="str">
        <f t="shared" si="19"/>
        <v>MountainCold_Multihab</v>
      </c>
      <c r="J459" t="str">
        <f t="shared" si="20"/>
        <v>BCG_ORWA_v1_Bugs500ct</v>
      </c>
    </row>
    <row r="460" spans="1:10" ht="30" x14ac:dyDescent="0.25">
      <c r="A460" s="33" t="s">
        <v>178</v>
      </c>
      <c r="B460" s="33" t="s">
        <v>248</v>
      </c>
      <c r="C460" s="43" t="s">
        <v>253</v>
      </c>
      <c r="D460" s="8" t="s">
        <v>17</v>
      </c>
      <c r="E460" s="35">
        <v>30</v>
      </c>
      <c r="F460" s="34" t="s">
        <v>254</v>
      </c>
      <c r="G460" s="61" t="b">
        <v>1</v>
      </c>
      <c r="I460" t="str">
        <f t="shared" si="19"/>
        <v>MountainCold_Multihab</v>
      </c>
      <c r="J460" t="str">
        <f t="shared" si="20"/>
        <v>BCG_ORWA_v1_Bugs500ct</v>
      </c>
    </row>
    <row r="461" spans="1:10" ht="30" x14ac:dyDescent="0.25">
      <c r="A461" s="33" t="s">
        <v>178</v>
      </c>
      <c r="B461" s="33" t="s">
        <v>248</v>
      </c>
      <c r="C461" s="34" t="s">
        <v>236</v>
      </c>
      <c r="D461" s="20" t="s">
        <v>96</v>
      </c>
      <c r="E461" s="35">
        <v>0</v>
      </c>
      <c r="F461" s="34" t="s">
        <v>237</v>
      </c>
      <c r="G461" s="61" t="b">
        <v>1</v>
      </c>
      <c r="I461" t="str">
        <f t="shared" si="19"/>
        <v>MountainCold_Multihab</v>
      </c>
      <c r="J461" t="str">
        <f t="shared" si="20"/>
        <v>BCG_ORWA_v1_Bugs500ct</v>
      </c>
    </row>
    <row r="462" spans="1:10" ht="30" x14ac:dyDescent="0.25">
      <c r="A462" s="33" t="s">
        <v>178</v>
      </c>
      <c r="B462" s="33" t="s">
        <v>248</v>
      </c>
      <c r="C462" s="38" t="s">
        <v>238</v>
      </c>
      <c r="D462" s="37" t="s">
        <v>16</v>
      </c>
      <c r="E462" s="35">
        <v>25</v>
      </c>
      <c r="F462" s="34" t="s">
        <v>239</v>
      </c>
      <c r="G462" s="61" t="b">
        <v>1</v>
      </c>
      <c r="I462" t="str">
        <f t="shared" si="19"/>
        <v>MountainCold_Multihab</v>
      </c>
      <c r="J462" t="str">
        <f t="shared" si="20"/>
        <v>BCG_ORWA_v1_Bugs500ct</v>
      </c>
    </row>
    <row r="463" spans="1:10" ht="30" x14ac:dyDescent="0.25">
      <c r="A463" s="33" t="s">
        <v>178</v>
      </c>
      <c r="B463" s="33" t="s">
        <v>248</v>
      </c>
      <c r="C463" s="34" t="s">
        <v>222</v>
      </c>
      <c r="D463" s="37" t="s">
        <v>15</v>
      </c>
      <c r="E463" s="35">
        <v>0</v>
      </c>
      <c r="F463" s="34" t="s">
        <v>255</v>
      </c>
      <c r="G463" s="61" t="b">
        <v>1</v>
      </c>
      <c r="I463" t="str">
        <f t="shared" si="19"/>
        <v>MountainCold_Multihab</v>
      </c>
      <c r="J463" t="str">
        <f t="shared" si="20"/>
        <v>BCG_ORWA_v1_Bugs500ct</v>
      </c>
    </row>
    <row r="464" spans="1:10" ht="30" x14ac:dyDescent="0.25">
      <c r="A464" s="33" t="s">
        <v>178</v>
      </c>
      <c r="B464" s="33" t="s">
        <v>248</v>
      </c>
      <c r="C464" s="34" t="s">
        <v>72</v>
      </c>
      <c r="D464" s="35" t="s">
        <v>16</v>
      </c>
      <c r="E464" s="35">
        <v>4</v>
      </c>
      <c r="F464" s="34" t="s">
        <v>217</v>
      </c>
      <c r="G464" s="61" t="b">
        <v>1</v>
      </c>
      <c r="I464" t="str">
        <f t="shared" si="19"/>
        <v>MountainCold_Multihab</v>
      </c>
      <c r="J464" t="str">
        <f t="shared" si="20"/>
        <v>BCG_ORWA_v1_Bugs500ct</v>
      </c>
    </row>
    <row r="465" spans="1:10" ht="30" x14ac:dyDescent="0.25">
      <c r="A465" s="33" t="s">
        <v>178</v>
      </c>
      <c r="B465" s="33" t="s">
        <v>248</v>
      </c>
      <c r="C465" s="34" t="s">
        <v>74</v>
      </c>
      <c r="D465" s="35" t="s">
        <v>16</v>
      </c>
      <c r="E465" s="35">
        <v>3</v>
      </c>
      <c r="F465" s="34" t="s">
        <v>218</v>
      </c>
      <c r="G465" s="61" t="b">
        <v>1</v>
      </c>
      <c r="I465" t="str">
        <f t="shared" si="19"/>
        <v>MountainCold_Multihab</v>
      </c>
      <c r="J465" t="str">
        <f t="shared" si="20"/>
        <v>BCG_ORWA_v1_Bugs500ct</v>
      </c>
    </row>
    <row r="466" spans="1:10" ht="30" x14ac:dyDescent="0.25">
      <c r="A466" s="33" t="s">
        <v>178</v>
      </c>
      <c r="B466" s="33" t="s">
        <v>248</v>
      </c>
      <c r="C466" s="34" t="s">
        <v>76</v>
      </c>
      <c r="D466" s="35" t="s">
        <v>16</v>
      </c>
      <c r="E466" s="35">
        <v>4</v>
      </c>
      <c r="F466" s="34" t="s">
        <v>219</v>
      </c>
      <c r="G466" s="61" t="b">
        <v>1</v>
      </c>
      <c r="I466" t="str">
        <f t="shared" si="19"/>
        <v>MountainCold_Multihab</v>
      </c>
      <c r="J466" t="str">
        <f t="shared" si="20"/>
        <v>BCG_ORWA_v1_Bugs500ct</v>
      </c>
    </row>
    <row r="467" spans="1:10" ht="30" x14ac:dyDescent="0.25">
      <c r="A467" s="44" t="s">
        <v>178</v>
      </c>
      <c r="B467" s="44" t="s">
        <v>248</v>
      </c>
      <c r="C467" s="39" t="s">
        <v>66</v>
      </c>
      <c r="D467" s="45" t="s">
        <v>17</v>
      </c>
      <c r="E467" s="46">
        <v>5</v>
      </c>
      <c r="F467" s="13" t="s">
        <v>242</v>
      </c>
      <c r="G467" s="61" t="b">
        <v>1</v>
      </c>
      <c r="I467" t="str">
        <f t="shared" si="19"/>
        <v>MountainCold_Multihab</v>
      </c>
      <c r="J467" t="str">
        <f t="shared" si="20"/>
        <v>BCG_ORWA_v1_Bugs500ct</v>
      </c>
    </row>
    <row r="468" spans="1:10" ht="30" x14ac:dyDescent="0.25">
      <c r="A468" s="33" t="s">
        <v>178</v>
      </c>
      <c r="B468" s="33" t="s">
        <v>248</v>
      </c>
      <c r="C468" s="34" t="s">
        <v>245</v>
      </c>
      <c r="D468" s="8" t="s">
        <v>17</v>
      </c>
      <c r="E468" s="35">
        <v>4</v>
      </c>
      <c r="F468" s="34" t="s">
        <v>256</v>
      </c>
      <c r="G468" s="61" t="b">
        <v>1</v>
      </c>
      <c r="I468" t="str">
        <f t="shared" si="19"/>
        <v>MountainCold_Multihab</v>
      </c>
      <c r="J468" t="str">
        <f t="shared" si="20"/>
        <v>BCG_ORWA_v1_Bugs500ct</v>
      </c>
    </row>
    <row r="469" spans="1:10" ht="30" x14ac:dyDescent="0.25">
      <c r="A469" s="40" t="s">
        <v>178</v>
      </c>
      <c r="B469" s="40" t="s">
        <v>248</v>
      </c>
      <c r="C469" s="41" t="s">
        <v>243</v>
      </c>
      <c r="D469" s="47" t="s">
        <v>16</v>
      </c>
      <c r="E469" s="42">
        <v>45</v>
      </c>
      <c r="F469" s="41" t="s">
        <v>257</v>
      </c>
      <c r="G469" s="61" t="b">
        <v>1</v>
      </c>
      <c r="I469" t="str">
        <f t="shared" si="19"/>
        <v>MountainCold_Multihab</v>
      </c>
      <c r="J469" t="str">
        <f t="shared" si="20"/>
        <v>BCG_ORWA_v1_Bugs500ct</v>
      </c>
    </row>
    <row r="470" spans="1:10" ht="30" x14ac:dyDescent="0.25">
      <c r="A470" s="33" t="s">
        <v>178</v>
      </c>
      <c r="B470" s="33" t="s">
        <v>258</v>
      </c>
      <c r="C470" s="48" t="s">
        <v>14</v>
      </c>
      <c r="D470" s="28" t="s">
        <v>16</v>
      </c>
      <c r="E470" s="28">
        <v>450</v>
      </c>
      <c r="F470" s="30" t="s">
        <v>211</v>
      </c>
      <c r="G470" s="61" t="b">
        <v>1</v>
      </c>
      <c r="I470" t="str">
        <f t="shared" si="19"/>
        <v>MountainCold_Riffle</v>
      </c>
      <c r="J470" t="str">
        <f t="shared" si="20"/>
        <v>BCG_ORWA_v1_Bugs500ct</v>
      </c>
    </row>
    <row r="471" spans="1:10" ht="30" x14ac:dyDescent="0.25">
      <c r="A471" s="33" t="s">
        <v>178</v>
      </c>
      <c r="B471" s="33" t="s">
        <v>258</v>
      </c>
      <c r="C471" s="48" t="s">
        <v>188</v>
      </c>
      <c r="D471" s="28" t="s">
        <v>16</v>
      </c>
      <c r="E471" s="28">
        <v>35</v>
      </c>
      <c r="F471" s="48" t="s">
        <v>249</v>
      </c>
      <c r="G471" s="61" t="b">
        <v>1</v>
      </c>
      <c r="I471" t="str">
        <f t="shared" si="19"/>
        <v>MountainCold_Riffle</v>
      </c>
      <c r="J471" t="str">
        <f t="shared" si="20"/>
        <v>BCG_ORWA_v1_Bugs500ct</v>
      </c>
    </row>
    <row r="472" spans="1:10" ht="30" x14ac:dyDescent="0.25">
      <c r="A472" s="33" t="s">
        <v>178</v>
      </c>
      <c r="B472" s="33" t="s">
        <v>258</v>
      </c>
      <c r="C472" s="30" t="s">
        <v>215</v>
      </c>
      <c r="D472" s="32" t="s">
        <v>16</v>
      </c>
      <c r="E472" s="49">
        <v>3</v>
      </c>
      <c r="F472" s="30" t="s">
        <v>250</v>
      </c>
      <c r="G472" s="61" t="b">
        <v>1</v>
      </c>
      <c r="I472" t="str">
        <f t="shared" si="19"/>
        <v>MountainCold_Riffle</v>
      </c>
      <c r="J472" t="str">
        <f t="shared" si="20"/>
        <v>BCG_ORWA_v1_Bugs500ct</v>
      </c>
    </row>
    <row r="473" spans="1:10" ht="30" x14ac:dyDescent="0.25">
      <c r="A473" s="33" t="s">
        <v>178</v>
      </c>
      <c r="B473" s="33" t="s">
        <v>258</v>
      </c>
      <c r="C473" t="s">
        <v>251</v>
      </c>
      <c r="D473" s="32" t="s">
        <v>16</v>
      </c>
      <c r="E473" s="28">
        <v>1</v>
      </c>
      <c r="F473" s="48" t="s">
        <v>259</v>
      </c>
      <c r="G473" s="61" t="b">
        <v>1</v>
      </c>
      <c r="I473" t="str">
        <f t="shared" si="19"/>
        <v>MountainCold_Riffle</v>
      </c>
      <c r="J473" t="str">
        <f t="shared" si="20"/>
        <v>BCG_ORWA_v1_Bugs500ct</v>
      </c>
    </row>
    <row r="474" spans="1:10" ht="30" x14ac:dyDescent="0.25">
      <c r="A474" s="33" t="s">
        <v>178</v>
      </c>
      <c r="B474" s="33" t="s">
        <v>258</v>
      </c>
      <c r="C474" t="s">
        <v>253</v>
      </c>
      <c r="D474" s="8" t="s">
        <v>17</v>
      </c>
      <c r="E474" s="28">
        <v>15</v>
      </c>
      <c r="F474" s="48" t="s">
        <v>254</v>
      </c>
      <c r="G474" s="61" t="b">
        <v>1</v>
      </c>
      <c r="I474" t="str">
        <f t="shared" si="19"/>
        <v>MountainCold_Riffle</v>
      </c>
      <c r="J474" t="str">
        <f t="shared" si="20"/>
        <v>BCG_ORWA_v1_Bugs500ct</v>
      </c>
    </row>
    <row r="475" spans="1:10" ht="30" x14ac:dyDescent="0.25">
      <c r="A475" s="33" t="s">
        <v>178</v>
      </c>
      <c r="B475" s="33" t="s">
        <v>258</v>
      </c>
      <c r="C475" s="48" t="s">
        <v>236</v>
      </c>
      <c r="D475" s="8" t="s">
        <v>233</v>
      </c>
      <c r="E475" s="28">
        <v>3</v>
      </c>
      <c r="F475" s="48" t="s">
        <v>260</v>
      </c>
      <c r="G475" s="61" t="b">
        <v>1</v>
      </c>
      <c r="I475" t="str">
        <f t="shared" si="19"/>
        <v>MountainCold_Riffle</v>
      </c>
      <c r="J475" t="str">
        <f t="shared" si="20"/>
        <v>BCG_ORWA_v1_Bugs500ct</v>
      </c>
    </row>
    <row r="476" spans="1:10" ht="30" x14ac:dyDescent="0.25">
      <c r="A476" s="33" t="s">
        <v>178</v>
      </c>
      <c r="B476" s="33" t="s">
        <v>258</v>
      </c>
      <c r="C476" s="50" t="s">
        <v>238</v>
      </c>
      <c r="D476" s="32" t="s">
        <v>16</v>
      </c>
      <c r="E476" s="28">
        <v>24</v>
      </c>
      <c r="F476" s="48" t="s">
        <v>239</v>
      </c>
      <c r="G476" s="61" t="b">
        <v>1</v>
      </c>
      <c r="I476" t="str">
        <f t="shared" si="19"/>
        <v>MountainCold_Riffle</v>
      </c>
      <c r="J476" t="str">
        <f t="shared" si="20"/>
        <v>BCG_ORWA_v1_Bugs500ct</v>
      </c>
    </row>
    <row r="477" spans="1:10" ht="30" x14ac:dyDescent="0.25">
      <c r="A477" s="33" t="s">
        <v>178</v>
      </c>
      <c r="B477" s="33" t="s">
        <v>258</v>
      </c>
      <c r="C477" s="30" t="s">
        <v>134</v>
      </c>
      <c r="D477" s="35" t="s">
        <v>16</v>
      </c>
      <c r="E477" s="35">
        <v>5</v>
      </c>
      <c r="F477" s="48" t="s">
        <v>261</v>
      </c>
      <c r="G477" s="61" t="b">
        <v>1</v>
      </c>
      <c r="I477" t="str">
        <f t="shared" si="19"/>
        <v>MountainCold_Riffle</v>
      </c>
      <c r="J477" t="str">
        <f t="shared" si="20"/>
        <v>BCG_ORWA_v1_Bugs500ct</v>
      </c>
    </row>
    <row r="478" spans="1:10" ht="30" x14ac:dyDescent="0.25">
      <c r="A478" s="33" t="s">
        <v>178</v>
      </c>
      <c r="B478" s="33" t="s">
        <v>258</v>
      </c>
      <c r="C478" s="48" t="s">
        <v>222</v>
      </c>
      <c r="D478" s="32" t="s">
        <v>15</v>
      </c>
      <c r="E478" s="28">
        <v>0</v>
      </c>
      <c r="F478" s="48" t="s">
        <v>255</v>
      </c>
      <c r="G478" s="61" t="b">
        <v>1</v>
      </c>
      <c r="I478" t="str">
        <f t="shared" si="19"/>
        <v>MountainCold_Riffle</v>
      </c>
      <c r="J478" t="str">
        <f t="shared" si="20"/>
        <v>BCG_ORWA_v1_Bugs500ct</v>
      </c>
    </row>
    <row r="479" spans="1:10" ht="30" x14ac:dyDescent="0.25">
      <c r="A479" s="33" t="s">
        <v>178</v>
      </c>
      <c r="B479" s="33" t="s">
        <v>258</v>
      </c>
      <c r="C479" s="48" t="s">
        <v>72</v>
      </c>
      <c r="D479" s="28" t="s">
        <v>16</v>
      </c>
      <c r="E479" s="28">
        <v>5</v>
      </c>
      <c r="F479" s="48" t="s">
        <v>217</v>
      </c>
      <c r="G479" s="61" t="b">
        <v>1</v>
      </c>
      <c r="I479" t="str">
        <f t="shared" si="19"/>
        <v>MountainCold_Riffle</v>
      </c>
      <c r="J479" t="str">
        <f t="shared" si="20"/>
        <v>BCG_ORWA_v1_Bugs500ct</v>
      </c>
    </row>
    <row r="480" spans="1:10" ht="30" x14ac:dyDescent="0.25">
      <c r="A480" s="33" t="s">
        <v>178</v>
      </c>
      <c r="B480" s="33" t="s">
        <v>258</v>
      </c>
      <c r="C480" s="48" t="s">
        <v>74</v>
      </c>
      <c r="D480" s="28" t="s">
        <v>16</v>
      </c>
      <c r="E480" s="28">
        <v>4</v>
      </c>
      <c r="F480" s="48" t="s">
        <v>262</v>
      </c>
      <c r="G480" s="61" t="b">
        <v>1</v>
      </c>
      <c r="I480" t="str">
        <f t="shared" si="19"/>
        <v>MountainCold_Riffle</v>
      </c>
      <c r="J480" t="str">
        <f t="shared" si="20"/>
        <v>BCG_ORWA_v1_Bugs500ct</v>
      </c>
    </row>
    <row r="481" spans="1:10" ht="30" x14ac:dyDescent="0.25">
      <c r="A481" s="33" t="s">
        <v>178</v>
      </c>
      <c r="B481" s="33" t="s">
        <v>258</v>
      </c>
      <c r="C481" s="48" t="s">
        <v>76</v>
      </c>
      <c r="D481" s="28" t="s">
        <v>16</v>
      </c>
      <c r="E481" s="28">
        <v>5</v>
      </c>
      <c r="F481" s="48" t="s">
        <v>219</v>
      </c>
      <c r="G481" s="61" t="b">
        <v>1</v>
      </c>
      <c r="I481" t="str">
        <f t="shared" si="19"/>
        <v>MountainCold_Riffle</v>
      </c>
      <c r="J481" t="str">
        <f t="shared" si="20"/>
        <v>BCG_ORWA_v1_Bugs500ct</v>
      </c>
    </row>
    <row r="482" spans="1:10" ht="30" x14ac:dyDescent="0.25">
      <c r="A482" s="44" t="s">
        <v>178</v>
      </c>
      <c r="B482" s="44" t="s">
        <v>258</v>
      </c>
      <c r="C482" s="39" t="s">
        <v>66</v>
      </c>
      <c r="D482" s="45" t="s">
        <v>17</v>
      </c>
      <c r="E482" s="46">
        <v>5</v>
      </c>
      <c r="F482" s="13" t="s">
        <v>242</v>
      </c>
      <c r="G482" s="61" t="b">
        <v>1</v>
      </c>
      <c r="I482" t="str">
        <f t="shared" si="19"/>
        <v>MountainCold_Riffle</v>
      </c>
      <c r="J482" t="str">
        <f t="shared" si="20"/>
        <v>BCG_ORWA_v1_Bugs500ct</v>
      </c>
    </row>
    <row r="483" spans="1:10" ht="30" x14ac:dyDescent="0.25">
      <c r="A483" s="33" t="s">
        <v>178</v>
      </c>
      <c r="B483" s="33" t="s">
        <v>258</v>
      </c>
      <c r="C483" s="48" t="s">
        <v>245</v>
      </c>
      <c r="D483" s="32" t="s">
        <v>15</v>
      </c>
      <c r="E483" s="28">
        <v>4</v>
      </c>
      <c r="F483" s="48" t="s">
        <v>263</v>
      </c>
      <c r="G483" s="61" t="b">
        <v>1</v>
      </c>
      <c r="I483" t="str">
        <f t="shared" si="19"/>
        <v>MountainCold_Riffle</v>
      </c>
      <c r="J483" t="str">
        <f t="shared" si="20"/>
        <v>BCG_ORWA_v1_Bugs500ct</v>
      </c>
    </row>
    <row r="484" spans="1:10" ht="30" x14ac:dyDescent="0.25">
      <c r="A484" s="40" t="s">
        <v>178</v>
      </c>
      <c r="B484" s="40" t="s">
        <v>258</v>
      </c>
      <c r="C484" s="51" t="s">
        <v>243</v>
      </c>
      <c r="D484" s="52" t="s">
        <v>16</v>
      </c>
      <c r="E484" s="53">
        <v>60</v>
      </c>
      <c r="F484" s="51" t="s">
        <v>257</v>
      </c>
      <c r="G484" s="61" t="b">
        <v>1</v>
      </c>
      <c r="I484" t="str">
        <f t="shared" si="19"/>
        <v>MountainCold_Riffle</v>
      </c>
      <c r="J484" t="str">
        <f t="shared" si="20"/>
        <v>BCG_ORWA_v1_Bugs500ct</v>
      </c>
    </row>
    <row r="485" spans="1:10" x14ac:dyDescent="0.25">
      <c r="A485" s="33" t="s">
        <v>178</v>
      </c>
      <c r="B485" s="54" t="s">
        <v>264</v>
      </c>
      <c r="C485" s="34" t="s">
        <v>14</v>
      </c>
      <c r="D485" s="35" t="s">
        <v>16</v>
      </c>
      <c r="E485" s="28">
        <v>450</v>
      </c>
      <c r="F485" s="36" t="s">
        <v>211</v>
      </c>
      <c r="G485" s="61" t="b">
        <v>1</v>
      </c>
      <c r="I485" t="str">
        <f t="shared" si="19"/>
        <v>NBR_Riffle</v>
      </c>
      <c r="J485" t="str">
        <f t="shared" si="20"/>
        <v>BCG_ORWA_v1_Bugs500ct</v>
      </c>
    </row>
    <row r="486" spans="1:10" x14ac:dyDescent="0.25">
      <c r="A486" s="33" t="s">
        <v>178</v>
      </c>
      <c r="B486" s="54" t="s">
        <v>264</v>
      </c>
      <c r="C486" s="36" t="s">
        <v>215</v>
      </c>
      <c r="D486" s="32" t="s">
        <v>16</v>
      </c>
      <c r="E486" s="55">
        <v>3</v>
      </c>
      <c r="F486" s="30" t="s">
        <v>235</v>
      </c>
      <c r="G486" s="61" t="b">
        <v>1</v>
      </c>
      <c r="I486" t="str">
        <f t="shared" si="19"/>
        <v>NBR_Riffle</v>
      </c>
      <c r="J486" t="str">
        <f t="shared" si="20"/>
        <v>BCG_ORWA_v1_Bugs500ct</v>
      </c>
    </row>
    <row r="487" spans="1:10" x14ac:dyDescent="0.25">
      <c r="A487" s="33" t="s">
        <v>178</v>
      </c>
      <c r="B487" s="54" t="s">
        <v>264</v>
      </c>
      <c r="C487" s="48" t="s">
        <v>236</v>
      </c>
      <c r="D487" s="20" t="s">
        <v>96</v>
      </c>
      <c r="E487" s="28">
        <v>0</v>
      </c>
      <c r="F487" s="48" t="s">
        <v>237</v>
      </c>
      <c r="G487" s="61" t="b">
        <v>1</v>
      </c>
      <c r="I487" t="str">
        <f t="shared" si="19"/>
        <v>NBR_Riffle</v>
      </c>
      <c r="J487" t="str">
        <f t="shared" si="20"/>
        <v>BCG_ORWA_v1_Bugs500ct</v>
      </c>
    </row>
    <row r="488" spans="1:10" x14ac:dyDescent="0.25">
      <c r="A488" s="33" t="s">
        <v>178</v>
      </c>
      <c r="B488" s="54" t="s">
        <v>264</v>
      </c>
      <c r="C488" s="48" t="s">
        <v>220</v>
      </c>
      <c r="D488" s="8" t="s">
        <v>233</v>
      </c>
      <c r="E488" s="28">
        <v>1</v>
      </c>
      <c r="F488" s="48" t="s">
        <v>240</v>
      </c>
      <c r="G488" s="61" t="b">
        <v>1</v>
      </c>
      <c r="I488" t="str">
        <f t="shared" si="19"/>
        <v>NBR_Riffle</v>
      </c>
      <c r="J488" t="str">
        <f t="shared" si="20"/>
        <v>BCG_ORWA_v1_Bugs500ct</v>
      </c>
    </row>
    <row r="489" spans="1:10" x14ac:dyDescent="0.25">
      <c r="A489" s="33" t="s">
        <v>178</v>
      </c>
      <c r="B489" s="54" t="s">
        <v>264</v>
      </c>
      <c r="C489" s="48" t="s">
        <v>222</v>
      </c>
      <c r="D489" s="8" t="s">
        <v>17</v>
      </c>
      <c r="E489" s="28">
        <v>5</v>
      </c>
      <c r="F489" s="48" t="s">
        <v>241</v>
      </c>
      <c r="G489" s="61" t="b">
        <v>1</v>
      </c>
      <c r="I489" t="str">
        <f t="shared" si="19"/>
        <v>NBR_Riffle</v>
      </c>
      <c r="J489" t="str">
        <f t="shared" si="20"/>
        <v>BCG_ORWA_v1_Bugs500ct</v>
      </c>
    </row>
    <row r="490" spans="1:10" x14ac:dyDescent="0.25">
      <c r="A490" s="33" t="s">
        <v>178</v>
      </c>
      <c r="B490" s="54" t="s">
        <v>264</v>
      </c>
      <c r="C490" s="48" t="s">
        <v>72</v>
      </c>
      <c r="D490" s="28" t="s">
        <v>16</v>
      </c>
      <c r="E490" s="28">
        <v>4</v>
      </c>
      <c r="F490" s="48" t="s">
        <v>217</v>
      </c>
      <c r="G490" s="61" t="b">
        <v>1</v>
      </c>
      <c r="I490" t="str">
        <f t="shared" si="19"/>
        <v>NBR_Riffle</v>
      </c>
      <c r="J490" t="str">
        <f t="shared" si="20"/>
        <v>BCG_ORWA_v1_Bugs500ct</v>
      </c>
    </row>
    <row r="491" spans="1:10" x14ac:dyDescent="0.25">
      <c r="A491" s="33" t="s">
        <v>178</v>
      </c>
      <c r="B491" s="54" t="s">
        <v>264</v>
      </c>
      <c r="C491" s="48" t="s">
        <v>74</v>
      </c>
      <c r="D491" s="20" t="s">
        <v>96</v>
      </c>
      <c r="E491" s="28">
        <v>0</v>
      </c>
      <c r="F491" s="48" t="s">
        <v>218</v>
      </c>
      <c r="G491" s="61" t="b">
        <v>1</v>
      </c>
      <c r="I491" t="str">
        <f t="shared" si="19"/>
        <v>NBR_Riffle</v>
      </c>
      <c r="J491" t="str">
        <f t="shared" si="20"/>
        <v>BCG_ORWA_v1_Bugs500ct</v>
      </c>
    </row>
    <row r="492" spans="1:10" x14ac:dyDescent="0.25">
      <c r="A492" s="33" t="s">
        <v>178</v>
      </c>
      <c r="B492" s="54" t="s">
        <v>264</v>
      </c>
      <c r="C492" s="48" t="s">
        <v>76</v>
      </c>
      <c r="D492" s="28" t="s">
        <v>16</v>
      </c>
      <c r="E492" s="28">
        <v>4</v>
      </c>
      <c r="F492" s="48" t="s">
        <v>219</v>
      </c>
      <c r="G492" s="61" t="b">
        <v>1</v>
      </c>
      <c r="I492" t="str">
        <f t="shared" si="19"/>
        <v>NBR_Riffle</v>
      </c>
      <c r="J492" t="str">
        <f t="shared" si="20"/>
        <v>BCG_ORWA_v1_Bugs500ct</v>
      </c>
    </row>
    <row r="493" spans="1:10" x14ac:dyDescent="0.25">
      <c r="A493" s="33" t="s">
        <v>178</v>
      </c>
      <c r="B493" s="54" t="s">
        <v>264</v>
      </c>
      <c r="C493" s="48" t="s">
        <v>265</v>
      </c>
      <c r="D493" s="8" t="s">
        <v>17</v>
      </c>
      <c r="E493" s="28">
        <v>3</v>
      </c>
      <c r="F493" s="48" t="s">
        <v>266</v>
      </c>
      <c r="G493" s="62" t="b">
        <v>0</v>
      </c>
      <c r="I493" t="str">
        <f t="shared" si="19"/>
        <v>NBR_Riffle</v>
      </c>
      <c r="J493" t="str">
        <f t="shared" si="20"/>
        <v>BCG_ORWA_v1_Bugs500ct</v>
      </c>
    </row>
    <row r="494" spans="1:10" x14ac:dyDescent="0.25">
      <c r="A494" s="33" t="s">
        <v>178</v>
      </c>
      <c r="B494" s="54" t="s">
        <v>264</v>
      </c>
      <c r="C494" s="39" t="s">
        <v>66</v>
      </c>
      <c r="D494" s="8" t="s">
        <v>17</v>
      </c>
      <c r="E494" s="35">
        <v>20</v>
      </c>
      <c r="F494" t="s">
        <v>242</v>
      </c>
      <c r="G494" s="61" t="b">
        <v>1</v>
      </c>
      <c r="I494" t="str">
        <f t="shared" si="19"/>
        <v>NBR_Riffle</v>
      </c>
      <c r="J494" t="str">
        <f t="shared" si="20"/>
        <v>BCG_ORWA_v1_Bugs500ct</v>
      </c>
    </row>
    <row r="495" spans="1:10" x14ac:dyDescent="0.25">
      <c r="A495" s="40" t="s">
        <v>178</v>
      </c>
      <c r="B495" s="56" t="s">
        <v>264</v>
      </c>
      <c r="C495" s="41" t="s">
        <v>243</v>
      </c>
      <c r="D495" s="57" t="s">
        <v>17</v>
      </c>
      <c r="E495" s="42">
        <v>50</v>
      </c>
      <c r="F495" s="41" t="s">
        <v>244</v>
      </c>
      <c r="G495" s="61" t="b">
        <v>1</v>
      </c>
      <c r="I495" t="str">
        <f t="shared" si="19"/>
        <v>NBR_Riffle</v>
      </c>
      <c r="J495" t="str">
        <f t="shared" si="20"/>
        <v>BCG_ORWA_v1_Bugs500ct</v>
      </c>
    </row>
    <row r="496" spans="1:10" x14ac:dyDescent="0.25">
      <c r="A496" s="33" t="s">
        <v>178</v>
      </c>
      <c r="B496" s="58" t="s">
        <v>264</v>
      </c>
      <c r="C496" s="34" t="s">
        <v>245</v>
      </c>
      <c r="D496" s="59" t="s">
        <v>17</v>
      </c>
      <c r="E496" s="35">
        <v>2</v>
      </c>
      <c r="F496" s="34" t="s">
        <v>267</v>
      </c>
      <c r="G496" s="61" t="b">
        <v>1</v>
      </c>
      <c r="I496" t="str">
        <f t="shared" si="19"/>
        <v>NBR_Riffle</v>
      </c>
      <c r="J496" t="str">
        <f t="shared" si="20"/>
        <v>BCG_ORWA_v1_Bugs500ct</v>
      </c>
    </row>
    <row r="497" spans="1:10" x14ac:dyDescent="0.25">
      <c r="A497" s="34" t="s">
        <v>178</v>
      </c>
      <c r="B497" s="34" t="s">
        <v>268</v>
      </c>
      <c r="C497" s="34" t="s">
        <v>14</v>
      </c>
      <c r="D497" s="35" t="s">
        <v>16</v>
      </c>
      <c r="E497" s="35">
        <v>450</v>
      </c>
      <c r="F497" s="36" t="s">
        <v>211</v>
      </c>
      <c r="G497" s="61" t="b">
        <v>1</v>
      </c>
      <c r="I497" t="str">
        <f t="shared" si="19"/>
        <v>Foothills_Multihab</v>
      </c>
      <c r="J497" t="str">
        <f t="shared" si="20"/>
        <v>BCG_ORWA_v1_Bugs500ct</v>
      </c>
    </row>
    <row r="498" spans="1:10" x14ac:dyDescent="0.25">
      <c r="A498" s="34" t="s">
        <v>178</v>
      </c>
      <c r="B498" s="34" t="s">
        <v>268</v>
      </c>
      <c r="C498" s="34" t="s">
        <v>188</v>
      </c>
      <c r="D498" s="35" t="s">
        <v>16</v>
      </c>
      <c r="E498" s="35">
        <v>35</v>
      </c>
      <c r="F498" s="34" t="s">
        <v>249</v>
      </c>
      <c r="G498" s="61" t="b">
        <v>1</v>
      </c>
      <c r="I498" t="str">
        <f t="shared" ref="I498:I523" si="21">B498</f>
        <v>Foothills_Multihab</v>
      </c>
      <c r="J498" t="str">
        <f t="shared" ref="J498:J523" si="22">A498</f>
        <v>BCG_ORWA_v1_Bugs500ct</v>
      </c>
    </row>
    <row r="499" spans="1:10" x14ac:dyDescent="0.25">
      <c r="A499" s="34" t="s">
        <v>178</v>
      </c>
      <c r="B499" s="34" t="s">
        <v>268</v>
      </c>
      <c r="C499" s="34" t="s">
        <v>169</v>
      </c>
      <c r="D499" s="8" t="s">
        <v>17</v>
      </c>
      <c r="E499" s="35">
        <v>45</v>
      </c>
      <c r="F499" s="34" t="s">
        <v>235</v>
      </c>
      <c r="G499" s="61" t="b">
        <v>1</v>
      </c>
      <c r="I499" t="str">
        <f t="shared" si="21"/>
        <v>Foothills_Multihab</v>
      </c>
      <c r="J499" t="str">
        <f t="shared" si="22"/>
        <v>BCG_ORWA_v1_Bugs500ct</v>
      </c>
    </row>
    <row r="500" spans="1:10" x14ac:dyDescent="0.25">
      <c r="A500" s="34" t="s">
        <v>178</v>
      </c>
      <c r="B500" s="34" t="s">
        <v>268</v>
      </c>
      <c r="C500" s="36" t="s">
        <v>215</v>
      </c>
      <c r="D500" s="37" t="s">
        <v>16</v>
      </c>
      <c r="E500" s="35">
        <v>3.3</v>
      </c>
      <c r="F500" s="36" t="s">
        <v>250</v>
      </c>
      <c r="G500" s="61" t="b">
        <v>1</v>
      </c>
      <c r="I500" t="str">
        <f t="shared" si="21"/>
        <v>Foothills_Multihab</v>
      </c>
      <c r="J500" t="str">
        <f t="shared" si="22"/>
        <v>BCG_ORWA_v1_Bugs500ct</v>
      </c>
    </row>
    <row r="501" spans="1:10" x14ac:dyDescent="0.25">
      <c r="A501" s="34" t="s">
        <v>178</v>
      </c>
      <c r="B501" s="34" t="s">
        <v>268</v>
      </c>
      <c r="C501" s="34" t="s">
        <v>236</v>
      </c>
      <c r="D501" s="20" t="s">
        <v>96</v>
      </c>
      <c r="E501" s="35">
        <v>0</v>
      </c>
      <c r="F501" s="34" t="s">
        <v>237</v>
      </c>
      <c r="G501" s="61" t="b">
        <v>1</v>
      </c>
      <c r="I501" t="str">
        <f t="shared" si="21"/>
        <v>Foothills_Multihab</v>
      </c>
      <c r="J501" t="str">
        <f t="shared" si="22"/>
        <v>BCG_ORWA_v1_Bugs500ct</v>
      </c>
    </row>
    <row r="502" spans="1:10" x14ac:dyDescent="0.25">
      <c r="A502" s="34" t="s">
        <v>178</v>
      </c>
      <c r="B502" s="34" t="s">
        <v>268</v>
      </c>
      <c r="C502" s="60" t="s">
        <v>238</v>
      </c>
      <c r="D502" s="37" t="s">
        <v>16</v>
      </c>
      <c r="E502" s="35">
        <v>20</v>
      </c>
      <c r="F502" s="34" t="s">
        <v>239</v>
      </c>
      <c r="G502" s="61" t="b">
        <v>1</v>
      </c>
      <c r="I502" t="str">
        <f t="shared" si="21"/>
        <v>Foothills_Multihab</v>
      </c>
      <c r="J502" t="str">
        <f t="shared" si="22"/>
        <v>BCG_ORWA_v1_Bugs500ct</v>
      </c>
    </row>
    <row r="503" spans="1:10" x14ac:dyDescent="0.25">
      <c r="A503" s="34" t="s">
        <v>178</v>
      </c>
      <c r="B503" s="34" t="s">
        <v>268</v>
      </c>
      <c r="C503" s="34" t="s">
        <v>222</v>
      </c>
      <c r="D503" s="37" t="s">
        <v>15</v>
      </c>
      <c r="E503" s="35">
        <v>0</v>
      </c>
      <c r="F503" s="34" t="s">
        <v>255</v>
      </c>
      <c r="G503" s="61" t="b">
        <v>1</v>
      </c>
      <c r="I503" t="str">
        <f t="shared" si="21"/>
        <v>Foothills_Multihab</v>
      </c>
      <c r="J503" t="str">
        <f t="shared" si="22"/>
        <v>BCG_ORWA_v1_Bugs500ct</v>
      </c>
    </row>
    <row r="504" spans="1:10" x14ac:dyDescent="0.25">
      <c r="A504" s="34" t="s">
        <v>178</v>
      </c>
      <c r="B504" s="34" t="s">
        <v>268</v>
      </c>
      <c r="C504" s="34" t="s">
        <v>72</v>
      </c>
      <c r="D504" s="35" t="s">
        <v>16</v>
      </c>
      <c r="E504" s="35">
        <v>4</v>
      </c>
      <c r="F504" s="34" t="s">
        <v>217</v>
      </c>
      <c r="G504" s="61" t="b">
        <v>1</v>
      </c>
      <c r="I504" t="str">
        <f t="shared" si="21"/>
        <v>Foothills_Multihab</v>
      </c>
      <c r="J504" t="str">
        <f t="shared" si="22"/>
        <v>BCG_ORWA_v1_Bugs500ct</v>
      </c>
    </row>
    <row r="505" spans="1:10" x14ac:dyDescent="0.25">
      <c r="A505" s="34" t="s">
        <v>178</v>
      </c>
      <c r="B505" s="34" t="s">
        <v>268</v>
      </c>
      <c r="C505" s="34" t="s">
        <v>74</v>
      </c>
      <c r="D505" s="35" t="s">
        <v>16</v>
      </c>
      <c r="E505" s="35">
        <v>3</v>
      </c>
      <c r="F505" s="34" t="s">
        <v>218</v>
      </c>
      <c r="G505" s="61" t="b">
        <v>1</v>
      </c>
      <c r="I505" t="str">
        <f t="shared" si="21"/>
        <v>Foothills_Multihab</v>
      </c>
      <c r="J505" t="str">
        <f t="shared" si="22"/>
        <v>BCG_ORWA_v1_Bugs500ct</v>
      </c>
    </row>
    <row r="506" spans="1:10" x14ac:dyDescent="0.25">
      <c r="A506" s="34" t="s">
        <v>178</v>
      </c>
      <c r="B506" s="34" t="s">
        <v>268</v>
      </c>
      <c r="C506" s="34" t="s">
        <v>76</v>
      </c>
      <c r="D506" s="35" t="s">
        <v>16</v>
      </c>
      <c r="E506" s="35">
        <v>3</v>
      </c>
      <c r="F506" s="34" t="s">
        <v>219</v>
      </c>
      <c r="G506" s="61" t="b">
        <v>1</v>
      </c>
      <c r="I506" t="str">
        <f t="shared" si="21"/>
        <v>Foothills_Multihab</v>
      </c>
      <c r="J506" t="str">
        <f t="shared" si="22"/>
        <v>BCG_ORWA_v1_Bugs500ct</v>
      </c>
    </row>
    <row r="507" spans="1:10" x14ac:dyDescent="0.25">
      <c r="A507" s="34" t="s">
        <v>178</v>
      </c>
      <c r="B507" s="34" t="s">
        <v>268</v>
      </c>
      <c r="C507" s="34" t="s">
        <v>245</v>
      </c>
      <c r="D507" s="8" t="s">
        <v>17</v>
      </c>
      <c r="E507" s="35">
        <v>4</v>
      </c>
      <c r="F507" s="34" t="s">
        <v>256</v>
      </c>
      <c r="G507" s="61" t="b">
        <v>1</v>
      </c>
      <c r="I507" t="str">
        <f t="shared" si="21"/>
        <v>Foothills_Multihab</v>
      </c>
      <c r="J507" t="str">
        <f t="shared" si="22"/>
        <v>BCG_ORWA_v1_Bugs500ct</v>
      </c>
    </row>
    <row r="508" spans="1:10" x14ac:dyDescent="0.25">
      <c r="A508" s="41" t="s">
        <v>178</v>
      </c>
      <c r="B508" s="41" t="s">
        <v>268</v>
      </c>
      <c r="C508" s="41" t="s">
        <v>243</v>
      </c>
      <c r="D508" s="47" t="s">
        <v>16</v>
      </c>
      <c r="E508" s="42">
        <v>45</v>
      </c>
      <c r="F508" s="41" t="s">
        <v>257</v>
      </c>
      <c r="G508" s="61" t="b">
        <v>1</v>
      </c>
      <c r="I508" t="str">
        <f t="shared" si="21"/>
        <v>Foothills_Multihab</v>
      </c>
      <c r="J508" t="str">
        <f t="shared" si="22"/>
        <v>BCG_ORWA_v1_Bugs500ct</v>
      </c>
    </row>
    <row r="509" spans="1:10" x14ac:dyDescent="0.25">
      <c r="A509" s="34" t="s">
        <v>178</v>
      </c>
      <c r="B509" s="34" t="s">
        <v>268</v>
      </c>
      <c r="C509" s="39" t="s">
        <v>66</v>
      </c>
      <c r="D509" s="8" t="s">
        <v>17</v>
      </c>
      <c r="E509" s="35">
        <v>25</v>
      </c>
      <c r="F509" t="s">
        <v>242</v>
      </c>
      <c r="G509" s="61" t="b">
        <v>1</v>
      </c>
      <c r="I509" t="str">
        <f t="shared" si="21"/>
        <v>Foothills_Multihab</v>
      </c>
      <c r="J509" t="str">
        <f t="shared" si="22"/>
        <v>BCG_ORWA_v1_Bugs500ct</v>
      </c>
    </row>
    <row r="510" spans="1:10" x14ac:dyDescent="0.25">
      <c r="A510" s="34" t="s">
        <v>178</v>
      </c>
      <c r="B510" s="34" t="s">
        <v>269</v>
      </c>
      <c r="C510" s="34" t="s">
        <v>14</v>
      </c>
      <c r="D510" s="35" t="s">
        <v>16</v>
      </c>
      <c r="E510" s="35">
        <v>450</v>
      </c>
      <c r="F510" s="36" t="s">
        <v>211</v>
      </c>
      <c r="G510" s="61" t="b">
        <v>1</v>
      </c>
      <c r="I510" t="str">
        <f t="shared" si="21"/>
        <v>Foothills_Riffle</v>
      </c>
      <c r="J510" t="str">
        <f t="shared" si="22"/>
        <v>BCG_ORWA_v1_Bugs500ct</v>
      </c>
    </row>
    <row r="511" spans="1:10" x14ac:dyDescent="0.25">
      <c r="A511" s="34" t="s">
        <v>178</v>
      </c>
      <c r="B511" s="34" t="s">
        <v>269</v>
      </c>
      <c r="C511" s="34" t="s">
        <v>14</v>
      </c>
      <c r="D511" s="35" t="s">
        <v>15</v>
      </c>
      <c r="E511" s="35">
        <v>650</v>
      </c>
      <c r="F511" s="36" t="s">
        <v>212</v>
      </c>
      <c r="G511" s="61" t="b">
        <v>1</v>
      </c>
      <c r="I511" t="str">
        <f t="shared" si="21"/>
        <v>Foothills_Riffle</v>
      </c>
      <c r="J511" t="str">
        <f t="shared" si="22"/>
        <v>BCG_ORWA_v1_Bugs500ct</v>
      </c>
    </row>
    <row r="512" spans="1:10" x14ac:dyDescent="0.25">
      <c r="A512" s="41" t="s">
        <v>178</v>
      </c>
      <c r="B512" s="41" t="s">
        <v>269</v>
      </c>
      <c r="C512" s="41" t="s">
        <v>243</v>
      </c>
      <c r="D512" s="47" t="s">
        <v>16</v>
      </c>
      <c r="E512" s="42">
        <v>60</v>
      </c>
      <c r="F512" s="41" t="s">
        <v>257</v>
      </c>
      <c r="G512" s="61" t="b">
        <v>1</v>
      </c>
      <c r="I512" t="str">
        <f t="shared" si="21"/>
        <v>Foothills_Riffle</v>
      </c>
      <c r="J512" t="str">
        <f t="shared" si="22"/>
        <v>BCG_ORWA_v1_Bugs500ct</v>
      </c>
    </row>
    <row r="513" spans="1:10" x14ac:dyDescent="0.25">
      <c r="A513" s="41" t="s">
        <v>178</v>
      </c>
      <c r="B513" s="41" t="s">
        <v>269</v>
      </c>
      <c r="C513" s="41" t="s">
        <v>270</v>
      </c>
      <c r="D513" s="57" t="s">
        <v>17</v>
      </c>
      <c r="E513" s="42">
        <v>50</v>
      </c>
      <c r="F513" s="41" t="s">
        <v>271</v>
      </c>
      <c r="G513" s="62" t="b">
        <v>0</v>
      </c>
      <c r="H513" t="s">
        <v>275</v>
      </c>
      <c r="I513" t="str">
        <f t="shared" si="21"/>
        <v>Foothills_Riffle</v>
      </c>
      <c r="J513" t="str">
        <f t="shared" si="22"/>
        <v>BCG_ORWA_v1_Bugs500ct</v>
      </c>
    </row>
    <row r="514" spans="1:10" x14ac:dyDescent="0.25">
      <c r="A514" s="34" t="s">
        <v>178</v>
      </c>
      <c r="B514" s="34" t="s">
        <v>269</v>
      </c>
      <c r="C514" s="34" t="s">
        <v>236</v>
      </c>
      <c r="D514" s="37" t="s">
        <v>16</v>
      </c>
      <c r="E514" s="35">
        <v>3</v>
      </c>
      <c r="F514" s="34" t="s">
        <v>260</v>
      </c>
      <c r="G514" s="61" t="b">
        <v>1</v>
      </c>
      <c r="I514" t="str">
        <f t="shared" si="21"/>
        <v>Foothills_Riffle</v>
      </c>
      <c r="J514" t="str">
        <f t="shared" si="22"/>
        <v>BCG_ORWA_v1_Bugs500ct</v>
      </c>
    </row>
    <row r="515" spans="1:10" x14ac:dyDescent="0.25">
      <c r="A515" s="34" t="s">
        <v>178</v>
      </c>
      <c r="B515" s="34" t="s">
        <v>269</v>
      </c>
      <c r="C515" s="34" t="s">
        <v>272</v>
      </c>
      <c r="D515" s="59" t="s">
        <v>17</v>
      </c>
      <c r="E515" s="35">
        <v>35</v>
      </c>
      <c r="F515" s="34" t="s">
        <v>273</v>
      </c>
      <c r="G515" s="61" t="b">
        <v>1</v>
      </c>
      <c r="I515" t="str">
        <f t="shared" si="21"/>
        <v>Foothills_Riffle</v>
      </c>
      <c r="J515" t="str">
        <f t="shared" si="22"/>
        <v>BCG_ORWA_v1_Bugs500ct</v>
      </c>
    </row>
    <row r="516" spans="1:10" x14ac:dyDescent="0.25">
      <c r="A516" s="34" t="s">
        <v>178</v>
      </c>
      <c r="B516" s="34" t="s">
        <v>269</v>
      </c>
      <c r="C516" s="60" t="s">
        <v>238</v>
      </c>
      <c r="D516" s="59" t="s">
        <v>233</v>
      </c>
      <c r="E516" s="35">
        <v>20</v>
      </c>
      <c r="F516" s="34" t="s">
        <v>239</v>
      </c>
      <c r="G516" s="61" t="b">
        <v>1</v>
      </c>
      <c r="I516" t="str">
        <f t="shared" si="21"/>
        <v>Foothills_Riffle</v>
      </c>
      <c r="J516" t="str">
        <f t="shared" si="22"/>
        <v>BCG_ORWA_v1_Bugs500ct</v>
      </c>
    </row>
    <row r="517" spans="1:10" x14ac:dyDescent="0.25">
      <c r="A517" s="34" t="s">
        <v>178</v>
      </c>
      <c r="B517" s="34" t="s">
        <v>269</v>
      </c>
      <c r="C517" s="34" t="s">
        <v>220</v>
      </c>
      <c r="D517" s="59" t="s">
        <v>233</v>
      </c>
      <c r="E517" s="35">
        <v>10</v>
      </c>
      <c r="F517" s="34" t="s">
        <v>274</v>
      </c>
      <c r="G517" s="61" t="b">
        <v>1</v>
      </c>
      <c r="I517" t="str">
        <f t="shared" si="21"/>
        <v>Foothills_Riffle</v>
      </c>
      <c r="J517" t="str">
        <f t="shared" si="22"/>
        <v>BCG_ORWA_v1_Bugs500ct</v>
      </c>
    </row>
    <row r="518" spans="1:10" x14ac:dyDescent="0.25">
      <c r="A518" s="34" t="s">
        <v>178</v>
      </c>
      <c r="B518" s="34" t="s">
        <v>269</v>
      </c>
      <c r="C518" s="34" t="s">
        <v>222</v>
      </c>
      <c r="D518" s="37" t="s">
        <v>15</v>
      </c>
      <c r="E518" s="35">
        <v>0</v>
      </c>
      <c r="F518" s="34" t="s">
        <v>255</v>
      </c>
      <c r="G518" s="61" t="b">
        <v>1</v>
      </c>
      <c r="I518" t="str">
        <f t="shared" si="21"/>
        <v>Foothills_Riffle</v>
      </c>
      <c r="J518" t="str">
        <f t="shared" si="22"/>
        <v>BCG_ORWA_v1_Bugs500ct</v>
      </c>
    </row>
    <row r="519" spans="1:10" x14ac:dyDescent="0.25">
      <c r="A519" s="34" t="s">
        <v>178</v>
      </c>
      <c r="B519" s="34" t="s">
        <v>269</v>
      </c>
      <c r="C519" s="34" t="s">
        <v>72</v>
      </c>
      <c r="D519" s="35" t="s">
        <v>16</v>
      </c>
      <c r="E519" s="35">
        <v>4</v>
      </c>
      <c r="F519" s="34" t="s">
        <v>217</v>
      </c>
      <c r="G519" s="61" t="b">
        <v>1</v>
      </c>
      <c r="I519" t="str">
        <f t="shared" si="21"/>
        <v>Foothills_Riffle</v>
      </c>
      <c r="J519" t="str">
        <f t="shared" si="22"/>
        <v>BCG_ORWA_v1_Bugs500ct</v>
      </c>
    </row>
    <row r="520" spans="1:10" x14ac:dyDescent="0.25">
      <c r="A520" s="34" t="s">
        <v>178</v>
      </c>
      <c r="B520" s="34" t="s">
        <v>269</v>
      </c>
      <c r="C520" s="34" t="s">
        <v>74</v>
      </c>
      <c r="D520" s="35" t="s">
        <v>16</v>
      </c>
      <c r="E520" s="35">
        <v>3</v>
      </c>
      <c r="F520" s="34" t="s">
        <v>262</v>
      </c>
      <c r="G520" s="61" t="b">
        <v>1</v>
      </c>
      <c r="I520" t="str">
        <f t="shared" si="21"/>
        <v>Foothills_Riffle</v>
      </c>
      <c r="J520" t="str">
        <f t="shared" si="22"/>
        <v>BCG_ORWA_v1_Bugs500ct</v>
      </c>
    </row>
    <row r="521" spans="1:10" x14ac:dyDescent="0.25">
      <c r="A521" s="34" t="s">
        <v>178</v>
      </c>
      <c r="B521" s="34" t="s">
        <v>269</v>
      </c>
      <c r="C521" s="34" t="s">
        <v>76</v>
      </c>
      <c r="D521" s="8" t="s">
        <v>233</v>
      </c>
      <c r="E521" s="35">
        <v>6</v>
      </c>
      <c r="F521" s="34" t="s">
        <v>219</v>
      </c>
      <c r="G521" s="61" t="b">
        <v>1</v>
      </c>
      <c r="I521" t="str">
        <f t="shared" si="21"/>
        <v>Foothills_Riffle</v>
      </c>
      <c r="J521" t="str">
        <f t="shared" si="22"/>
        <v>BCG_ORWA_v1_Bugs500ct</v>
      </c>
    </row>
    <row r="522" spans="1:10" x14ac:dyDescent="0.25">
      <c r="A522" s="34" t="s">
        <v>178</v>
      </c>
      <c r="B522" s="34" t="s">
        <v>269</v>
      </c>
      <c r="C522" s="34" t="s">
        <v>245</v>
      </c>
      <c r="D522" s="8" t="s">
        <v>17</v>
      </c>
      <c r="E522" s="35">
        <v>4</v>
      </c>
      <c r="F522" s="34" t="s">
        <v>256</v>
      </c>
      <c r="G522" s="61" t="b">
        <v>1</v>
      </c>
      <c r="I522" t="str">
        <f t="shared" si="21"/>
        <v>Foothills_Riffle</v>
      </c>
      <c r="J522" t="str">
        <f t="shared" si="22"/>
        <v>BCG_ORWA_v1_Bugs500ct</v>
      </c>
    </row>
    <row r="523" spans="1:10" x14ac:dyDescent="0.25">
      <c r="A523" s="34" t="s">
        <v>178</v>
      </c>
      <c r="B523" s="34" t="s">
        <v>269</v>
      </c>
      <c r="C523" s="39" t="s">
        <v>66</v>
      </c>
      <c r="D523" s="8" t="s">
        <v>17</v>
      </c>
      <c r="E523" s="35">
        <v>40</v>
      </c>
      <c r="F523" t="s">
        <v>242</v>
      </c>
      <c r="G523" s="61" t="b">
        <v>1</v>
      </c>
      <c r="I523" t="str">
        <f t="shared" si="21"/>
        <v>Foothills_Riffle</v>
      </c>
      <c r="J523" t="str">
        <f t="shared" si="22"/>
        <v>BCG_ORWA_v1_Bugs500ct</v>
      </c>
    </row>
  </sheetData>
  <autoFilter ref="A1:J523" xr:uid="{00000000-0001-0000-0200-000000000000}"/>
  <conditionalFormatting sqref="C2:C66 C162:C186 C248:C272">
    <cfRule type="expression" dxfId="7" priority="18">
      <formula>$G2=FALSE</formula>
    </cfRule>
  </conditionalFormatting>
  <conditionalFormatting sqref="C128">
    <cfRule type="expression" dxfId="6" priority="14">
      <formula>$G128=FALSE</formula>
    </cfRule>
  </conditionalFormatting>
  <conditionalFormatting sqref="G2:G219 G220:H228 H229:H249 G229:G305 G306:H333">
    <cfRule type="cellIs" dxfId="5" priority="10" operator="equal">
      <formula>FALSE</formula>
    </cfRule>
  </conditionalFormatting>
  <conditionalFormatting sqref="G334:G367">
    <cfRule type="cellIs" dxfId="4" priority="4" operator="equal">
      <formula>FALSE</formula>
    </cfRule>
  </conditionalFormatting>
  <conditionalFormatting sqref="H54">
    <cfRule type="cellIs" dxfId="3" priority="17" operator="equal">
      <formula>FALSE</formula>
    </cfRule>
  </conditionalFormatting>
  <conditionalFormatting sqref="H100:H127">
    <cfRule type="cellIs" dxfId="2" priority="16" operator="equal">
      <formula>FALSE</formula>
    </cfRule>
  </conditionalFormatting>
  <conditionalFormatting sqref="H174">
    <cfRule type="cellIs" dxfId="1" priority="8" operator="equal">
      <formula>FALSE</formula>
    </cfRule>
  </conditionalFormatting>
  <conditionalFormatting sqref="H260">
    <cfRule type="cellIs" dxfId="0" priority="5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2026-06-09T19:41:42Z</dcterms:modified>
</cp:coreProperties>
</file>